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ciones" sheetId="1" state="visible" r:id="rId3"/>
    <sheet name="Métricas" sheetId="2" state="visible" r:id="rId4"/>
    <sheet name="Matriz" sheetId="3" state="visible" r:id="rId5"/>
    <sheet name="Uso en lógica" sheetId="4" state="visible" r:id="rId6"/>
  </sheets>
  <definedNames>
    <definedName function="false" hidden="true" localSheetId="2" name="_xlnm._FilterDatabase" vbProcedure="false">Matriz!$A$1:$AA$1194</definedName>
    <definedName function="false" hidden="true" localSheetId="3" name="_xlnm._FilterDatabase" vbProcedure="false">'Uso en lógica'!$A$1:$F$15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<sst xmlns="http://schemas.openxmlformats.org/spreadsheetml/2006/main" count="18754" uniqueCount="5351">
  <si>
    <t xml:space="preserve">Matriz de validación de descripciones de columnas · SuperApp ESAP · Fase 2</t>
  </si>
  <si>
    <t xml:space="preserve">Base esap_db (QA) · extracción del 2026-10-22 · generada el 2026-10-22</t>
  </si>
  <si>
    <t xml:space="preserve">Objetivo</t>
  </si>
  <si>
    <t xml:space="preserve">Revisar con el equipo de desarrollo la descripción de cada columna que aún no tiene descripción registrada en la base ni validada.</t>
  </si>
  <si>
    <t xml:space="preserve">Las propuestas se redactaron a partir de la estructura (nombre, tipo, restricciones, valores permitidos, relaciones) y del código de las funciones, triggers y vistas que usan la columna, y del código fuente de la aplicación (entidades y migraciones). No se revisaron valores de los registros. Son propuestas: no reemplazan el conocimiento del equipo.</t>
  </si>
  <si>
    <t xml:space="preserve">Cómo revisar (hoja «Matriz»)</t>
  </si>
  <si>
    <t xml:space="preserve">1. Lea la propuesta, su fundamento y, si la hay, la pregunta para desarrollo.</t>
  </si>
  <si>
    <t xml:space="preserve">2. Elija la decisión en la lista desplegable (celdas amarillas):</t>
  </si>
  <si>
    <t xml:space="preserve">     Aprobada: la propuesta se registra tal cual.</t>
  </si>
  <si>
    <t xml:space="preserve">     Aprobada con ajuste: escriba el texto correcto en «Descripción final».</t>
  </si>
  <si>
    <t xml:space="preserve">     Rechazada: la propuesta no corresponde; escriba la descripción correcta en «Descripción final» o explique en «Observaciones».</t>
  </si>
  <si>
    <t xml:space="preserve">     Requiere aclaración: falta información; anote la duda en «Observaciones».</t>
  </si>
  <si>
    <t xml:space="preserve">3. Registre quién revisó y la fecha. «Descripción a registrar» se calcula sola.</t>
  </si>
  <si>
    <t xml:space="preserve">     Ejemplo: Decisión = Aprobada con ajuste · Descripción final = «Valor de los viáticos de la comisión, en pesos colombianos, calculado como la suma de días pernoctados y no pernoctados.» · Revisado por = Equipo Viáticos · Fecha de revisión = 2026-10-23.</t>
  </si>
  <si>
    <t xml:space="preserve">4. La hoja «Métricas» muestra el avance por dominio, por confianza y por uso en la lógica.</t>
  </si>
  <si>
    <t xml:space="preserve">Columnas de la matriz</t>
  </si>
  <si>
    <t xml:space="preserve">Confianza: Alta (el nombre, el tipo y la lógica coinciden) · Media (el nombre es claro pero falta confirmar el uso) · Baja (el nombre es ambiguo; revisar con prioridad).</t>
  </si>
  <si>
    <t xml:space="preserve">Origen: «Código fuente» (redactada a partir del comentario del desarrollador en la entidad o la migración), «Regla estructural» (convención de nombre) o «Propuesta semántica» (redactada a partir del contexto de la base).</t>
  </si>
  <si>
    <t xml:space="preserve">Evidencia en código: archivo y línea del repositorio de la aplicación (rama micro-frontend) donde se define la columna, con el comentario del desarrollador, los valores del enum y las validaciones declaradas.</t>
  </si>
  <si>
    <t xml:space="preserve">Uso en lógica: funciones, procedimientos, triggers y vistas de la base que mencionan la columna. La lógica de la aplicación se resume en «Evidencia en código».</t>
  </si>
  <si>
    <t xml:space="preserve">Catálogo: la columna apunta a una tabla de catálogo, tiene valores permitidos (CHECK o tipo enumerado) o pertenece a una tabla de catálogo.</t>
  </si>
  <si>
    <t xml:space="preserve">Después de la revisión</t>
  </si>
  <si>
    <t xml:space="preserve">python herramientas/matriz_descripciones.py incorporar --matriz &lt;este archivo&gt;  → lleva las aprobadas a config/descripciones.csv (estado validada).</t>
  </si>
  <si>
    <t xml:space="preserve">Las validadas se publican en el portal y quedan listas para registrarse en la base con un lote COMMENT ON (con reversa), cuando haya autorización.</t>
  </si>
  <si>
    <t xml:space="preserve">Métricas de la revisión · Fase 2</t>
  </si>
  <si>
    <t xml:space="preserve">Avance general</t>
  </si>
  <si>
    <t xml:space="preserve">Indicador</t>
  </si>
  <si>
    <t xml:space="preserve">Valor</t>
  </si>
  <si>
    <t xml:space="preserve">Columnas en la matriz</t>
  </si>
  <si>
    <t xml:space="preserve">Pendiente</t>
  </si>
  <si>
    <t xml:space="preserve">Aprobada</t>
  </si>
  <si>
    <t xml:space="preserve">Aprobada con ajuste</t>
  </si>
  <si>
    <t xml:space="preserve">Rechazada</t>
  </si>
  <si>
    <t xml:space="preserve">Requiere aclaración</t>
  </si>
  <si>
    <t xml:space="preserve">Revisadas (decisión distinta de Pendiente)</t>
  </si>
  <si>
    <t xml:space="preserve">% revisado</t>
  </si>
  <si>
    <t xml:space="preserve">Con descripción a registrar</t>
  </si>
  <si>
    <t xml:space="preserve">Ajustes sin texto en «Descripción final»</t>
  </si>
  <si>
    <t xml:space="preserve">Cobertura de descripciones de columnas (indicador K02, meta ≥ 95 %)</t>
  </si>
  <si>
    <t xml:space="preserve">Concepto</t>
  </si>
  <si>
    <t xml:space="preserve">Columnas del alcance</t>
  </si>
  <si>
    <t xml:space="preserve">Con descripción registrada en la base (COMMENT)</t>
  </si>
  <si>
    <t xml:space="preserve">Validadas antes de esta matriz (config/descripciones.csv)</t>
  </si>
  <si>
    <t xml:space="preserve">Con descripción a registrar en esta matriz</t>
  </si>
  <si>
    <t xml:space="preserve">Cobertura actual</t>
  </si>
  <si>
    <t xml:space="preserve">Cobertura al incorporar la matriz</t>
  </si>
  <si>
    <t xml:space="preserve">Columnas que faltan para la meta de 95 %</t>
  </si>
  <si>
    <t xml:space="preserve">Columnas del alcance, base y validadas: cifras fijas de la extracción del 2026-10-22 y de config/descripciones.csv.</t>
  </si>
  <si>
    <t xml:space="preserve">Avance por dominio</t>
  </si>
  <si>
    <t xml:space="preserve">Dominio</t>
  </si>
  <si>
    <t xml:space="preserve">Esquema</t>
  </si>
  <si>
    <t xml:space="preserve">Columnas</t>
  </si>
  <si>
    <t xml:space="preserve">Aprobadas</t>
  </si>
  <si>
    <t xml:space="preserve">Rechazadas</t>
  </si>
  <si>
    <t xml:space="preserve">Por aclarar</t>
  </si>
  <si>
    <t xml:space="preserve">Pendientes</t>
  </si>
  <si>
    <t xml:space="preserve">Programación académica</t>
  </si>
  <si>
    <t xml:space="preserve">academic-schedule</t>
  </si>
  <si>
    <t xml:space="preserve">RUND</t>
  </si>
  <si>
    <t xml:space="preserve">academic_work_plan</t>
  </si>
  <si>
    <t xml:space="preserve">Contratación</t>
  </si>
  <si>
    <t xml:space="preserve">hiring</t>
  </si>
  <si>
    <t xml:space="preserve">Gestión de infraestructura</t>
  </si>
  <si>
    <t xml:space="preserve">infrastructure-management</t>
  </si>
  <si>
    <t xml:space="preserve">Viáticos y gastos de viaje</t>
  </si>
  <si>
    <t xml:space="preserve">travel_expenses</t>
  </si>
  <si>
    <t xml:space="preserve">Asistente virtual (chatbot)</t>
  </si>
  <si>
    <t xml:space="preserve">chatbot</t>
  </si>
  <si>
    <t xml:space="preserve">Total</t>
  </si>
  <si>
    <t xml:space="preserve">Avance por confianza y origen de la propuesta</t>
  </si>
  <si>
    <t xml:space="preserve">Grupo</t>
  </si>
  <si>
    <t xml:space="preserve">Confianza Alta</t>
  </si>
  <si>
    <t xml:space="preserve">Confianza Media</t>
  </si>
  <si>
    <t xml:space="preserve">Confianza Baja</t>
  </si>
  <si>
    <t xml:space="preserve">Origen: Código fuente</t>
  </si>
  <si>
    <t xml:space="preserve">Origen: Regla estructural</t>
  </si>
  <si>
    <t xml:space="preserve">Origen: Propuesta semántica</t>
  </si>
  <si>
    <t xml:space="preserve">Con evidencia en código</t>
  </si>
  <si>
    <t xml:space="preserve">Usadas en lógica de la base</t>
  </si>
  <si>
    <t xml:space="preserve">Relacionadas con catálogo</t>
  </si>
  <si>
    <t xml:space="preserve">ID</t>
  </si>
  <si>
    <t xml:space="preserve">Tabla</t>
  </si>
  <si>
    <t xml:space="preserve">Filas en QA</t>
  </si>
  <si>
    <t xml:space="preserve">Columna</t>
  </si>
  <si>
    <t xml:space="preserve">Tipo de dato</t>
  </si>
  <si>
    <t xml:space="preserve">Admite nulos</t>
  </si>
  <si>
    <t xml:space="preserve">Restricciones</t>
  </si>
  <si>
    <t xml:space="preserve">Valores permitidos</t>
  </si>
  <si>
    <t xml:space="preserve">Referencia (FK)</t>
  </si>
  <si>
    <t xml:space="preserve">Catálogo</t>
  </si>
  <si>
    <t xml:space="preserve">Uso en lógica</t>
  </si>
  <si>
    <t xml:space="preserve">Detalle del uso</t>
  </si>
  <si>
    <t xml:space="preserve">Índices</t>
  </si>
  <si>
    <t xml:space="preserve">Evidencia en código</t>
  </si>
  <si>
    <t xml:space="preserve">Origen</t>
  </si>
  <si>
    <t xml:space="preserve">Propuesta de descripción</t>
  </si>
  <si>
    <t xml:space="preserve">Confianza</t>
  </si>
  <si>
    <t xml:space="preserve">Fundamento</t>
  </si>
  <si>
    <t xml:space="preserve">Pregunta para desarrollo</t>
  </si>
  <si>
    <t xml:space="preserve">Decisión</t>
  </si>
  <si>
    <t xml:space="preserve">Descripción final</t>
  </si>
  <si>
    <t xml:space="preserve">Revisado por</t>
  </si>
  <si>
    <t xml:space="preserve">Fecha de revisión</t>
  </si>
  <si>
    <t xml:space="preserve">Observaciones</t>
  </si>
  <si>
    <t xml:space="preserve">Descripción a registrar</t>
  </si>
  <si>
    <t xml:space="preserve">C0001</t>
  </si>
  <si>
    <t xml:space="preserve">asignacion_docente</t>
  </si>
  <si>
    <t xml:space="preserve">estado</t>
  </si>
  <si>
    <t xml:space="preserve">character varying(30)</t>
  </si>
  <si>
    <t xml:space="preserve">No</t>
  </si>
  <si>
    <t xml:space="preserve">Regla estructural</t>
  </si>
  <si>
    <t xml:space="preserve">Estado del registro de asignacion_docente.</t>
  </si>
  <si>
    <t xml:space="preserve">Media</t>
  </si>
  <si>
    <t xml:space="preserve">Convención de nombre de la columna.</t>
  </si>
  <si>
    <t xml:space="preserve">C0002</t>
  </si>
  <si>
    <t xml:space="preserve">observaciones</t>
  </si>
  <si>
    <t xml:space="preserve">text</t>
  </si>
  <si>
    <t xml:space="preserve">Sí</t>
  </si>
  <si>
    <t xml:space="preserve">Observaciones registradas sobre el registro.</t>
  </si>
  <si>
    <t xml:space="preserve">C0003</t>
  </si>
  <si>
    <t xml:space="preserve">asignado_por</t>
  </si>
  <si>
    <t xml:space="preserve">character varying(120)</t>
  </si>
  <si>
    <t xml:space="preserve">academic-schedule-service/db/migrations/012_create_asignacion_docente.sql:42: Trazabilidad de quién asignó: la decisión es de una decanatura concreta.</t>
  </si>
  <si>
    <t xml:space="preserve">Código fuente</t>
  </si>
  <si>
    <t xml:space="preserve">Usuario de la decanatura que realizó la asignación del docente.</t>
  </si>
  <si>
    <t xml:space="preserve">Alta</t>
  </si>
  <si>
    <t xml:space="preserve">código: academic-schedule-service/db/migrations/012_create_asignacion_docente.sql:42</t>
  </si>
  <si>
    <t xml:space="preserve">C0004</t>
  </si>
  <si>
    <t xml:space="preserve">aula</t>
  </si>
  <si>
    <t xml:space="preserve">nombre</t>
  </si>
  <si>
    <t xml:space="preserve">Nombre del registro de aula.</t>
  </si>
  <si>
    <t xml:space="preserve">C0005</t>
  </si>
  <si>
    <t xml:space="preserve">sede_codigo</t>
  </si>
  <si>
    <t xml:space="preserve">character varying(40)</t>
  </si>
  <si>
    <t xml:space="preserve">Propuesta semántica</t>
  </si>
  <si>
    <t xml:space="preserve">Código de la sede donde se ubica el aula.</t>
  </si>
  <si>
    <t xml:space="preserve">nombre + tabla aula + columna vecina codigo</t>
  </si>
  <si>
    <t xml:space="preserve">C0006</t>
  </si>
  <si>
    <t xml:space="preserve">capacidad</t>
  </si>
  <si>
    <t xml:space="preserve">integer</t>
  </si>
  <si>
    <t xml:space="preserve">CHECK</t>
  </si>
  <si>
    <t xml:space="preserve">Número máximo de personas que admite el aula. Debe ser mayor o igual a cero; puede quedar vacío mientras no se registre.</t>
  </si>
  <si>
    <t xml:space="preserve">nombre + tipo integer + CHECK capacidad &gt;= 0 + descripción de la tabla</t>
  </si>
  <si>
    <t xml:space="preserve">C0007</t>
  </si>
  <si>
    <t xml:space="preserve">provisional</t>
  </si>
  <si>
    <t xml:space="preserve">boolean</t>
  </si>
  <si>
    <t xml:space="preserve">academic-schedule-service/db/migrations/015_aulas_y_bloqueo.sql:21: Deja explícito que es aprovisionamiento, no dato oficial.</t>
  </si>
  <si>
    <t xml:space="preserve">Indica si el aula se registró como aprovisionamiento provisional y no como dato oficial.</t>
  </si>
  <si>
    <t xml:space="preserve">código: academic-schedule-service/db/migrations/015_aulas_y_bloqueo.sql:21</t>
  </si>
  <si>
    <t xml:space="preserve">C0008</t>
  </si>
  <si>
    <t xml:space="preserve">tipo</t>
  </si>
  <si>
    <t xml:space="preserve">character varying(20)</t>
  </si>
  <si>
    <t xml:space="preserve">auditorio, aula</t>
  </si>
  <si>
    <t xml:space="preserve">Tipo del registro de aula.</t>
  </si>
  <si>
    <t xml:space="preserve">C0009</t>
  </si>
  <si>
    <t xml:space="preserve">piso</t>
  </si>
  <si>
    <t xml:space="preserve">smallint</t>
  </si>
  <si>
    <t xml:space="preserve">Número del piso en que se ubica el aula.</t>
  </si>
  <si>
    <t xml:space="preserve">nombre + tipo smallint</t>
  </si>
  <si>
    <t xml:space="preserve">¿Cómo se registran sótanos o mezzanines (valores negativos, cero)?</t>
  </si>
  <si>
    <t xml:space="preserve">C0010</t>
  </si>
  <si>
    <t xml:space="preserve">codigo_cetap</t>
  </si>
  <si>
    <t xml:space="preserve">Código del CETAP (Centro Territorial de Administración Pública) al que pertenece el aula, cuando no está en la Sede Central.</t>
  </si>
  <si>
    <t xml:space="preserve">nombre + contexto de programación territorial</t>
  </si>
  <si>
    <t xml:space="preserve">¿El código corresponde al catálogo oficial de CETAP? ¿Qué tabla es la fuente?</t>
  </si>
  <si>
    <t xml:space="preserve">C0011</t>
  </si>
  <si>
    <t xml:space="preserve">origen</t>
  </si>
  <si>
    <t xml:space="preserve">character varying(60)</t>
  </si>
  <si>
    <t xml:space="preserve">Origen del registro del aula (fuente o proceso de carga).</t>
  </si>
  <si>
    <t xml:space="preserve">Baja</t>
  </si>
  <si>
    <t xml:space="preserve">nombre genérico + descripción de la tabla que menciona el Lote 1</t>
  </si>
  <si>
    <t xml:space="preserve">¿Qué valores toma (por ejemplo, Lote 1, CRUD, importación) y quién lo asigna?</t>
  </si>
  <si>
    <t xml:space="preserve">C0012</t>
  </si>
  <si>
    <t xml:space="preserve">cetap_sin_catalogo</t>
  </si>
  <si>
    <t xml:space="preserve">territorial</t>
  </si>
  <si>
    <t xml:space="preserve">cetap_sin_catalogo_territorial_nombre_declarado_key</t>
  </si>
  <si>
    <t xml:space="preserve">Nombre de la dirección territorial que declaró el CETAP. Junto con nombre_declarado no se repite.</t>
  </si>
  <si>
    <t xml:space="preserve">nombre + índice único (territorial, nombre_declarado) + descripción de la tabla</t>
  </si>
  <si>
    <t xml:space="preserve">C0013</t>
  </si>
  <si>
    <t xml:space="preserve">nombre_declarado</t>
  </si>
  <si>
    <t xml:space="preserve">Nombre del CETAP tal como aparece en el detalle territorial, sin contraparte en el catálogo oficial.</t>
  </si>
  <si>
    <t xml:space="preserve">nombre + descripción de la tabla + índice único</t>
  </si>
  <si>
    <t xml:space="preserve">C0014</t>
  </si>
  <si>
    <t xml:space="preserve">registrado_en</t>
  </si>
  <si>
    <t xml:space="preserve">timestamp with time zone</t>
  </si>
  <si>
    <t xml:space="preserve">Fecha y hora del registro.</t>
  </si>
  <si>
    <t xml:space="preserve">C0015</t>
  </si>
  <si>
    <t xml:space="preserve">concertacion_docencia</t>
  </si>
  <si>
    <t xml:space="preserve">periodo_ref</t>
  </si>
  <si>
    <t xml:space="preserve">idx_concertacion_periodo_estado, uq_concertacion_docente_periodo_nivel</t>
  </si>
  <si>
    <t xml:space="preserve">academic-schedule-service/db/migrations/037_concertacion_docencia.sql:30: idPeriodo efectivo: id de periodo_academico (plataforma) o UUID (legado).</t>
  </si>
  <si>
    <t xml:space="preserve">Identificador del periodo académico de la concertación: id de periodo_academico (plataforma) o UUID (legado). Junto con el docente y el nivel no se repite.</t>
  </si>
  <si>
    <t xml:space="preserve">código: academic-schedule-service/db/migrations/037_concertacion_docencia.sql:30</t>
  </si>
  <si>
    <t xml:space="preserve">C0016</t>
  </si>
  <si>
    <t xml:space="preserve">nivel</t>
  </si>
  <si>
    <t xml:space="preserve">character varying(10)</t>
  </si>
  <si>
    <t xml:space="preserve">posgrado, pregrado</t>
  </si>
  <si>
    <t xml:space="preserve">uq_concertacion_docente_periodo_nivel</t>
  </si>
  <si>
    <t xml:space="preserve">Nivel de formación de la docencia concertada. Valores permitidos: pregrado, posgrado.</t>
  </si>
  <si>
    <t xml:space="preserve">valores permitidos del CHECK + índice único</t>
  </si>
  <si>
    <t xml:space="preserve">C0017</t>
  </si>
  <si>
    <t xml:space="preserve">APROBADA, DEVUELTA, ENVIADA, REVISADA</t>
  </si>
  <si>
    <t xml:space="preserve">idx_concertacion_periodo_estado</t>
  </si>
  <si>
    <t xml:space="preserve">Estado del registro de concertacion_docencia.</t>
  </si>
  <si>
    <t xml:space="preserve">C0018</t>
  </si>
  <si>
    <t xml:space="preserve">horas</t>
  </si>
  <si>
    <t xml:space="preserve">numeric(8,1)</t>
  </si>
  <si>
    <t xml:space="preserve">Número de horas de docencia concertadas, con un decimal.</t>
  </si>
  <si>
    <t xml:space="preserve">nombre + tipo numeric(8,1) + defecto 0</t>
  </si>
  <si>
    <t xml:space="preserve">¿Son horas semanales o totales del periodo?</t>
  </si>
  <si>
    <t xml:space="preserve">C0019</t>
  </si>
  <si>
    <t xml:space="preserve">franjas</t>
  </si>
  <si>
    <t xml:space="preserve">jsonb</t>
  </si>
  <si>
    <t xml:space="preserve">Franjas horarias concertadas, en formato JSON (lista).</t>
  </si>
  <si>
    <t xml:space="preserve">nombre + tipo jsonb + defecto lista vacía</t>
  </si>
  <si>
    <t xml:space="preserve">¿Qué estructura tiene cada elemento (día, hora de inicio, hora de fin, sede)?</t>
  </si>
  <si>
    <t xml:space="preserve">C0020</t>
  </si>
  <si>
    <t xml:space="preserve">huella</t>
  </si>
  <si>
    <t xml:space="preserve">character(64)</t>
  </si>
  <si>
    <t xml:space="preserve">Huella digital (hash de 64 caracteres hexadecimales, probablemente SHA-256) del contenido de la concertación.</t>
  </si>
  <si>
    <t xml:space="preserve">nombre + tipo character(64)</t>
  </si>
  <si>
    <t xml:space="preserve">¿Qué algoritmo se usa y sobre qué campos se calcula?</t>
  </si>
  <si>
    <t xml:space="preserve">C0021</t>
  </si>
  <si>
    <t xml:space="preserve">comentario</t>
  </si>
  <si>
    <t xml:space="preserve">Comentario u observación sobre la concertación.</t>
  </si>
  <si>
    <t xml:space="preserve">nombre + tipo text</t>
  </si>
  <si>
    <t xml:space="preserve">C0022</t>
  </si>
  <si>
    <t xml:space="preserve">notificada_pta_en</t>
  </si>
  <si>
    <t xml:space="preserve">academic-schedule-service/db/migrations/037_concertacion_docencia.sql:40: Entrega al PTA por el contrato (EFDS-2315). Pendiente = se reintenta.</t>
  </si>
  <si>
    <t xml:space="preserve">Fecha y hora, con zona horaria, en que la concertación se entregó al PTA por el contrato; si está vacía, la entrega está pendiente y se reintenta (EFDS-2315).</t>
  </si>
  <si>
    <t xml:space="preserve">código: academic-schedule-service/db/migrations/037_concertacion_docencia.sql:40</t>
  </si>
  <si>
    <t xml:space="preserve">¿Qué significa la sigla PTA en este contexto (plan de trabajo académico)?</t>
  </si>
  <si>
    <t xml:space="preserve">C0023</t>
  </si>
  <si>
    <t xml:space="preserve">error_notificacion</t>
  </si>
  <si>
    <t xml:space="preserve">Mensaje de error registrado si falló la notificación al PTA.</t>
  </si>
  <si>
    <t xml:space="preserve">nombre + tipo text + columna vecina notificada_pta_en</t>
  </si>
  <si>
    <t xml:space="preserve">C0024</t>
  </si>
  <si>
    <t xml:space="preserve">aplicacion_pta</t>
  </si>
  <si>
    <t xml:space="preserve">Identificador o resultado de la aplicación de la concertación en el PTA.</t>
  </si>
  <si>
    <t xml:space="preserve">nombre + columnas vecinas notificada_pta_en</t>
  </si>
  <si>
    <t xml:space="preserve">¿Qué guarda: un identificador devuelto por el PTA, un estado o una fecha en texto?</t>
  </si>
  <si>
    <t xml:space="preserve">C0025</t>
  </si>
  <si>
    <t xml:space="preserve">concertacion_firma</t>
  </si>
  <si>
    <t xml:space="preserve">rol</t>
  </si>
  <si>
    <t xml:space="preserve">aprobador, docente, revisor</t>
  </si>
  <si>
    <t xml:space="preserve">Rol con que firma el usuario la concertación. Valores permitidos: docente, revisor, aprobador.</t>
  </si>
  <si>
    <t xml:space="preserve">valores permitidos del CHECK</t>
  </si>
  <si>
    <t xml:space="preserve">C0026</t>
  </si>
  <si>
    <t xml:space="preserve">id_user</t>
  </si>
  <si>
    <t xml:space="preserve">uuid</t>
  </si>
  <si>
    <t xml:space="preserve">Identificador del usuario que firma.</t>
  </si>
  <si>
    <t xml:space="preserve">nombre + tipo uuid + columna vecina firmado_en</t>
  </si>
  <si>
    <t xml:space="preserve">C0027</t>
  </si>
  <si>
    <t xml:space="preserve">firmado_en</t>
  </si>
  <si>
    <t xml:space="preserve">Fecha y hora de la firma.</t>
  </si>
  <si>
    <t xml:space="preserve">C0028</t>
  </si>
  <si>
    <t xml:space="preserve">modo_otp</t>
  </si>
  <si>
    <t xml:space="preserve">real, simulado</t>
  </si>
  <si>
    <t xml:space="preserve">Modo de la verificación por código de un solo uso (OTP) usada en la firma. Valores permitidos: real, simulado.</t>
  </si>
  <si>
    <t xml:space="preserve">nombre + valores permitidos del CHECK</t>
  </si>
  <si>
    <t xml:space="preserve">C0029</t>
  </si>
  <si>
    <t xml:space="preserve">Huella digital (hash de 64 caracteres, probablemente SHA-256) del contenido firmado.</t>
  </si>
  <si>
    <t xml:space="preserve">¿Qué algoritmo se usa y coincide con la huella de concertacion_docencia en el momento de la firma?</t>
  </si>
  <si>
    <t xml:space="preserve">C0030</t>
  </si>
  <si>
    <t xml:space="preserve">contexto</t>
  </si>
  <si>
    <t xml:space="preserve">character varying(160)</t>
  </si>
  <si>
    <t xml:space="preserve">academic-schedule-service/db/migrations/037_concertacion_docencia.sql:73: Contexto del OTP: prog-docencia:&lt;id&gt;:&lt;huella&gt;:&lt;rol&gt; (el mismo formato que usará auth-service cuando se pase a firma real).</t>
  </si>
  <si>
    <t xml:space="preserve">Contexto del OTP de la firma, con formato prog-docencia:&lt;id&gt;:&lt;huella&gt;:&lt;rol&gt;.</t>
  </si>
  <si>
    <t xml:space="preserve">código: academic-schedule-service/db/migrations/037_concertacion_docencia.sql:73</t>
  </si>
  <si>
    <t xml:space="preserve">C0031</t>
  </si>
  <si>
    <t xml:space="preserve">concertacion_historial</t>
  </si>
  <si>
    <t xml:space="preserve">accion</t>
  </si>
  <si>
    <t xml:space="preserve">Acción realizada sobre la concertación.</t>
  </si>
  <si>
    <t xml:space="preserve">nombre + tabla de historial</t>
  </si>
  <si>
    <t xml:space="preserve">¿Qué valores toma (crear, firmar, devolver, aprobar…)?</t>
  </si>
  <si>
    <t xml:space="preserve">C0032</t>
  </si>
  <si>
    <t xml:space="preserve">estado_anterior</t>
  </si>
  <si>
    <t xml:space="preserve">Estado de la concertación antes de la acción. Vacío cuando no había estado previo.</t>
  </si>
  <si>
    <t xml:space="preserve">nombre + columna vecina estado_nuevo</t>
  </si>
  <si>
    <t xml:space="preserve">C0033</t>
  </si>
  <si>
    <t xml:space="preserve">estado_nuevo</t>
  </si>
  <si>
    <t xml:space="preserve">Estado de la concertación después de la acción.</t>
  </si>
  <si>
    <t xml:space="preserve">nombre + columna vecina estado_anterior</t>
  </si>
  <si>
    <t xml:space="preserve">C0034</t>
  </si>
  <si>
    <t xml:space="preserve">Identificador del usuario que realizó la acción.</t>
  </si>
  <si>
    <t xml:space="preserve">nombre + tipo uuid + tabla de historial</t>
  </si>
  <si>
    <t xml:space="preserve">C0035</t>
  </si>
  <si>
    <t xml:space="preserve">Comentario registrado con la acción.</t>
  </si>
  <si>
    <t xml:space="preserve">C0036</t>
  </si>
  <si>
    <t xml:space="preserve">en</t>
  </si>
  <si>
    <t xml:space="preserve">Fecha y hora en que se registró la acción, con zona horaria.</t>
  </si>
  <si>
    <t xml:space="preserve">nombre + tipo timestamptz + defecto now()</t>
  </si>
  <si>
    <t xml:space="preserve">C0037</t>
  </si>
  <si>
    <t xml:space="preserve">concertacion_revision</t>
  </si>
  <si>
    <t xml:space="preserve">Identificador del usuario que hizo la revisión.</t>
  </si>
  <si>
    <t xml:space="preserve">nombre + tipo uuid + columna vecina revisado_en</t>
  </si>
  <si>
    <t xml:space="preserve">C0038</t>
  </si>
  <si>
    <t xml:space="preserve">revisado_en</t>
  </si>
  <si>
    <t xml:space="preserve">Fecha y hora de la revisión.</t>
  </si>
  <si>
    <t xml:space="preserve">C0039</t>
  </si>
  <si>
    <t xml:space="preserve">equivalencia_periodo</t>
  </si>
  <si>
    <t xml:space="preserve">codigo_periodo_academico</t>
  </si>
  <si>
    <t xml:space="preserve">Función academic-schedule.reapuntar_grupos_por_equivalencia — academic-schedule.reapuntar_grupos_por_equivalencia: JOIN academic_work_plan.periodo_academico pa    ON pa.codigo = e.codigo_periodo_academico</t>
  </si>
  <si>
    <t xml:space="preserve">Código del periodo académico (academic_work_plan.periodo_academico) equivalente al código de programación.</t>
  </si>
  <si>
    <t xml:space="preserve">uso en la función reapuntar_grupos_por_equivalencia (JOIN con periodo_academico.codigo)</t>
  </si>
  <si>
    <t xml:space="preserve">C0040</t>
  </si>
  <si>
    <t xml:space="preserve">tipo_oferta</t>
  </si>
  <si>
    <t xml:space="preserve">creditos_virtual, interperiodo, periodo_regular</t>
  </si>
  <si>
    <t xml:space="preserve">Función academic-schedule.reapuntar_grupos_por_equivalencia — academic-schedule.reapuntar_grupos_por_equivalencia: tipo_oferta          = e.tipo_oferta,</t>
  </si>
  <si>
    <t xml:space="preserve">Tipo de oferta que se asigna a los grupos del periodo equivalente. Valores permitidos: periodo_regular, interperiodo, creditos_virtual.</t>
  </si>
  <si>
    <t xml:space="preserve">valores permitidos del CHECK + uso en la función reapuntar_grupos_por_equivalencia</t>
  </si>
  <si>
    <t xml:space="preserve">C0041</t>
  </si>
  <si>
    <t xml:space="preserve">motivo</t>
  </si>
  <si>
    <t xml:space="preserve">Justificación de la equivalencia entre periodos.</t>
  </si>
  <si>
    <t xml:space="preserve">nombre + tipo text not null</t>
  </si>
  <si>
    <t xml:space="preserve">C0042</t>
  </si>
  <si>
    <t xml:space="preserve">franja_horaria</t>
  </si>
  <si>
    <t xml:space="preserve">id_docente</t>
  </si>
  <si>
    <t xml:space="preserve">Función academic-schedule.fn_propagar_docente_a_franjas — academic-schedule.fn_propagar_docente_a_franjas: SET id_docente = NEW.id_docente</t>
  </si>
  <si>
    <t xml:space="preserve">idx_franja_docente_dia_horario</t>
  </si>
  <si>
    <t xml:space="preserve">Identificador del docente asignado a la franja. Se propaga desde el grupo mediante la función fn_propagar_docente_a_franjas.</t>
  </si>
  <si>
    <t xml:space="preserve">nombre + tipo uuid + uso en la función fn_propagar_docente_a_franjas + CHECK que menciona PUBLICADA</t>
  </si>
  <si>
    <t xml:space="preserve">El CHECK asociado menciona el valor PUBLICADA: ¿exige docente cuando la franja está publicada?</t>
  </si>
  <si>
    <t xml:space="preserve">C0043</t>
  </si>
  <si>
    <t xml:space="preserve">character varying(50)</t>
  </si>
  <si>
    <t xml:space="preserve">academic-schedule-service/src/horarios/franja-horaria.entity.ts:52: Nullable: el horario se define antes de asignar salón.</t>
  </si>
  <si>
    <t xml:space="preserve">Código de la sede donde se dicta la franja. Queda vacío mientras no se asigna salón, porque el horario se define antes.</t>
  </si>
  <si>
    <t xml:space="preserve">código: academic-schedule-service/src/horarios/franja-horaria.entity.ts:52</t>
  </si>
  <si>
    <t xml:space="preserve">¿El código corresponde a una tabla de sedes y cuál?</t>
  </si>
  <si>
    <t xml:space="preserve">C0044</t>
  </si>
  <si>
    <t xml:space="preserve">aula_codigo</t>
  </si>
  <si>
    <t xml:space="preserve">idx_franja_aula_dia_horario</t>
  </si>
  <si>
    <t xml:space="preserve">Mapeada en academic-schedule-service/src/horarios/franja-horaria.entity.ts:55 (FranjaHorariaEntity.aulaCodigo)</t>
  </si>
  <si>
    <t xml:space="preserve">Código del aula donde se dicta la franja.</t>
  </si>
  <si>
    <t xml:space="preserve">nombre + índice por aula, día y horario</t>
  </si>
  <si>
    <t xml:space="preserve">C0045</t>
  </si>
  <si>
    <t xml:space="preserve">dia_semana</t>
  </si>
  <si>
    <t xml:space="preserve">character varying(15)</t>
  </si>
  <si>
    <t xml:space="preserve">DOMINGO, JUEVES, LUNES, MARTES, MIERCOLES, SABADO, VIERNES</t>
  </si>
  <si>
    <t xml:space="preserve">idx_franja_aula_dia_horario, idx_franja_docente_dia_horario</t>
  </si>
  <si>
    <t xml:space="preserve">Mapeada en academic-schedule-service/src/horarios/franja-horaria.entity.ts:35 (FranjaHorariaEntity.diaSemana)</t>
  </si>
  <si>
    <t xml:space="preserve">Día de la semana de la franja. Valores permitidos: LUNES, MARTES, MIERCOLES, JUEVES, VIERNES, SABADO, DOMINGO.</t>
  </si>
  <si>
    <t xml:space="preserve">C0046</t>
  </si>
  <si>
    <t xml:space="preserve">hora_inicio</t>
  </si>
  <si>
    <t xml:space="preserve">time without time zone</t>
  </si>
  <si>
    <t xml:space="preserve">academic-schedule-service/src/horarios/franja-horaria.entity.ts:39: 'HH:MM' o 'HH:MM:SS'. Arbitraria: 11:05 a 12:35 es válido (AC-03).</t>
  </si>
  <si>
    <t xml:space="preserve">Hora de inicio de la franja, en formato HH:MM o HH:MM:SS; admite horas arbitrarias (por ejemplo, 11:05). Debe ser anterior a hora_fin (AC-03).</t>
  </si>
  <si>
    <t xml:space="preserve">código: academic-schedule-service/src/horarios/franja-horaria.entity.ts:39</t>
  </si>
  <si>
    <t xml:space="preserve">C0047</t>
  </si>
  <si>
    <t xml:space="preserve">hora_fin</t>
  </si>
  <si>
    <t xml:space="preserve">Mapeada en academic-schedule-service/src/horarios/franja-horaria.entity.ts:42 (FranjaHorariaEntity.horaFin)</t>
  </si>
  <si>
    <t xml:space="preserve">Hora de finalización de la franja. Debe ser posterior a hora_inicio.</t>
  </si>
  <si>
    <t xml:space="preserve">nombre + tipo time + CHECK hora_fin &gt; hora_inicio</t>
  </si>
  <si>
    <t xml:space="preserve">C0048</t>
  </si>
  <si>
    <t xml:space="preserve">jornada</t>
  </si>
  <si>
    <t xml:space="preserve">DISTANCIA, DIURNA, FIN_DE_SEMANA, NOCTURNA</t>
  </si>
  <si>
    <t xml:space="preserve">Mapeada en academic-schedule-service/src/horarios/franja-horaria.entity.ts:48 (FranjaHorariaEntity.jornada)</t>
  </si>
  <si>
    <t xml:space="preserve">Jornada de la franja. Valores permitidos: DIURNA, NOCTURNA, FIN_DE_SEMANA, DISTANCIA. Por defecto, DIURNA.</t>
  </si>
  <si>
    <t xml:space="preserve">valores permitidos del CHECK + defecto</t>
  </si>
  <si>
    <t xml:space="preserve">C0049</t>
  </si>
  <si>
    <t xml:space="preserve">cupo_maximo</t>
  </si>
  <si>
    <t xml:space="preserve">Número máximo de estudiantes de la franja. Por defecto, 30.</t>
  </si>
  <si>
    <t xml:space="preserve">nombre + tipo integer + defecto 30</t>
  </si>
  <si>
    <t xml:space="preserve">¿Este cupo es independiente del cupo_maximo del grupo o se hereda de él?</t>
  </si>
  <si>
    <t xml:space="preserve">C0050</t>
  </si>
  <si>
    <t xml:space="preserve">APROBADA, DEVUELTA, PROGRAMADO, PUBLICADA, TOMADA</t>
  </si>
  <si>
    <t xml:space="preserve">Mapeada en academic-schedule-service/src/horarios/franja-horaria.entity.ts:58 (FranjaHorariaEntity.estado)</t>
  </si>
  <si>
    <t xml:space="preserve">Estado del registro de franja_horaria.</t>
  </si>
  <si>
    <t xml:space="preserve">C0051</t>
  </si>
  <si>
    <t xml:space="preserve">comentario_jefatura</t>
  </si>
  <si>
    <t xml:space="preserve">Comentario de la jefatura sobre la franja.</t>
  </si>
  <si>
    <t xml:space="preserve">¿A qué jefatura se refiere (jefatura de programa o de departamento) y en qué momento lo registra?</t>
  </si>
  <si>
    <t xml:space="preserve">C0052</t>
  </si>
  <si>
    <t xml:space="preserve">excepcion</t>
  </si>
  <si>
    <t xml:space="preserve">Indica si aplica: excepción.</t>
  </si>
  <si>
    <t xml:space="preserve">C0053</t>
  </si>
  <si>
    <t xml:space="preserve">grupo</t>
  </si>
  <si>
    <t xml:space="preserve">numero_grupo</t>
  </si>
  <si>
    <t xml:space="preserve">uq_grupo_numero_plataforma, uq_grupo_numero_por_asignatura_periodo</t>
  </si>
  <si>
    <t xml:space="preserve">academic-schedule-service/db/migrations/005_create_grupo.sql:29: Numeración secuencial dentro de (asignatura, periodo). La estrategia que la calcula está aislada en el servicio y es reemplazable: la regla definitiva sigue pendiente de confirmación con las decanaturas (bloqueo B-4).</t>
  </si>
  <si>
    <t xml:space="preserve">Número secuencial del grupo dentro de la asignatura y el periodo. Debe ser mayor que cero.</t>
  </si>
  <si>
    <t xml:space="preserve">código: academic-schedule-service/db/migrations/005_create_grupo.sql:29</t>
  </si>
  <si>
    <t xml:space="preserve">La regla de numeración sigue pendiente de confirmación con las decanaturas (bloqueo B-4): ¿cuál es la regla definitiva?</t>
  </si>
  <si>
    <t xml:space="preserve">C0054</t>
  </si>
  <si>
    <t xml:space="preserve">Mapeada en academic-schedule-service/src/grupos/grupo.entity.ts:52 (GrupoEntity.cupoMaximo)</t>
  </si>
  <si>
    <t xml:space="preserve">Número máximo de estudiantes del grupo. Debe ser mayor que cero; por defecto, 30.</t>
  </si>
  <si>
    <t xml:space="preserve">nombre + CHECK cupo_maximo &gt; 0 + defecto 30</t>
  </si>
  <si>
    <t xml:space="preserve">C0055</t>
  </si>
  <si>
    <t xml:space="preserve">Mapeada en academic-schedule-service/src/grupos/grupo.entity.ts:55 (GrupoEntity.estado)</t>
  </si>
  <si>
    <t xml:space="preserve">Estado del registro de grupo.</t>
  </si>
  <si>
    <t xml:space="preserve">C0056</t>
  </si>
  <si>
    <t xml:space="preserve">Mapeada en academic-schedule-service/src/grupos/grupo.entity.ts:58 (GrupoEntity.observaciones)</t>
  </si>
  <si>
    <t xml:space="preserve">C0057</t>
  </si>
  <si>
    <t xml:space="preserve">fecha_fin</t>
  </si>
  <si>
    <t xml:space="preserve">date</t>
  </si>
  <si>
    <t xml:space="preserve">Mapeada en academic-schedule-service/src/grupos/grupo.entity.ts:65 (GrupoEntity.fechaFin)</t>
  </si>
  <si>
    <t xml:space="preserve">Fecha de finalización.</t>
  </si>
  <si>
    <t xml:space="preserve">C0058</t>
  </si>
  <si>
    <t xml:space="preserve">uq_grupo_numero_plataforma</t>
  </si>
  <si>
    <t xml:space="preserve">academic-schedule-service/src/grupos/grupo.entity.ts:35: Oferta del grupo dentro del periodo de plataforma (migración 036).</t>
  </si>
  <si>
    <t xml:space="preserve">Tipo de oferta del grupo dentro del periodo de plataforma. Valores permitidos: periodo_regular, interperiodo, creditos_virtual.</t>
  </si>
  <si>
    <t xml:space="preserve">código: academic-schedule-service/src/grupos/grupo.entity.ts:35</t>
  </si>
  <si>
    <t xml:space="preserve">C0059</t>
  </si>
  <si>
    <t xml:space="preserve">jefatura_territorial</t>
  </si>
  <si>
    <t xml:space="preserve">asignado_en</t>
  </si>
  <si>
    <t xml:space="preserve">Fecha y hora de la asignación.</t>
  </si>
  <si>
    <t xml:space="preserve">C0060</t>
  </si>
  <si>
    <t xml:space="preserve">periodo_programacion</t>
  </si>
  <si>
    <t xml:space="preserve">codigo</t>
  </si>
  <si>
    <t xml:space="preserve">Única</t>
  </si>
  <si>
    <t xml:space="preserve">Función academic-schedule.reapuntar_grupos_por_equivalencia — academic-schedule.reapuntar_grupos_por_equivalencia: JOIN "academic-schedule".equivalencia_periodo e ON e.codigo_programacion = pp.codigo</t>
  </si>
  <si>
    <t xml:space="preserve">periodo_programacion_codigo_key</t>
  </si>
  <si>
    <t xml:space="preserve">Código del registro de periodo_programacion. Único en la tabla.</t>
  </si>
  <si>
    <t xml:space="preserve">C0061</t>
  </si>
  <si>
    <t xml:space="preserve">character varying(100)</t>
  </si>
  <si>
    <t xml:space="preserve">Nombre del registro de periodo_programacion.</t>
  </si>
  <si>
    <t xml:space="preserve">C0062</t>
  </si>
  <si>
    <t xml:space="preserve">fecha_inicio</t>
  </si>
  <si>
    <t xml:space="preserve">Fecha de inicio.</t>
  </si>
  <si>
    <t xml:space="preserve">C0063</t>
  </si>
  <si>
    <t xml:space="preserve">C0064</t>
  </si>
  <si>
    <t xml:space="preserve">programacion_historica</t>
  </si>
  <si>
    <t xml:space="preserve">periodo</t>
  </si>
  <si>
    <t xml:space="preserve">idx_hist_periodo</t>
  </si>
  <si>
    <t xml:space="preserve">Periodo académico de la programación (por ejemplo, 2026-1 o 2026-V1), tal como llegó en la programación histórica.</t>
  </si>
  <si>
    <t xml:space="preserve">nombre + descripción de la tabla + índice</t>
  </si>
  <si>
    <t xml:space="preserve">C0065</t>
  </si>
  <si>
    <t xml:space="preserve">Tipo de oferta de la programación, tal como llegó en la programación histórica.</t>
  </si>
  <si>
    <t xml:space="preserve">nombre + columna homónima en grupo</t>
  </si>
  <si>
    <t xml:space="preserve">¿Usa los mismos valores que grupo.tipo_oferta o los de la fuente original?</t>
  </si>
  <si>
    <t xml:space="preserve">C0066</t>
  </si>
  <si>
    <t xml:space="preserve">cod_sede</t>
  </si>
  <si>
    <t xml:space="preserve">Código de la sede, tal como llegó en la programación histórica.</t>
  </si>
  <si>
    <t xml:space="preserve">nombre + columnas vecinas sede y seccional</t>
  </si>
  <si>
    <t xml:space="preserve">C0067</t>
  </si>
  <si>
    <t xml:space="preserve">seccional</t>
  </si>
  <si>
    <t xml:space="preserve">character varying(80)</t>
  </si>
  <si>
    <t xml:space="preserve">Nombre de la seccional, tal como llegó en la programación histórica.</t>
  </si>
  <si>
    <t xml:space="preserve">nombre + columnas vecinas sede y cod_sede</t>
  </si>
  <si>
    <t xml:space="preserve">C0068</t>
  </si>
  <si>
    <t xml:space="preserve">sede</t>
  </si>
  <si>
    <t xml:space="preserve">Nombre de la sede, tal como llegó en la programación histórica.</t>
  </si>
  <si>
    <t xml:space="preserve">nombre + columna vecina cod_sede</t>
  </si>
  <si>
    <t xml:space="preserve">C0069</t>
  </si>
  <si>
    <t xml:space="preserve">pensum</t>
  </si>
  <si>
    <t xml:space="preserve">Código del pensum (plan de estudios), tal como llegó en la programación histórica.</t>
  </si>
  <si>
    <t xml:space="preserve">nombre + descripción de la tabla (PROGRAMA_PENSUM)</t>
  </si>
  <si>
    <t xml:space="preserve">¿Es el código o la versión del pensum?</t>
  </si>
  <si>
    <t xml:space="preserve">C0070</t>
  </si>
  <si>
    <t xml:space="preserve">programa</t>
  </si>
  <si>
    <t xml:space="preserve">Código del programa académico, tal como llegó en la programación histórica.</t>
  </si>
  <si>
    <t xml:space="preserve">nombre + tipo varchar(20) + descripción de la tabla</t>
  </si>
  <si>
    <t xml:space="preserve">¿Es un código o una sigla del programa?</t>
  </si>
  <si>
    <t xml:space="preserve">C0071</t>
  </si>
  <si>
    <t xml:space="preserve">cod_asigna</t>
  </si>
  <si>
    <t xml:space="preserve">Código compuesto PROGRAMA_PENSUM de la asignatura; no es el código de la materia.</t>
  </si>
  <si>
    <t xml:space="preserve">descripción de la tabla</t>
  </si>
  <si>
    <t xml:space="preserve">C0072</t>
  </si>
  <si>
    <t xml:space="preserve">asignatura</t>
  </si>
  <si>
    <t xml:space="preserve">character varying(200)</t>
  </si>
  <si>
    <t xml:space="preserve">Nombre de la asignatura, tal como llegó en la programación histórica.</t>
  </si>
  <si>
    <t xml:space="preserve">nombre + tipo varchar(200)</t>
  </si>
  <si>
    <t xml:space="preserve">C0073</t>
  </si>
  <si>
    <t xml:space="preserve">detalle_asignatura</t>
  </si>
  <si>
    <t xml:space="preserve">Texto adicional que describe la asignatura, tal como llegó en la programación histórica.</t>
  </si>
  <si>
    <t xml:space="preserve">¿Qué contiene (contenido, modalidad, observaciones)?</t>
  </si>
  <si>
    <t xml:space="preserve">C0074</t>
  </si>
  <si>
    <t xml:space="preserve">creditos</t>
  </si>
  <si>
    <t xml:space="preserve">Número de créditos académicos de la asignatura.</t>
  </si>
  <si>
    <t xml:space="preserve">C0075</t>
  </si>
  <si>
    <t xml:space="preserve">semestre</t>
  </si>
  <si>
    <t xml:space="preserve">Semestre del plan de estudios en que se ubica la asignatura.</t>
  </si>
  <si>
    <t xml:space="preserve">C0076</t>
  </si>
  <si>
    <t xml:space="preserve">Número de horas de la asignatura.</t>
  </si>
  <si>
    <t xml:space="preserve">nombre + tipo smallint + columna vecina hrs_clase</t>
  </si>
  <si>
    <t xml:space="preserve">¿Son horas totales del periodo o semanales? ¿En qué se diferencia de hrs_clase?</t>
  </si>
  <si>
    <t xml:space="preserve">C0077</t>
  </si>
  <si>
    <t xml:space="preserve">Jornada del grupo, tal como llegó en la programación histórica.</t>
  </si>
  <si>
    <t xml:space="preserve">nombre + columna homónima en franja_horaria</t>
  </si>
  <si>
    <t xml:space="preserve">C0078</t>
  </si>
  <si>
    <t xml:space="preserve">cedula_docente</t>
  </si>
  <si>
    <t xml:space="preserve">idx_hist_docente</t>
  </si>
  <si>
    <t xml:space="preserve">Número de cédula del docente asignado, tal como llegó en la programación histórica.</t>
  </si>
  <si>
    <t xml:space="preserve">nombre + índice idx_hist_docente</t>
  </si>
  <si>
    <t xml:space="preserve">C0079</t>
  </si>
  <si>
    <t xml:space="preserve">nombre_docente</t>
  </si>
  <si>
    <t xml:space="preserve">character varying(150)</t>
  </si>
  <si>
    <t xml:space="preserve">Nombre completo del docente asignado, tal como llegó en la programación histórica.</t>
  </si>
  <si>
    <t xml:space="preserve">nombre + columna vecina cedula_docente</t>
  </si>
  <si>
    <t xml:space="preserve">C0080</t>
  </si>
  <si>
    <t xml:space="preserve">vinculacion_docente</t>
  </si>
  <si>
    <t xml:space="preserve">Tipo de vinculación del docente (por ejemplo, planta u ocasional), tal como llegó en la programación histórica.</t>
  </si>
  <si>
    <t xml:space="preserve">¿Qué valores trae la fuente?</t>
  </si>
  <si>
    <t xml:space="preserve">C0081</t>
  </si>
  <si>
    <t xml:space="preserve">C0082</t>
  </si>
  <si>
    <t xml:space="preserve">C0083</t>
  </si>
  <si>
    <t xml:space="preserve">dia</t>
  </si>
  <si>
    <t xml:space="preserve">idx_hist_aula_dia</t>
  </si>
  <si>
    <t xml:space="preserve">Día de la semana de la sesión, en texto, tal como llegó en la programación histórica.</t>
  </si>
  <si>
    <t xml:space="preserve">nombre + índice por aula y día</t>
  </si>
  <si>
    <t xml:space="preserve">C0084</t>
  </si>
  <si>
    <t xml:space="preserve">Hora de inicio de la sesión, en texto, tal como llegó en la programación histórica.</t>
  </si>
  <si>
    <t xml:space="preserve">nombre + tipo varchar(10) + índice</t>
  </si>
  <si>
    <t xml:space="preserve">C0085</t>
  </si>
  <si>
    <t xml:space="preserve">Hora de finalización de la sesión, en texto, tal como llegó en la programación histórica.</t>
  </si>
  <si>
    <t xml:space="preserve">C0086</t>
  </si>
  <si>
    <t xml:space="preserve">hrs_clase</t>
  </si>
  <si>
    <t xml:space="preserve">Duración de la sesión de clase en horas, en texto.</t>
  </si>
  <si>
    <t xml:space="preserve">nombre + tipo varchar(10)</t>
  </si>
  <si>
    <t xml:space="preserve">¿Es la duración de cada sesión o el total de horas de clase? ¿En qué formato viene?</t>
  </si>
  <si>
    <t xml:space="preserve">C0087</t>
  </si>
  <si>
    <t xml:space="preserve">Nombre o código del aula, tal como llegó en la programación histórica.</t>
  </si>
  <si>
    <t xml:space="preserve">C0088</t>
  </si>
  <si>
    <t xml:space="preserve">estado_aula</t>
  </si>
  <si>
    <t xml:space="preserve">Estado de la asignación del aula en la fuente.</t>
  </si>
  <si>
    <t xml:space="preserve">nombre + tipo varchar(20)</t>
  </si>
  <si>
    <t xml:space="preserve">¿Qué valores toma (asignada, pendiente…) y quién los define?</t>
  </si>
  <si>
    <t xml:space="preserve">C0089</t>
  </si>
  <si>
    <t xml:space="preserve">estado_docente</t>
  </si>
  <si>
    <t xml:space="preserve">Estado de la asignación del docente en la fuente.</t>
  </si>
  <si>
    <t xml:space="preserve">¿Qué valores toma (asignado, por contratar…) y quién los define?</t>
  </si>
  <si>
    <t xml:space="preserve">C0090</t>
  </si>
  <si>
    <t xml:space="preserve">importado_en</t>
  </si>
  <si>
    <t xml:space="preserve">Fecha y hora en que se importó el registro, con zona horaria.</t>
  </si>
  <si>
    <t xml:space="preserve">C0091</t>
  </si>
  <si>
    <t xml:space="preserve">programacion_periodo</t>
  </si>
  <si>
    <t xml:space="preserve">abierta, cerrada</t>
  </si>
  <si>
    <t xml:space="preserve">Estado del registro de programacion_periodo.</t>
  </si>
  <si>
    <t xml:space="preserve">C0092</t>
  </si>
  <si>
    <t xml:space="preserve">cerrada_en</t>
  </si>
  <si>
    <t xml:space="preserve">Fecha y hora del cierre.</t>
  </si>
  <si>
    <t xml:space="preserve">C0093</t>
  </si>
  <si>
    <t xml:space="preserve">cerrada_por</t>
  </si>
  <si>
    <t xml:space="preserve">Usuario que realizó el cierre.</t>
  </si>
  <si>
    <t xml:space="preserve">C0094</t>
  </si>
  <si>
    <t xml:space="preserve">Docente</t>
  </si>
  <si>
    <t xml:space="preserve">territorialId</t>
  </si>
  <si>
    <t xml:space="preserve">idx_docente_territorialId</t>
  </si>
  <si>
    <t xml:space="preserve">Mapeada en academic-work-plan-service/src/pta/entities/docente.entity.ts:11 (DocenteEntity.territorialId)</t>
  </si>
  <si>
    <t xml:space="preserve">Identificador de la dirección territorial a la que pertenece el docente.</t>
  </si>
  <si>
    <t xml:space="preserve">nombre + índice</t>
  </si>
  <si>
    <t xml:space="preserve">C0095</t>
  </si>
  <si>
    <t xml:space="preserve">tipoVinculacion</t>
  </si>
  <si>
    <t xml:space="preserve">idx_docente_tipoVinculacion</t>
  </si>
  <si>
    <t xml:space="preserve">Mapeada en academic-work-plan-service/src/pta/entities/docente.entity.ts:23 (DocenteEntity.tipoVinculacion)</t>
  </si>
  <si>
    <t xml:space="preserve">Tipo de vinculación del docente con la ESAP (por ejemplo, planta u ocasional).</t>
  </si>
  <si>
    <t xml:space="preserve">nombre + índice + columna vecina vinculacionDisplay</t>
  </si>
  <si>
    <t xml:space="preserve">¿Qué valores toma?</t>
  </si>
  <si>
    <t xml:space="preserve">C0096</t>
  </si>
  <si>
    <t xml:space="preserve">dedicacion</t>
  </si>
  <si>
    <t xml:space="preserve">Mapeada en academic-work-plan-service/src/pta/entities/docente.entity.ts:29 (DocenteEntity.dedicacion)</t>
  </si>
  <si>
    <t xml:space="preserve">Tipo de dedicación del docente (por ejemplo, tiempo completo o medio tiempo).</t>
  </si>
  <si>
    <t xml:space="preserve">nombre + columna vecina dedicacionDisplay</t>
  </si>
  <si>
    <t xml:space="preserve">C0097</t>
  </si>
  <si>
    <t xml:space="preserve">Función academic_work_plan.prevent_rund_document_change — academic_work_plan.prevent_rund_document_change: AND s.estado = 'PENDIENTE'</t>
  </si>
  <si>
    <t xml:space="preserve">Mapeada en academic-work-plan-service/src/pta/entities/docente.entity.ts:32 (DocenteEntity.estado)</t>
  </si>
  <si>
    <t xml:space="preserve">Estado del registro de Docente.</t>
  </si>
  <si>
    <t xml:space="preserve">C0098</t>
  </si>
  <si>
    <t xml:space="preserve">escalafon</t>
  </si>
  <si>
    <t xml:space="preserve">idx_docente_escalafon</t>
  </si>
  <si>
    <t xml:space="preserve">Mapeada en academic-work-plan-service/src/pta/entities/docente.entity.ts:53 (DocenteEntity.escalafon)</t>
  </si>
  <si>
    <t xml:space="preserve">Categoría del docente en el escalafón.</t>
  </si>
  <si>
    <t xml:space="preserve">¿Qué valores toma (auxiliar, asistente, asociado, titular)?</t>
  </si>
  <si>
    <t xml:space="preserve">C0099</t>
  </si>
  <si>
    <t xml:space="preserve">horasAsignables</t>
  </si>
  <si>
    <t xml:space="preserve">Mapeada en academic-work-plan-service/src/pta/entities/docente.entity.ts:35 (DocenteEntity.horasAsignables)</t>
  </si>
  <si>
    <t xml:space="preserve">Número de horas que se pueden asignar al docente. Por defecto, 0.</t>
  </si>
  <si>
    <t xml:space="preserve">nombre + tipo integer + defecto 0</t>
  </si>
  <si>
    <t xml:space="preserve">¿Son horas semanales o del periodo? ¿Se calcula a partir de la dedicación?</t>
  </si>
  <si>
    <t xml:space="preserve">C0100</t>
  </si>
  <si>
    <t xml:space="preserve">sedeId</t>
  </si>
  <si>
    <t xml:space="preserve">Mapeada en academic-work-plan-service/src/pta/entities/docente.entity.ts:38 (DocenteEntity.sedeId)</t>
  </si>
  <si>
    <t xml:space="preserve">Identificador de la sede a la que está adscrito el docente.</t>
  </si>
  <si>
    <t xml:space="preserve">C0101</t>
  </si>
  <si>
    <t xml:space="preserve">ordenListado</t>
  </si>
  <si>
    <t xml:space="preserve">Mapeada en academic-work-plan-service/src/pta/entities/docente.entity.ts:41 (DocenteEntity.ordenListado)</t>
  </si>
  <si>
    <t xml:space="preserve">Posición del docente en el orden de los listados.</t>
  </si>
  <si>
    <t xml:space="preserve">nombre + tipo integer</t>
  </si>
  <si>
    <t xml:space="preserve">¿Qué criterio fija el orden y quién lo asigna?</t>
  </si>
  <si>
    <t xml:space="preserve">C0102</t>
  </si>
  <si>
    <t xml:space="preserve">vinculacionDisplay</t>
  </si>
  <si>
    <t xml:space="preserve">Mapeada en academic-work-plan-service/src/pta/entities/docente.entity.ts:44 (DocenteEntity.vinculacionDisplay)</t>
  </si>
  <si>
    <t xml:space="preserve">Texto de la vinculación del docente para mostrar en pantalla.</t>
  </si>
  <si>
    <t xml:space="preserve">nombre + columna vecina tipoVinculacion</t>
  </si>
  <si>
    <t xml:space="preserve">C0103</t>
  </si>
  <si>
    <t xml:space="preserve">dedicacionDisplay</t>
  </si>
  <si>
    <t xml:space="preserve">Mapeada en academic-work-plan-service/src/pta/entities/docente.entity.ts:47 (DocenteEntity.dedicacionDisplay)</t>
  </si>
  <si>
    <t xml:space="preserve">Texto de la dedicación del docente para mostrar en pantalla.</t>
  </si>
  <si>
    <t xml:space="preserve">nombre + columna vecina dedicacion</t>
  </si>
  <si>
    <t xml:space="preserve">C0104</t>
  </si>
  <si>
    <t xml:space="preserve">nucleoTematico</t>
  </si>
  <si>
    <t xml:space="preserve">idx_docente_nucleoTematico</t>
  </si>
  <si>
    <t xml:space="preserve">Mapeada en academic-work-plan-service/src/pta/entities/docente.entity.ts:56 (DocenteEntity.nucleoTematico)</t>
  </si>
  <si>
    <t xml:space="preserve">Núcleo temático o área de conocimiento del docente.</t>
  </si>
  <si>
    <t xml:space="preserve">¿Se toma de un catálogo o es texto libre?</t>
  </si>
  <si>
    <t xml:space="preserve">C0105</t>
  </si>
  <si>
    <t xml:space="preserve">nivelFormacion</t>
  </si>
  <si>
    <t xml:space="preserve">idx_docente_nivelFormacion</t>
  </si>
  <si>
    <t xml:space="preserve">Mapeada en academic-work-plan-service/src/pta/entities/docente.entity.ts:59 (DocenteEntity.nivelFormacion)</t>
  </si>
  <si>
    <t xml:space="preserve">Máximo nivel de formación del docente.</t>
  </si>
  <si>
    <t xml:space="preserve">nombre + índice + columnas vecinas pregrado…posDoctorado</t>
  </si>
  <si>
    <t xml:space="preserve">¿Qué valores toma y se calcula a partir de los títulos registrados?</t>
  </si>
  <si>
    <t xml:space="preserve">C0106</t>
  </si>
  <si>
    <t xml:space="preserve">perfilAcademicoPro</t>
  </si>
  <si>
    <t xml:space="preserve">Mapeada en academic-work-plan-service/src/pta/entities/docente.entity.ts:62 (DocenteEntity.perfilAcademicoPro)</t>
  </si>
  <si>
    <t xml:space="preserve">Perfil académico profesional del docente.</t>
  </si>
  <si>
    <t xml:space="preserve">nombre + columna vecina perfilAcademico</t>
  </si>
  <si>
    <t xml:space="preserve">¿En qué se diferencia de perfilAcademico?</t>
  </si>
  <si>
    <t xml:space="preserve">C0107</t>
  </si>
  <si>
    <t xml:space="preserve">perfilAcademico</t>
  </si>
  <si>
    <t xml:space="preserve">Mapeada en academic-work-plan-service/src/pta/entities/docente.entity.ts:65 (DocenteEntity.perfilAcademico)</t>
  </si>
  <si>
    <t xml:space="preserve">Descripción del perfil académico del docente.</t>
  </si>
  <si>
    <t xml:space="preserve">¿Es texto libre o una categoría?</t>
  </si>
  <si>
    <t xml:space="preserve">C0108</t>
  </si>
  <si>
    <t xml:space="preserve">pregrado</t>
  </si>
  <si>
    <t xml:space="preserve">Mapeada en academic-work-plan-service/src/pta/entities/docente.entity.ts:68 (DocenteEntity.pregrado)</t>
  </si>
  <si>
    <t xml:space="preserve">Título o títulos de pregrado del docente.</t>
  </si>
  <si>
    <t xml:space="preserve">nombre + columnas vecinas de formación</t>
  </si>
  <si>
    <t xml:space="preserve">¿Guarda el nombre del título, la institución o ambos? ¿Cómo se separan varios títulos?</t>
  </si>
  <si>
    <t xml:space="preserve">C0109</t>
  </si>
  <si>
    <t xml:space="preserve">especializacion</t>
  </si>
  <si>
    <t xml:space="preserve">Mapeada en academic-work-plan-service/src/pta/entities/docente.entity.ts:71 (DocenteEntity.especializacion)</t>
  </si>
  <si>
    <t xml:space="preserve">Título o títulos de especialización del docente.</t>
  </si>
  <si>
    <t xml:space="preserve">¿Guarda el nombre del título, la institución o ambos?</t>
  </si>
  <si>
    <t xml:space="preserve">C0110</t>
  </si>
  <si>
    <t xml:space="preserve">maestria</t>
  </si>
  <si>
    <t xml:space="preserve">Mapeada en academic-work-plan-service/src/pta/entities/docente.entity.ts:74 (DocenteEntity.maestria)</t>
  </si>
  <si>
    <t xml:space="preserve">Título o títulos de maestría del docente.</t>
  </si>
  <si>
    <t xml:space="preserve">C0111</t>
  </si>
  <si>
    <t xml:space="preserve">doctorado</t>
  </si>
  <si>
    <t xml:space="preserve">Mapeada en academic-work-plan-service/src/pta/entities/docente.entity.ts:77 (DocenteEntity.doctorado)</t>
  </si>
  <si>
    <t xml:space="preserve">Título o títulos de doctorado del docente.</t>
  </si>
  <si>
    <t xml:space="preserve">C0112</t>
  </si>
  <si>
    <t xml:space="preserve">posDoctorado</t>
  </si>
  <si>
    <t xml:space="preserve">Mapeada en academic-work-plan-service/src/pta/entities/docente.entity.ts:80 (DocenteEntity.posDoctorado)</t>
  </si>
  <si>
    <t xml:space="preserve">Estudios posdoctorales del docente.</t>
  </si>
  <si>
    <t xml:space="preserve">¿Guarda el nombre del programa, la institución o ambos?</t>
  </si>
  <si>
    <t xml:space="preserve">C0113</t>
  </si>
  <si>
    <t xml:space="preserve">investigacion</t>
  </si>
  <si>
    <t xml:space="preserve">Mapeada en academic-work-plan-service/src/pta/entities/docente.entity.ts:83 (DocenteEntity.investigacion)</t>
  </si>
  <si>
    <t xml:space="preserve">Información sobre la actividad de investigación del docente.</t>
  </si>
  <si>
    <t xml:space="preserve">¿Qué guarda: grupos de investigación, líneas, productos o una marca?</t>
  </si>
  <si>
    <t xml:space="preserve">C0114</t>
  </si>
  <si>
    <t xml:space="preserve">origenVinculacion</t>
  </si>
  <si>
    <t xml:space="preserve">Mapeada en academic-work-plan-service/src/pta/entities/docente.entity.ts:95 (DocenteEntity.origenVinculacion)</t>
  </si>
  <si>
    <t xml:space="preserve">Origen de la vinculación del docente.</t>
  </si>
  <si>
    <t xml:space="preserve">¿Qué valores toma (concurso, encargo, contrato…)?</t>
  </si>
  <si>
    <t xml:space="preserve">C0115</t>
  </si>
  <si>
    <t xml:space="preserve">actoAdministrativoVinculacion</t>
  </si>
  <si>
    <t xml:space="preserve">Mapeada en academic-work-plan-service/src/pta/entities/docente.entity.ts:98 (DocenteEntity.actoAdministrativoVinculacion)</t>
  </si>
  <si>
    <t xml:space="preserve">Número o referencia del acto administrativo (resolución) de vinculación del docente.</t>
  </si>
  <si>
    <t xml:space="preserve">¿Guarda solo el número o también la fecha del acto?</t>
  </si>
  <si>
    <t xml:space="preserve">C0116</t>
  </si>
  <si>
    <t xml:space="preserve">correoInstitucional</t>
  </si>
  <si>
    <t xml:space="preserve">Mapeada en academic-work-plan-service/src/pta/entities/docente.entity.ts:86 (DocenteEntity.correoInstitucional)</t>
  </si>
  <si>
    <t xml:space="preserve">Correo electrónico institucional del docente.</t>
  </si>
  <si>
    <t xml:space="preserve">nombre + columna vecina correoAlternativo</t>
  </si>
  <si>
    <t xml:space="preserve">C0117</t>
  </si>
  <si>
    <t xml:space="preserve">ultimaEvaluacion</t>
  </si>
  <si>
    <t xml:space="preserve">Mapeada en academic-work-plan-service/src/pta/entities/docente.entity.ts:107 (DocenteEntity.ultimaEvaluacion)</t>
  </si>
  <si>
    <t xml:space="preserve">Resultado o referencia de la última evaluación de desempeño del docente.</t>
  </si>
  <si>
    <t xml:space="preserve">¿Guarda la calificación, la fecha o el periodo de la evaluación?</t>
  </si>
  <si>
    <t xml:space="preserve">C0118</t>
  </si>
  <si>
    <t xml:space="preserve">situacionAdministrativa</t>
  </si>
  <si>
    <t xml:space="preserve">Mapeada en academic-work-plan-service/src/pta/entities/docente.entity.ts:101 (DocenteEntity.situacionAdministrativa)</t>
  </si>
  <si>
    <t xml:space="preserve">Situación administrativa del docente (por ejemplo, activo, en comisión o en licencia).</t>
  </si>
  <si>
    <t xml:space="preserve">nombre + columna vecina situacionCategoria</t>
  </si>
  <si>
    <t xml:space="preserve">C0119</t>
  </si>
  <si>
    <t xml:space="preserve">fechaInicioVinculacion</t>
  </si>
  <si>
    <t xml:space="preserve">timestamp(3) without time zone</t>
  </si>
  <si>
    <t xml:space="preserve">Mapeada en academic-work-plan-service/src/pta/entities/docente.entity.ts:113 (DocenteEntity.fechaInicioVinculacion)</t>
  </si>
  <si>
    <t xml:space="preserve">Fecha de inicio de la vinculación del docente.</t>
  </si>
  <si>
    <t xml:space="preserve">nombre + tipo timestamp</t>
  </si>
  <si>
    <t xml:space="preserve">C0120</t>
  </si>
  <si>
    <t xml:space="preserve">fechaFinVinculacion</t>
  </si>
  <si>
    <t xml:space="preserve">Mapeada en academic-work-plan-service/src/pta/entities/docente.entity.ts:116 (DocenteEntity.fechaFinVinculacion)</t>
  </si>
  <si>
    <t xml:space="preserve">Fecha de finalización de la vinculación del docente. Vacía si la vinculación no tiene fecha de fin.</t>
  </si>
  <si>
    <t xml:space="preserve">nombre + tipo timestamp + nulable</t>
  </si>
  <si>
    <t xml:space="preserve">C0121</t>
  </si>
  <si>
    <t xml:space="preserve">puntajeSalarial</t>
  </si>
  <si>
    <t xml:space="preserve">double precision</t>
  </si>
  <si>
    <t xml:space="preserve">Mapeada en academic-work-plan-service/src/pta/entities/docente.entity.ts:110 (DocenteEntity.puntajeSalarial)</t>
  </si>
  <si>
    <t xml:space="preserve">Puntaje salarial del docente según el régimen aplicable.</t>
  </si>
  <si>
    <t xml:space="preserve">nombre + tipo double precision + columna vecina regimenNormativo</t>
  </si>
  <si>
    <t xml:space="preserve">¿Corresponde a los puntos salariales del Decreto 1279 de 2002 u otro régimen?</t>
  </si>
  <si>
    <t xml:space="preserve">C0122</t>
  </si>
  <si>
    <t xml:space="preserve">edadReferencia</t>
  </si>
  <si>
    <t xml:space="preserve">Mapeada en academic-work-plan-service/src/pta/entities/docente.entity.ts:119 (DocenteEntity.edadReferencia)</t>
  </si>
  <si>
    <t xml:space="preserve">Edad del docente en años, en la fecha de referencia del registro.</t>
  </si>
  <si>
    <t xml:space="preserve">nombre + tipo integer + columna vecina rangoEdad</t>
  </si>
  <si>
    <t xml:space="preserve">¿Se calcula o se digita? ¿En qué fecha se toma la referencia?</t>
  </si>
  <si>
    <t xml:space="preserve">C0123</t>
  </si>
  <si>
    <t xml:space="preserve">rangoEdad</t>
  </si>
  <si>
    <t xml:space="preserve">Mapeada en academic-work-plan-service/src/pta/entities/docente.entity.ts:122 (DocenteEntity.rangoEdad)</t>
  </si>
  <si>
    <t xml:space="preserve">Rango de edad del docente.</t>
  </si>
  <si>
    <t xml:space="preserve">nombre + columna vecina edadReferencia</t>
  </si>
  <si>
    <t xml:space="preserve">¿Qué rangos se usan y se calculan a partir de edadReferencia?</t>
  </si>
  <si>
    <t xml:space="preserve">C0124</t>
  </si>
  <si>
    <t xml:space="preserve">regimenNormativo</t>
  </si>
  <si>
    <t xml:space="preserve">Mapeada en academic-work-plan-service/src/pta/entities/docente.entity.ts:26 (DocenteEntity.regimenNormativo)</t>
  </si>
  <si>
    <t xml:space="preserve">Régimen normativo que rige la vinculación del docente.</t>
  </si>
  <si>
    <t xml:space="preserve">C0125</t>
  </si>
  <si>
    <t xml:space="preserve">periodoCarga</t>
  </si>
  <si>
    <t xml:space="preserve">idx_docente_periodoCarga</t>
  </si>
  <si>
    <t xml:space="preserve">Mapeada en academic-work-plan-service/src/pta/entities/docente.entity.ts:125 (DocenteEntity.periodoCarga)</t>
  </si>
  <si>
    <t xml:space="preserve">Periodo académico en que se cargó la información del docente.</t>
  </si>
  <si>
    <t xml:space="preserve">nombre + índice + columna vecina datosCargaMasiva</t>
  </si>
  <si>
    <t xml:space="preserve">¿Es el periodo de la carga masiva o el periodo académico de la asignación?</t>
  </si>
  <si>
    <t xml:space="preserve">C0126</t>
  </si>
  <si>
    <t xml:space="preserve">Mapeada en academic-work-plan-service/src/pta/entities/docente.entity.ts:128 (DocenteEntity.observaciones)</t>
  </si>
  <si>
    <t xml:space="preserve">C0127</t>
  </si>
  <si>
    <t xml:space="preserve">idRund</t>
  </si>
  <si>
    <t xml:space="preserve">Mapeada en academic-work-plan-service/src/pta/entities/docente.entity.ts:131 (DocenteEntity.idRund)</t>
  </si>
  <si>
    <t xml:space="preserve">Identificador del docente en el RUND.</t>
  </si>
  <si>
    <t xml:space="preserve">¿Es un código generado por el sistema o viene de una fuente externa?</t>
  </si>
  <si>
    <t xml:space="preserve">C0128</t>
  </si>
  <si>
    <t xml:space="preserve">estadoAprobacion</t>
  </si>
  <si>
    <t xml:space="preserve">academic-work-plan-service/src/pta/entities/docente.entity.ts:139: BR-047 — Estado de aprobación global. Solo pasa a 'Activo' cuando todos los bloques obligatorios están aprobados. Valores: PENDIENTE_APROBACION | ACTIVO_RUND | DEVUELTO</t>
  </si>
  <si>
    <t xml:space="preserve">Estado de aprobación global del registro del docente en el RUND: PENDIENTE_APROBACION (por defecto), ACTIVO_RUND o DEVUELTO. Pasa a activo solo cuando todos los bloques obligatorios están aprobados (BR-047).</t>
  </si>
  <si>
    <t xml:space="preserve">código: academic-work-plan-service/src/pta/entities/docente.entity.ts:139</t>
  </si>
  <si>
    <t xml:space="preserve">C0129</t>
  </si>
  <si>
    <t xml:space="preserve">completitud</t>
  </si>
  <si>
    <t xml:space="preserve">academic-work-plan-service/src/pta/entities/docente.entity.ts:146: BR-047 — Semáforo de completitud por bloque (JSON). Ej: { "IDENTIDAD": "Aprobado", "FORMACION": "Pendiente", "VINCULACION": "Soporte faltante", "CONTACTO": "Aprobado" }</t>
  </si>
  <si>
    <t xml:space="preserve">Semáforo de completitud del perfil del docente por bloque, en formato JSON: a cada bloque (IDENTIDAD, FORMACION, VINCULACION, CONTACTO) le asigna un estado como Aprobado, Pendiente o Soporte faltante (BR-047).</t>
  </si>
  <si>
    <t xml:space="preserve">código: academic-work-plan-service/src/pta/entities/docente.entity.ts:146</t>
  </si>
  <si>
    <t xml:space="preserve">C0130</t>
  </si>
  <si>
    <t xml:space="preserve">canal_origen</t>
  </si>
  <si>
    <t xml:space="preserve">academic-work-plan-service/src/pta/entities/docente.entity.ts:153: §6 — Canal de origen: MASIVO | MODAL | AUTOGESTION. Registra qué canal se usó para crear el registro.</t>
  </si>
  <si>
    <t xml:space="preserve">Canal por el que se creó el registro: MASIVO (por defecto), MODAL o AUTOGESTION.</t>
  </si>
  <si>
    <t xml:space="preserve">código: academic-work-plan-service/src/pta/entities/docente.entity.ts:153</t>
  </si>
  <si>
    <t xml:space="preserve">C0131</t>
  </si>
  <si>
    <t xml:space="preserve">acepta_habeas_data</t>
  </si>
  <si>
    <t xml:space="preserve">Indica si acepta habeas data.</t>
  </si>
  <si>
    <t xml:space="preserve">C0132</t>
  </si>
  <si>
    <t xml:space="preserve">fecha_aceptacion_habeas_data</t>
  </si>
  <si>
    <t xml:space="preserve">timestamp without time zone</t>
  </si>
  <si>
    <t xml:space="preserve">Fecha de aceptación habeas data.</t>
  </si>
  <si>
    <t xml:space="preserve">C0133</t>
  </si>
  <si>
    <t xml:space="preserve">ip_creacion</t>
  </si>
  <si>
    <t xml:space="preserve">Dirección IP desde la que se creó el registro.</t>
  </si>
  <si>
    <t xml:space="preserve">nombre + tipo varchar(50)</t>
  </si>
  <si>
    <t xml:space="preserve">C0134</t>
  </si>
  <si>
    <t xml:space="preserve">sexoBiologico</t>
  </si>
  <si>
    <t xml:space="preserve">Mapeada en academic-work-plan-service/src/pta/entities/docente.entity.ts:92 (DocenteEntity.sexoBiologico)</t>
  </si>
  <si>
    <t xml:space="preserve">Sexo biológico del docente.</t>
  </si>
  <si>
    <t xml:space="preserve">C0135</t>
  </si>
  <si>
    <t xml:space="preserve">dedicacionHorasSemana</t>
  </si>
  <si>
    <t xml:space="preserve">Mapeada en academic-work-plan-service/src/pta/entities/docente.entity.ts:50 (DocenteEntity.dedicacionHorasSemana)</t>
  </si>
  <si>
    <t xml:space="preserve">Número de horas semanales de dedicación del docente.</t>
  </si>
  <si>
    <t xml:space="preserve">C0136</t>
  </si>
  <si>
    <t xml:space="preserve">situacionCategoria</t>
  </si>
  <si>
    <t xml:space="preserve">Mapeada en academic-work-plan-service/src/pta/entities/docente.entity.ts:104 (DocenteEntity.situacionCategoria)</t>
  </si>
  <si>
    <t xml:space="preserve">Categoría de la situación administrativa del docente.</t>
  </si>
  <si>
    <t xml:space="preserve">nombre + columna vecina situacionAdministrativa</t>
  </si>
  <si>
    <t xml:space="preserve">¿Qué valores toma y en qué se diferencia de situacionAdministrativa?</t>
  </si>
  <si>
    <t xml:space="preserve">C0137</t>
  </si>
  <si>
    <t xml:space="preserve">Documento</t>
  </si>
  <si>
    <t xml:space="preserve">Nombre del registro de Documento.</t>
  </si>
  <si>
    <t xml:space="preserve">C0138</t>
  </si>
  <si>
    <t xml:space="preserve">url</t>
  </si>
  <si>
    <t xml:space="preserve">Dirección web (URL).</t>
  </si>
  <si>
    <t xml:space="preserve">C0139</t>
  </si>
  <si>
    <t xml:space="preserve">Tipo del registro de Documento.</t>
  </si>
  <si>
    <t xml:space="preserve">C0140</t>
  </si>
  <si>
    <t xml:space="preserve">categoria</t>
  </si>
  <si>
    <t xml:space="preserve">Categoría del documento. Por defecto, general.</t>
  </si>
  <si>
    <t xml:space="preserve">nombre + defecto</t>
  </si>
  <si>
    <t xml:space="preserve">¿Qué otras categorías existen y de qué catálogo salen?</t>
  </si>
  <si>
    <t xml:space="preserve">C0141</t>
  </si>
  <si>
    <t xml:space="preserve">comentarios</t>
  </si>
  <si>
    <t xml:space="preserve">Comentarios sobre el documento.</t>
  </si>
  <si>
    <t xml:space="preserve">¿Son comentarios de quien lo carga o de quien lo revisa?</t>
  </si>
  <si>
    <t xml:space="preserve">C0142</t>
  </si>
  <si>
    <t xml:space="preserve">Estado del registro de Documento.</t>
  </si>
  <si>
    <t xml:space="preserve">C0143</t>
  </si>
  <si>
    <t xml:space="preserve">tamanoBytes</t>
  </si>
  <si>
    <t xml:space="preserve">Tamaño del archivo en bytes.</t>
  </si>
  <si>
    <t xml:space="preserve">C0144</t>
  </si>
  <si>
    <t xml:space="preserve">tipoDocumentoId</t>
  </si>
  <si>
    <t xml:space="preserve">Identificador del tipo de documento.</t>
  </si>
  <si>
    <t xml:space="preserve">C0145</t>
  </si>
  <si>
    <t xml:space="preserve">versionActual</t>
  </si>
  <si>
    <t xml:space="preserve">Número de la versión vigente del documento. Por defecto, 1.</t>
  </si>
  <si>
    <t xml:space="preserve">nombre + tipo integer + defecto 1</t>
  </si>
  <si>
    <t xml:space="preserve">C0146</t>
  </si>
  <si>
    <t xml:space="preserve">aprobadoPorId</t>
  </si>
  <si>
    <t xml:space="preserve">Identificador del usuario que aprobó el documento.</t>
  </si>
  <si>
    <t xml:space="preserve">nombre + columna vecina aprobadoPorNombre</t>
  </si>
  <si>
    <t xml:space="preserve">C0147</t>
  </si>
  <si>
    <t xml:space="preserve">aprobadoPorNombre</t>
  </si>
  <si>
    <t xml:space="preserve">Nombre del usuario que aprobó el documento.</t>
  </si>
  <si>
    <t xml:space="preserve">nombre + columna vecina aprobadoPorId</t>
  </si>
  <si>
    <t xml:space="preserve">C0148</t>
  </si>
  <si>
    <t xml:space="preserve">RundAccesoDatosLog</t>
  </si>
  <si>
    <t xml:space="preserve">actor_id</t>
  </si>
  <si>
    <t xml:space="preserve">idx_rund_acceso_actor_fecha</t>
  </si>
  <si>
    <t xml:space="preserve">Identificador del usuario que accedió a los datos.</t>
  </si>
  <si>
    <t xml:space="preserve">nombre + tabla de bitácora de acceso + índice por actor y fecha</t>
  </si>
  <si>
    <t xml:space="preserve">C0149</t>
  </si>
  <si>
    <t xml:space="preserve">roles</t>
  </si>
  <si>
    <t xml:space="preserve">text[]</t>
  </si>
  <si>
    <t xml:space="preserve">Roles que tenía el usuario al momento del acceso (lista).</t>
  </si>
  <si>
    <t xml:space="preserve">nombre + tipo text[]</t>
  </si>
  <si>
    <t xml:space="preserve">C0150</t>
  </si>
  <si>
    <t xml:space="preserve">endpoint</t>
  </si>
  <si>
    <t xml:space="preserve">Ruta del servicio (endpoint) consultado.</t>
  </si>
  <si>
    <t xml:space="preserve">C0151</t>
  </si>
  <si>
    <t xml:space="preserve">recurso_id</t>
  </si>
  <si>
    <t xml:space="preserve">idx_rund_acceso_recurso</t>
  </si>
  <si>
    <t xml:space="preserve">Identificador del recurso consultado.</t>
  </si>
  <si>
    <t xml:space="preserve">¿Qué tipo de recurso es (docente, documento, soporte)?</t>
  </si>
  <si>
    <t xml:space="preserve">C0152</t>
  </si>
  <si>
    <t xml:space="preserve">docentes</t>
  </si>
  <si>
    <t xml:space="preserve">idx_rund_acceso_docentes</t>
  </si>
  <si>
    <t xml:space="preserve">Identificadores de los docentes cuyos datos se consultaron (lista).</t>
  </si>
  <si>
    <t xml:space="preserve">nombre + tipo text[] + índice</t>
  </si>
  <si>
    <t xml:space="preserve">C0153</t>
  </si>
  <si>
    <t xml:space="preserve">campos</t>
  </si>
  <si>
    <t xml:space="preserve">Nombres de los campos consultados (lista).</t>
  </si>
  <si>
    <t xml:space="preserve">C0154</t>
  </si>
  <si>
    <t xml:space="preserve">resultado</t>
  </si>
  <si>
    <t xml:space="preserve">COMPLETO, DENEGADO, ENMASCARADO</t>
  </si>
  <si>
    <t xml:space="preserve">Resultado del control de acceso. Valores permitidos: COMPLETO, ENMASCARADO, DENEGADO.</t>
  </si>
  <si>
    <t xml:space="preserve">C0155</t>
  </si>
  <si>
    <t xml:space="preserve">ip</t>
  </si>
  <si>
    <t xml:space="preserve">Dirección IP registrada.</t>
  </si>
  <si>
    <t xml:space="preserve">C0156</t>
  </si>
  <si>
    <t xml:space="preserve">RundAccesoExterno</t>
  </si>
  <si>
    <t xml:space="preserve">ente_nombre</t>
  </si>
  <si>
    <t xml:space="preserve">Mapeada en academic-work-plan-service/src/pta/entities/rund-acceso-externo.entity.ts:14 (RundAccesoExternoEntity.enteNombre)</t>
  </si>
  <si>
    <t xml:space="preserve">Nombre de la entidad externa a la que se otorga el acceso.</t>
  </si>
  <si>
    <t xml:space="preserve">nombre + tabla de acceso externo</t>
  </si>
  <si>
    <t xml:space="preserve">C0157</t>
  </si>
  <si>
    <t xml:space="preserve">ente_contacto</t>
  </si>
  <si>
    <t xml:space="preserve">Mapeada en academic-work-plan-service/src/pta/entities/rund-acceso-externo.entity.ts:17 (RundAccesoExternoEntity.enteContacto)</t>
  </si>
  <si>
    <t xml:space="preserve">Datos de contacto de la entidad externa.</t>
  </si>
  <si>
    <t xml:space="preserve">¿Guarda correo, teléfono o nombre de la persona de contacto?</t>
  </si>
  <si>
    <t xml:space="preserve">C0158</t>
  </si>
  <si>
    <t xml:space="preserve">token</t>
  </si>
  <si>
    <t xml:space="preserve">RundAccesoExterno_token_key, idx_rund_acceso_externo_token</t>
  </si>
  <si>
    <t xml:space="preserve">Mapeada en academic-work-plan-service/src/pta/entities/rund-acceso-externo.entity.ts:20 (RundAccesoExternoEntity.token)</t>
  </si>
  <si>
    <t xml:space="preserve">Token de acceso que se entrega a la entidad externa. No se repite.</t>
  </si>
  <si>
    <t xml:space="preserve">nombre + restricción única</t>
  </si>
  <si>
    <t xml:space="preserve">C0159</t>
  </si>
  <si>
    <t xml:space="preserve">docente_id</t>
  </si>
  <si>
    <t xml:space="preserve">academic-work-plan-service/src/pta/entities/rund-acceso-externo.entity.ts:24: Siempre acotado a un docente puntual (ver F022: consultas por docente y período). | db/migrations/417_create_rund_macro_docente_acceso_externo.sql:21: Cada acceso externo se limita siempre a UN docente puntual (F022: "qué dictó el docente X en el período Y"); si un ente necesita ver varios docentes, se le otorgan varios accesos.</t>
  </si>
  <si>
    <t xml:space="preserve">Identificador del único docente cuyos datos puede consultar la entidad externa con este acceso; si necesita ver varios docentes, se otorgan varios accesos (REQ-RUND-F022).</t>
  </si>
  <si>
    <t xml:space="preserve">código: academic-work-plan-service/src/pta/entities/rund-acceso-externo.entity.ts:24; db/migrations/417_create_rund_macro_docente_acceso_externo.sql:21</t>
  </si>
  <si>
    <t xml:space="preserve">C0160</t>
  </si>
  <si>
    <t xml:space="preserve">Mapeada en academic-work-plan-service/src/pta/entities/rund-acceso-externo.entity.ts:27 (RundAccesoExternoEntity.motivo)</t>
  </si>
  <si>
    <t xml:space="preserve">Motivo por el que se otorga el acceso.</t>
  </si>
  <si>
    <t xml:space="preserve">C0161</t>
  </si>
  <si>
    <t xml:space="preserve">Mapeada en academic-work-plan-service/src/pta/entities/rund-acceso-externo.entity.ts:30 (RundAccesoExternoEntity.fechaInicio)</t>
  </si>
  <si>
    <t xml:space="preserve">C0162</t>
  </si>
  <si>
    <t xml:space="preserve">idx_rund_acceso_externo_vigencia</t>
  </si>
  <si>
    <t xml:space="preserve">Mapeada en academic-work-plan-service/src/pta/entities/rund-acceso-externo.entity.ts:33 (RundAccesoExternoEntity.fechaFin)</t>
  </si>
  <si>
    <t xml:space="preserve">C0163</t>
  </si>
  <si>
    <t xml:space="preserve">activo</t>
  </si>
  <si>
    <t xml:space="preserve">Mapeada en academic-work-plan-service/src/pta/entities/rund-acceso-externo.entity.ts:36 (RundAccesoExternoEntity.activo)</t>
  </si>
  <si>
    <t xml:space="preserve">Indica si el registro está activo.</t>
  </si>
  <si>
    <t xml:space="preserve">C0164</t>
  </si>
  <si>
    <t xml:space="preserve">otorgado_por</t>
  </si>
  <si>
    <t xml:space="preserve">Mapeada en academic-work-plan-service/src/pta/entities/rund-acceso-externo.entity.ts:39 (RundAccesoExternoEntity.otorgadoPor)</t>
  </si>
  <si>
    <t xml:space="preserve">Identificador del usuario que otorgó el acceso.</t>
  </si>
  <si>
    <t xml:space="preserve">nombre + columnas vecinas revoked_by</t>
  </si>
  <si>
    <t xml:space="preserve">C0165</t>
  </si>
  <si>
    <t xml:space="preserve">revoked_at</t>
  </si>
  <si>
    <t xml:space="preserve">Mapeada en academic-work-plan-service/src/pta/entities/rund-acceso-externo.entity.ts:42 (RundAccesoExternoEntity.revokedAt)</t>
  </si>
  <si>
    <t xml:space="preserve">Fecha y hora en que se revocó el acceso, con zona horaria. Vacía si sigue vigente.</t>
  </si>
  <si>
    <t xml:space="preserve">nombre + tipo timestamptz + columna vecina revoked_by</t>
  </si>
  <si>
    <t xml:space="preserve">C0166</t>
  </si>
  <si>
    <t xml:space="preserve">revoked_by</t>
  </si>
  <si>
    <t xml:space="preserve">Mapeada en academic-work-plan-service/src/pta/entities/rund-acceso-externo.entity.ts:45 (RundAccesoExternoEntity.revokedBy)</t>
  </si>
  <si>
    <t xml:space="preserve">Identificador del usuario que revocó el acceso.</t>
  </si>
  <si>
    <t xml:space="preserve">nombre + columna vecina revoked_at</t>
  </si>
  <si>
    <t xml:space="preserve">C0167</t>
  </si>
  <si>
    <t xml:space="preserve">RundAprobacionLog</t>
  </si>
  <si>
    <t xml:space="preserve">idx_rund_aprobacion_log_docente</t>
  </si>
  <si>
    <t xml:space="preserve">Mapeada en academic-work-plan-service/src/pta/entities/rund-aprobacion-log.entity.ts:16 (RundAprobacionLogEntity.docenteId)</t>
  </si>
  <si>
    <t xml:space="preserve">Identificador del docente al que corresponde el evento.</t>
  </si>
  <si>
    <t xml:space="preserve">nombre + tipo uuid + índice</t>
  </si>
  <si>
    <t xml:space="preserve">C0168</t>
  </si>
  <si>
    <t xml:space="preserve">bloque</t>
  </si>
  <si>
    <t xml:space="preserve">academic-work-plan-service/src/pta/entities/rund-aprobacion-log.entity.ts:20: Bloque afectado: IDENTIDAD, FORMACION, VINCULACION, CONTACTO, GENERAL</t>
  </si>
  <si>
    <t xml:space="preserve">Bloque del perfil RUND afectado por el evento: IDENTIDAD, FORMACION, VINCULACION, CONTACTO o GENERAL.</t>
  </si>
  <si>
    <t xml:space="preserve">código: academic-work-plan-service/src/pta/entities/rund-aprobacion-log.entity.ts:20</t>
  </si>
  <si>
    <t xml:space="preserve">C0169</t>
  </si>
  <si>
    <t xml:space="preserve">academic-work-plan-service/src/pta/entities/rund-aprobacion-log.entity.ts:24: Acción realizada: CREAR | APROBAR | DEVOLVER | EDITAR | VINCULAR_SOPORTE | DESVINCULAR_SOPORTE | CONSULTAR_DATOS_SENSIBLES</t>
  </si>
  <si>
    <t xml:space="preserve">Acción registrada en la bitácora: CREAR, APROBAR, DEVOLVER, EDITAR, VINCULAR_SOPORTE, DESVINCULAR_SOPORTE o CONSULTAR_DATOS_SENSIBLES.</t>
  </si>
  <si>
    <t xml:space="preserve">código: academic-work-plan-service/src/pta/entities/rund-aprobacion-log.entity.ts:24</t>
  </si>
  <si>
    <t xml:space="preserve">C0170</t>
  </si>
  <si>
    <t xml:space="preserve">academic-work-plan-service/src/pta/entities/rund-aprobacion-log.entity.ts:28: ID del actor que realizó la acción (userId o 'SISTEMA')</t>
  </si>
  <si>
    <t xml:space="preserve">Identificador del usuario que realizó la acción, o el valor SISTEMA cuando la acción es automática.</t>
  </si>
  <si>
    <t xml:space="preserve">código: academic-work-plan-service/src/pta/entities/rund-aprobacion-log.entity.ts:28</t>
  </si>
  <si>
    <t xml:space="preserve">C0171</t>
  </si>
  <si>
    <t xml:space="preserve">academic-work-plan-service/src/pta/entities/rund-aprobacion-log.entity.ts:32: Canal de origen: MASIVO | MODAL | AUTOGESTION</t>
  </si>
  <si>
    <t xml:space="preserve">Canal por el que se realizó la acción: MASIVO, MODAL o AUTOGESTION.</t>
  </si>
  <si>
    <t xml:space="preserve">código: academic-work-plan-service/src/pta/entities/rund-aprobacion-log.entity.ts:32</t>
  </si>
  <si>
    <t xml:space="preserve">C0172</t>
  </si>
  <si>
    <t xml:space="preserve">campo_afectado</t>
  </si>
  <si>
    <t xml:space="preserve">academic-work-plan-service/src/pta/entities/rund-aprobacion-log.entity.ts:36: Campo específico afectado (ej: 'TITULO_PREGRADO', 'TIPO_VINCULACION')</t>
  </si>
  <si>
    <t xml:space="preserve">Nombre del campo específico afectado por la acción (por ejemplo, TITULO_PREGRADO o TIPO_VINCULACION).</t>
  </si>
  <si>
    <t xml:space="preserve">código: academic-work-plan-service/src/pta/entities/rund-aprobacion-log.entity.ts:36</t>
  </si>
  <si>
    <t xml:space="preserve">C0173</t>
  </si>
  <si>
    <t xml:space="preserve">dato_previo</t>
  </si>
  <si>
    <t xml:space="preserve">academic-work-plan-service/src/pta/entities/rund-aprobacion-log.entity.ts:40: Valor anterior del campo (para re-versionamiento BR-046)</t>
  </si>
  <si>
    <t xml:space="preserve">Valor del campo antes de la acción, usado para el reversionamiento (BR-046).</t>
  </si>
  <si>
    <t xml:space="preserve">código: academic-work-plan-service/src/pta/entities/rund-aprobacion-log.entity.ts:40</t>
  </si>
  <si>
    <t xml:space="preserve">C0174</t>
  </si>
  <si>
    <t xml:space="preserve">dato_nuevo</t>
  </si>
  <si>
    <t xml:space="preserve">academic-work-plan-service/src/pta/entities/rund-aprobacion-log.entity.ts:44: Valor nuevo del campo</t>
  </si>
  <si>
    <t xml:space="preserve">Valor del campo después de la acción.</t>
  </si>
  <si>
    <t xml:space="preserve">código: academic-work-plan-service/src/pta/entities/rund-aprobacion-log.entity.ts:44</t>
  </si>
  <si>
    <t xml:space="preserve">C0175</t>
  </si>
  <si>
    <t xml:space="preserve">observacion</t>
  </si>
  <si>
    <t xml:space="preserve">academic-work-plan-service/src/pta/entities/rund-aprobacion-log.entity.ts:48: Observación obligatoria (en devoluciones BR-045)</t>
  </si>
  <si>
    <t xml:space="preserve">Observación registrada con la acción; es obligatoria en las devoluciones (BR-045).</t>
  </si>
  <si>
    <t xml:space="preserve">código: academic-work-plan-service/src/pta/entities/rund-aprobacion-log.entity.ts:48</t>
  </si>
  <si>
    <t xml:space="preserve">C0176</t>
  </si>
  <si>
    <t xml:space="preserve">soporte_id</t>
  </si>
  <si>
    <t xml:space="preserve">academic-work-plan-service/src/pta/entities/rund-aprobacion-log.entity.ts:52: ID del soporte vinculado/desvinculado (si aplica)</t>
  </si>
  <si>
    <t xml:space="preserve">Identificador del soporte documental vinculado o desvinculado en la acción, cuando aplica.</t>
  </si>
  <si>
    <t xml:space="preserve">código: academic-work-plan-service/src/pta/entities/rund-aprobacion-log.entity.ts:52</t>
  </si>
  <si>
    <t xml:space="preserve">C0177</t>
  </si>
  <si>
    <t xml:space="preserve">academic-work-plan-service/src/pta/entities/rund-aprobacion-log.entity.ts:56: IP del cliente (para Canal 3 — autogestión)</t>
  </si>
  <si>
    <t xml:space="preserve">Dirección IP del cliente que realizó la acción, registrada para el canal de autogestión.</t>
  </si>
  <si>
    <t xml:space="preserve">código: academic-work-plan-service/src/pta/entities/rund-aprobacion-log.entity.ts:56</t>
  </si>
  <si>
    <t xml:space="preserve">C0178</t>
  </si>
  <si>
    <t xml:space="preserve">metadata</t>
  </si>
  <si>
    <t xml:space="preserve">academic-work-plan-service/src/pta/entities/rund-aprobacion-log.entity.ts:60: Metadatos adicionales (JSON) — ej: { habeasData: true, invitacionId: '...' }</t>
  </si>
  <si>
    <t xml:space="preserve">Metadatos adicionales de la acción en formato JSON (por ejemplo, habeasData o invitacionId).</t>
  </si>
  <si>
    <t xml:space="preserve">código: academic-work-plan-service/src/pta/entities/rund-aprobacion-log.entity.ts:60</t>
  </si>
  <si>
    <t xml:space="preserve">C0179</t>
  </si>
  <si>
    <t xml:space="preserve">RundCampoEstado</t>
  </si>
  <si>
    <t xml:space="preserve">character varying(255)</t>
  </si>
  <si>
    <t xml:space="preserve">idx_rund_campo_estado_docente</t>
  </si>
  <si>
    <t xml:space="preserve">Mapeada en academic-work-plan-service/src/pta/entities/rund-campo-estado.entity.ts:13 (RundCampoEstadoEntity.docenteId)</t>
  </si>
  <si>
    <t xml:space="preserve">Identificador del docente.</t>
  </si>
  <si>
    <t xml:space="preserve">C0180</t>
  </si>
  <si>
    <t xml:space="preserve">academic-work-plan-service/src/pta/entities/rund-campo-estado.entity.ts:23: Bloque de campos: - IDENTIDAD: documento, tipo_doc, nombre, fecha_nacimiento, genero - FORMACION: nivel, pregrado, especializacion, maestria, doctorado, posdoctorado - VINCULACION: tipo, regimen, categoria, dedicacion, acto_administrativo, puntaje_salarial, etc. - CONTACTO: correo_institucional, cor</t>
  </si>
  <si>
    <t xml:space="preserve">Bloque de campos del perfil RUND al que corresponde el estado: IDENTIDAD (documento, nombre, fecha de nacimiento, género), FORMACION (niveles de formación), VINCULACION (tipo, régimen, categoría, dedicación, acto administrativo, puntaje salarial) o CONTACTO (correos y teléfono).</t>
  </si>
  <si>
    <t xml:space="preserve">código: academic-work-plan-service/src/pta/entities/rund-campo-estado.entity.ts:23</t>
  </si>
  <si>
    <t xml:space="preserve">C0181</t>
  </si>
  <si>
    <t xml:space="preserve">academic-work-plan-service/src/pta/entities/rund-campo-estado.entity.ts:29: BR-044 — Estados: Pendiente | En revisión | Aprobado | Devuelto | Soporte faltante</t>
  </si>
  <si>
    <t xml:space="preserve">Estado de aprobación del bloque: Pendiente, En revisión, Aprobado, Devuelto o Soporte faltante (BR-044).</t>
  </si>
  <si>
    <t xml:space="preserve">código: academic-work-plan-service/src/pta/entities/rund-campo-estado.entity.ts:29; nota: flujo según la documentación de la entidad</t>
  </si>
  <si>
    <t xml:space="preserve">C0182</t>
  </si>
  <si>
    <t xml:space="preserve">cargado_por</t>
  </si>
  <si>
    <t xml:space="preserve">academic-work-plan-service/src/pta/entities/rund-campo-estado.entity.ts:35: Trazabilidad de quién cargó o editó los datos de este bloque.</t>
  </si>
  <si>
    <t xml:space="preserve">Usuario que cargó o editó los datos del bloque.</t>
  </si>
  <si>
    <t xml:space="preserve">código: academic-work-plan-service/src/pta/entities/rund-campo-estado.entity.ts:35</t>
  </si>
  <si>
    <t xml:space="preserve">C0183</t>
  </si>
  <si>
    <t xml:space="preserve">revisado_por</t>
  </si>
  <si>
    <t xml:space="preserve">academic-work-plan-service/src/pta/entities/rund-campo-estado.entity.ts:42: Trazabilidad de quién revisó/aprobó este bloque. Puede coincidir con cargadoPor si cuenta con permisos de revisión.</t>
  </si>
  <si>
    <t xml:space="preserve">Usuario que revisó o aprobó el bloque; puede coincidir con cargado_por si tiene permisos de revisión.</t>
  </si>
  <si>
    <t xml:space="preserve">código: academic-work-plan-service/src/pta/entities/rund-campo-estado.entity.ts:42</t>
  </si>
  <si>
    <t xml:space="preserve">C0184</t>
  </si>
  <si>
    <t xml:space="preserve">academic-work-plan-service/src/pta/entities/rund-campo-estado.entity.ts:48: BR-045 — Observación obligatoria al devolver.</t>
  </si>
  <si>
    <t xml:space="preserve">Observación sobre el bloque; es obligatoria al devolverlo (BR-045).</t>
  </si>
  <si>
    <t xml:space="preserve">código: academic-work-plan-service/src/pta/entities/rund-campo-estado.entity.ts:48</t>
  </si>
  <si>
    <t xml:space="preserve">C0185</t>
  </si>
  <si>
    <t xml:space="preserve">version</t>
  </si>
  <si>
    <t xml:space="preserve">academic-work-plan-service/src/pta/entities/rund-campo-estado.entity.ts:54: BR-046 — Versión del bloque (incrementa en cada cambio de dato aprobado).</t>
  </si>
  <si>
    <t xml:space="preserve">Versión del bloque; se incrementa en cada cambio de dato aprobado (BR-046).</t>
  </si>
  <si>
    <t xml:space="preserve">código: academic-work-plan-service/src/pta/entities/rund-campo-estado.entity.ts:54</t>
  </si>
  <si>
    <t xml:space="preserve">C0186</t>
  </si>
  <si>
    <t xml:space="preserve">academic-work-plan-service/src/pta/entities/rund-campo-estado.entity.ts:60: Canal de origen del último cambio: MASIVO | MODAL | AUTOGESTION</t>
  </si>
  <si>
    <t xml:space="preserve">Canal de origen del último cambio del bloque: MASIVO, MODAL o AUTOGESTION.</t>
  </si>
  <si>
    <t xml:space="preserve">código: academic-work-plan-service/src/pta/entities/rund-campo-estado.entity.ts:60</t>
  </si>
  <si>
    <t xml:space="preserve">C0187</t>
  </si>
  <si>
    <t xml:space="preserve">soporte_ids</t>
  </si>
  <si>
    <t xml:space="preserve">academic-work-plan-service/src/pta/entities/rund-campo-estado.entity.ts:67: IDs de soportes vinculados (referencias a Carpeta Digital). BR-038 — Soporte obligatorio por campo crítico.</t>
  </si>
  <si>
    <t xml:space="preserve">Identificadores de los soportes vinculados al bloque, en formato JSON (lista), que referencian documentos de la Carpeta Digital (BR-038).</t>
  </si>
  <si>
    <t xml:space="preserve">código: academic-work-plan-service/src/pta/entities/rund-campo-estado.entity.ts:67</t>
  </si>
  <si>
    <t xml:space="preserve">C0188</t>
  </si>
  <si>
    <t xml:space="preserve">fecha_revision</t>
  </si>
  <si>
    <t xml:space="preserve">academic-work-plan-service/src/pta/entities/rund-campo-estado.entity.ts:73: Fecha de la última revisión/aprobación.</t>
  </si>
  <si>
    <t xml:space="preserve">Fecha de la última revisión o aprobación del bloque.</t>
  </si>
  <si>
    <t xml:space="preserve">código: academic-work-plan-service/src/pta/entities/rund-campo-estado.entity.ts:73</t>
  </si>
  <si>
    <t xml:space="preserve">C0189</t>
  </si>
  <si>
    <t xml:space="preserve">RundCargaMasiva</t>
  </si>
  <si>
    <t xml:space="preserve">nombre_archivo</t>
  </si>
  <si>
    <t xml:space="preserve">Nombre del archivo importado.</t>
  </si>
  <si>
    <t xml:space="preserve">nombre + descripción de la tabla</t>
  </si>
  <si>
    <t xml:space="preserve">C0190</t>
  </si>
  <si>
    <t xml:space="preserve">tipo_mime</t>
  </si>
  <si>
    <t xml:space="preserve">Tipo MIME del archivo importado.</t>
  </si>
  <si>
    <t xml:space="preserve">C0191</t>
  </si>
  <si>
    <t xml:space="preserve">tamano_bytes</t>
  </si>
  <si>
    <t xml:space="preserve">bigint</t>
  </si>
  <si>
    <t xml:space="preserve">C0192</t>
  </si>
  <si>
    <t xml:space="preserve">sha256</t>
  </si>
  <si>
    <t xml:space="preserve">character varying(64)</t>
  </si>
  <si>
    <t xml:space="preserve">Hash SHA-256 del archivo, en 64 caracteres hexadecimales.</t>
  </si>
  <si>
    <t xml:space="preserve">nombre + tipo varchar(64)</t>
  </si>
  <si>
    <t xml:space="preserve">C0193</t>
  </si>
  <si>
    <t xml:space="preserve">contenido</t>
  </si>
  <si>
    <t xml:space="preserve">bytea</t>
  </si>
  <si>
    <t xml:space="preserve">Contenido binario del archivo importado.</t>
  </si>
  <si>
    <t xml:space="preserve">nombre + tipo bytea + descripción de la tabla</t>
  </si>
  <si>
    <t xml:space="preserve">C0194</t>
  </si>
  <si>
    <t xml:space="preserve">Identificador del usuario que realizó la importación.</t>
  </si>
  <si>
    <t xml:space="preserve">C0195</t>
  </si>
  <si>
    <t xml:space="preserve">justificacion</t>
  </si>
  <si>
    <t xml:space="preserve">Justificación de la importación masiva.</t>
  </si>
  <si>
    <t xml:space="preserve">C0196</t>
  </si>
  <si>
    <t xml:space="preserve">C0197</t>
  </si>
  <si>
    <t xml:space="preserve">COMPLETADA, COMPLETADA_CON_ERRORES, FALLIDA, PROCESANDO</t>
  </si>
  <si>
    <t xml:space="preserve">Estado del registro de RundCargaMasiva.</t>
  </si>
  <si>
    <t xml:space="preserve">C0198</t>
  </si>
  <si>
    <t xml:space="preserve">resumen</t>
  </si>
  <si>
    <t xml:space="preserve">Resumen del resultado de la importación, en formato JSON.</t>
  </si>
  <si>
    <t xml:space="preserve">nombre + tipo jsonb</t>
  </si>
  <si>
    <t xml:space="preserve">¿Qué estructura tiene (registros creados, actualizados, con error)?</t>
  </si>
  <si>
    <t xml:space="preserve">C0199</t>
  </si>
  <si>
    <t xml:space="preserve">RundDocumentoCategoria</t>
  </si>
  <si>
    <t xml:space="preserve">Nombre del registro de RundDocumentoCategoria.</t>
  </si>
  <si>
    <t xml:space="preserve">C0200</t>
  </si>
  <si>
    <t xml:space="preserve">descripcion</t>
  </si>
  <si>
    <t xml:space="preserve">Descripción del registro de RundDocumentoCategoria.</t>
  </si>
  <si>
    <t xml:space="preserve">C0201</t>
  </si>
  <si>
    <t xml:space="preserve">mime_permitidos</t>
  </si>
  <si>
    <t xml:space="preserve">Tipos MIME permitidos para los documentos de la categoría (lista). Por defecto, application/pdf.</t>
  </si>
  <si>
    <t xml:space="preserve">nombre + tipo text[] + defecto</t>
  </si>
  <si>
    <t xml:space="preserve">C0202</t>
  </si>
  <si>
    <t xml:space="preserve">tamano_maximo_bytes</t>
  </si>
  <si>
    <t xml:space="preserve">Tamaño máximo permitido del archivo, en bytes. Por defecto, 10485760 (10 MB).</t>
  </si>
  <si>
    <t xml:space="preserve">nombre + tipo bigint + defecto</t>
  </si>
  <si>
    <t xml:space="preserve">C0203</t>
  </si>
  <si>
    <t xml:space="preserve">C0204</t>
  </si>
  <si>
    <t xml:space="preserve">orden</t>
  </si>
  <si>
    <t xml:space="preserve">Posición del registro para su ordenamiento.</t>
  </si>
  <si>
    <t xml:space="preserve">C0205</t>
  </si>
  <si>
    <t xml:space="preserve">RundDocumentoPerfil</t>
  </si>
  <si>
    <t xml:space="preserve">documento_logico_id</t>
  </si>
  <si>
    <t xml:space="preserve">RundDocumentoPerfil_documento_logico_id_version_key, uq_rund_documento_perfil_vigente</t>
  </si>
  <si>
    <t xml:space="preserve">Identificador común a todas las versiones de un mismo documento. Junto con version no se repite.</t>
  </si>
  <si>
    <t xml:space="preserve">nombre + índice único (documento_logico_id, version) + descripción de la tabla</t>
  </si>
  <si>
    <t xml:space="preserve">C0206</t>
  </si>
  <si>
    <t xml:space="preserve">Función academic_work_plan.prevent_rund_document_change — academic_work_plan.prevent_rund_document_change: JOIN academic_work_plan."Docente" d ON d.id::text = j.docente_id::text</t>
  </si>
  <si>
    <t xml:space="preserve">idx_rund_documento_perfil_docente_categoria</t>
  </si>
  <si>
    <t xml:space="preserve">Identificador del docente dueño del documento.</t>
  </si>
  <si>
    <t xml:space="preserve">nombre + uso en la función prevent_rund_document_change (JOIN con Docente)</t>
  </si>
  <si>
    <t xml:space="preserve">C0207</t>
  </si>
  <si>
    <t xml:space="preserve">Bloque del perfil RUND al que se asocia el documento.</t>
  </si>
  <si>
    <t xml:space="preserve">nombre + columna homónima en RundCampoEstado</t>
  </si>
  <si>
    <t xml:space="preserve">¿Qué bloques existen?</t>
  </si>
  <si>
    <t xml:space="preserve">C0208</t>
  </si>
  <si>
    <t xml:space="preserve">tipo_soporte</t>
  </si>
  <si>
    <t xml:space="preserve">Tipo de soporte que acredita el documento.</t>
  </si>
  <si>
    <t xml:space="preserve">¿Qué valores toma y de qué catálogo salen?</t>
  </si>
  <si>
    <t xml:space="preserve">C0209</t>
  </si>
  <si>
    <t xml:space="preserve">Descripción del registro de RundDocumentoPerfil.</t>
  </si>
  <si>
    <t xml:space="preserve">C0210</t>
  </si>
  <si>
    <t xml:space="preserve">RundDocumentoPerfil_documento_logico_id_version_key</t>
  </si>
  <si>
    <t xml:space="preserve">Número de versión del registro.</t>
  </si>
  <si>
    <t xml:space="preserve">C0211</t>
  </si>
  <si>
    <t xml:space="preserve">Nombre original del archivo cargado.</t>
  </si>
  <si>
    <t xml:space="preserve">C0212</t>
  </si>
  <si>
    <t xml:space="preserve">mime_type</t>
  </si>
  <si>
    <t xml:space="preserve">Tipo MIME del archivo.</t>
  </si>
  <si>
    <t xml:space="preserve">C0213</t>
  </si>
  <si>
    <t xml:space="preserve">C0214</t>
  </si>
  <si>
    <t xml:space="preserve">checksum_sha256</t>
  </si>
  <si>
    <t xml:space="preserve">Hash SHA-256 del archivo.</t>
  </si>
  <si>
    <t xml:space="preserve">C0215</t>
  </si>
  <si>
    <t xml:space="preserve">proveedor_almacenamiento</t>
  </si>
  <si>
    <t xml:space="preserve">Proveedor donde se almacena el archivo (OpenKM o almacenamiento local de desarrollo).</t>
  </si>
  <si>
    <t xml:space="preserve">¿Con qué valores exactos se registra cada proveedor?</t>
  </si>
  <si>
    <t xml:space="preserve">C0216</t>
  </si>
  <si>
    <t xml:space="preserve">almacenamiento_id</t>
  </si>
  <si>
    <t xml:space="preserve">Identificador del archivo en el proveedor de almacenamiento.</t>
  </si>
  <si>
    <t xml:space="preserve">C0217</t>
  </si>
  <si>
    <t xml:space="preserve">almacenamiento_ruta</t>
  </si>
  <si>
    <t xml:space="preserve">Ruta del archivo en el proveedor de almacenamiento.</t>
  </si>
  <si>
    <t xml:space="preserve">C0218</t>
  </si>
  <si>
    <t xml:space="preserve">ACTIVO, ELIMINADO, REEMPLAZADO</t>
  </si>
  <si>
    <t xml:space="preserve">Estado del registro de RundDocumentoPerfil.</t>
  </si>
  <si>
    <t xml:space="preserve">C0219</t>
  </si>
  <si>
    <t xml:space="preserve">rund_soporte_id</t>
  </si>
  <si>
    <t xml:space="preserve">idx_rund_documento_perfil_soporte</t>
  </si>
  <si>
    <t xml:space="preserve">Identificador del soporte RUND al que corresponde el documento.</t>
  </si>
  <si>
    <t xml:space="preserve">¿A qué tabla de soportes apunta?</t>
  </si>
  <si>
    <t xml:space="preserve">C0220</t>
  </si>
  <si>
    <t xml:space="preserve">eliminado_por</t>
  </si>
  <si>
    <t xml:space="preserve">Usuario que realizó la eliminación.</t>
  </si>
  <si>
    <t xml:space="preserve">C0221</t>
  </si>
  <si>
    <t xml:space="preserve">eliminado_en</t>
  </si>
  <si>
    <t xml:space="preserve">Fecha y hora de la eliminación.</t>
  </si>
  <si>
    <t xml:space="preserve">C0222</t>
  </si>
  <si>
    <t xml:space="preserve">RundExtraccionInicio</t>
  </si>
  <si>
    <t xml:space="preserve">desde</t>
  </si>
  <si>
    <t xml:space="preserve">Fecha y hora desde la que se toman los registros para la extracción, con zona horaria.</t>
  </si>
  <si>
    <t xml:space="preserve">¿Qué proceso usa esta fecha y qué registros filtra?</t>
  </si>
  <si>
    <t xml:space="preserve">C0223</t>
  </si>
  <si>
    <t xml:space="preserve">RundExtraccionSugerencia</t>
  </si>
  <si>
    <t xml:space="preserve">campo</t>
  </si>
  <si>
    <t xml:space="preserve">Función academic_work_plan.prevent_rund_document_change — academic_work_plan.prevent_rund_document_change: AND s.campo = 'documentNumber'</t>
  </si>
  <si>
    <t xml:space="preserve">RundExtraccionSugerencia_trabajo_id_campo_key</t>
  </si>
  <si>
    <t xml:space="preserve">Nombre del campo del perfil para el que se sugiere un valor (por ejemplo, documentNumber).</t>
  </si>
  <si>
    <t xml:space="preserve">nombre + índice único (trabajo_id, campo) + uso en la función prevent_rund_document_change</t>
  </si>
  <si>
    <t xml:space="preserve">C0224</t>
  </si>
  <si>
    <t xml:space="preserve">valor</t>
  </si>
  <si>
    <t xml:space="preserve">Función academic_work_plan.prevent_rund_document_change — academic_work_plan.prevent_rund_document_change: AND regexp_replace(UPPER(BTRIM(s.valor)), '[^A-Z0-9]', '', 'g') =</t>
  </si>
  <si>
    <t xml:space="preserve">Valor sugerido, extraído del documento.</t>
  </si>
  <si>
    <t xml:space="preserve">nombre + uso en la función prevent_rund_document_change</t>
  </si>
  <si>
    <t xml:space="preserve">C0225</t>
  </si>
  <si>
    <t xml:space="preserve">valor_previo</t>
  </si>
  <si>
    <t xml:space="preserve">Valor que tenía el campo antes de la sugerencia.</t>
  </si>
  <si>
    <t xml:space="preserve">nombre + columna vecina valor</t>
  </si>
  <si>
    <t xml:space="preserve">C0226</t>
  </si>
  <si>
    <t xml:space="preserve">pagina</t>
  </si>
  <si>
    <t xml:space="preserve">Número de la página del documento de donde se extrajo el valor. Debe ser mayor que cero.</t>
  </si>
  <si>
    <t xml:space="preserve">nombre + CHECK pagina &gt; 0</t>
  </si>
  <si>
    <t xml:space="preserve">C0227</t>
  </si>
  <si>
    <t xml:space="preserve">evidencia</t>
  </si>
  <si>
    <t xml:space="preserve">Fragmento de texto del documento que respalda el valor sugerido.</t>
  </si>
  <si>
    <t xml:space="preserve">nombre + tipo text + columna vecina pagina</t>
  </si>
  <si>
    <t xml:space="preserve">¿Es el texto extraído o una referencia a una región del documento?</t>
  </si>
  <si>
    <t xml:space="preserve">C0228</t>
  </si>
  <si>
    <t xml:space="preserve">confianza</t>
  </si>
  <si>
    <t xml:space="preserve">numeric</t>
  </si>
  <si>
    <t xml:space="preserve">Nivel de confianza de la extracción, entre 0 y 1.</t>
  </si>
  <si>
    <t xml:space="preserve">nombre + CHECK entre 0 y 1</t>
  </si>
  <si>
    <t xml:space="preserve">C0229</t>
  </si>
  <si>
    <t xml:space="preserve">baja_confianza</t>
  </si>
  <si>
    <t xml:space="preserve">Indica si aplica: baja confianza.</t>
  </si>
  <si>
    <t xml:space="preserve">C0230</t>
  </si>
  <si>
    <t xml:space="preserve">APROBADA, CORREGIDA, DESCARTADA, PENDIENTE</t>
  </si>
  <si>
    <t xml:space="preserve">Estado del registro de RundExtraccionSugerencia.</t>
  </si>
  <si>
    <t xml:space="preserve">C0231</t>
  </si>
  <si>
    <t xml:space="preserve">valor_confirmado</t>
  </si>
  <si>
    <t xml:space="preserve">Valor confirmado por el revisor.</t>
  </si>
  <si>
    <t xml:space="preserve">nombre + columnas vecinas revisado_por y revisado_en</t>
  </si>
  <si>
    <t xml:space="preserve">C0232</t>
  </si>
  <si>
    <t xml:space="preserve">Usuario que realizó la revisión.</t>
  </si>
  <si>
    <t xml:space="preserve">C0233</t>
  </si>
  <si>
    <t xml:space="preserve">Motivo de la decisión del revisor sobre la sugerencia.</t>
  </si>
  <si>
    <t xml:space="preserve">nombre + columnas vecinas estado y revisado_por</t>
  </si>
  <si>
    <t xml:space="preserve">¿Se registra solo al rechazar o en cualquier decisión?</t>
  </si>
  <si>
    <t xml:space="preserve">C0234</t>
  </si>
  <si>
    <t xml:space="preserve">C0235</t>
  </si>
  <si>
    <t xml:space="preserve">RundExtraccionTrabajo</t>
  </si>
  <si>
    <t xml:space="preserve">idx_rund_extraccion_docente</t>
  </si>
  <si>
    <t xml:space="preserve">Identificador del docente cuyo documento RUND se procesa en este trabajo de extracción. Referencia a academic_work_plan."Docente".</t>
  </si>
  <si>
    <t xml:space="preserve">nombre + uuid + JOIN con Docente en prevent_rund_document_change</t>
  </si>
  <si>
    <t xml:space="preserve">C0236</t>
  </si>
  <si>
    <t xml:space="preserve">COMPLETADO, ERROR, OBSOLETO, PENDIENTE, PROCESANDO</t>
  </si>
  <si>
    <t xml:space="preserve">idx_rund_extraccion_cola</t>
  </si>
  <si>
    <t xml:space="preserve">Estado del registro de RundExtraccionTrabajo.</t>
  </si>
  <si>
    <t xml:space="preserve">C0237</t>
  </si>
  <si>
    <t xml:space="preserve">intentos</t>
  </si>
  <si>
    <t xml:space="preserve">Número de intentos de procesamiento realizados para este trabajo de extracción.</t>
  </si>
  <si>
    <t xml:space="preserve">nombre + integer con defecto 0 + columnas vecinas de cola (estado, disponible_en)</t>
  </si>
  <si>
    <t xml:space="preserve">¿Se incrementa en cada intento fallido o en cada toma del trabajo, y existe un máximo de reintentos?</t>
  </si>
  <si>
    <t xml:space="preserve">C0238</t>
  </si>
  <si>
    <t xml:space="preserve">disponible_en</t>
  </si>
  <si>
    <t xml:space="preserve">Fecha y hora a partir de la cual el trabajo queda disponible para que un proceso lo tome de la cola.</t>
  </si>
  <si>
    <t xml:space="preserve">nombre + timestamptz con defecto now() + índice idx_rund_extraccion_cola</t>
  </si>
  <si>
    <t xml:space="preserve">¿Se reprograma a una fecha futura cuando el trabajo falla y debe reintentarse?</t>
  </si>
  <si>
    <t xml:space="preserve">C0239</t>
  </si>
  <si>
    <t xml:space="preserve">lease_id</t>
  </si>
  <si>
    <t xml:space="preserve">Identificador de la reserva temporal (lease) con la que un proceso de trabajo toma el registro para procesarlo.</t>
  </si>
  <si>
    <t xml:space="preserve">nombre técnico + uuid + columna vecina lease_hasta</t>
  </si>
  <si>
    <t xml:space="preserve">¿Qué componente asigna este identificador y se limpia al terminar el procesamiento?</t>
  </si>
  <si>
    <t xml:space="preserve">C0240</t>
  </si>
  <si>
    <t xml:space="preserve">lease_hasta</t>
  </si>
  <si>
    <t xml:space="preserve">Fecha y hora en que vence la reserva temporal (lease) del trabajo; después puede tomarlo otro proceso.</t>
  </si>
  <si>
    <t xml:space="preserve">nombre + timestamptz + columna vecina lease_id</t>
  </si>
  <si>
    <t xml:space="preserve">¿Cuál es la duración de la reserva y qué ocurre con el trabajo cuando vence sin terminar?</t>
  </si>
  <si>
    <t xml:space="preserve">C0241</t>
  </si>
  <si>
    <t xml:space="preserve">perfil_base</t>
  </si>
  <si>
    <t xml:space="preserve">Datos del perfil del docente usados como punto de partida para la extracción, en formato JSON.</t>
  </si>
  <si>
    <t xml:space="preserve">nombre + jsonb con defecto '{}'</t>
  </si>
  <si>
    <t xml:space="preserve">¿Qué estructura tiene este JSON y de dónde se toman los datos del perfil base?</t>
  </si>
  <si>
    <t xml:space="preserve">C0242</t>
  </si>
  <si>
    <t xml:space="preserve">motor</t>
  </si>
  <si>
    <t xml:space="preserve">Información del motor de extracción usado en el trabajo (por ejemplo, nombre, versión o parámetros), en formato JSON.</t>
  </si>
  <si>
    <t xml:space="preserve">nombre técnico + jsonb con defecto '{}'</t>
  </si>
  <si>
    <t xml:space="preserve">¿Qué datos guarda este JSON: identificación del motor, configuración o resultados del procesamiento?</t>
  </si>
  <si>
    <t xml:space="preserve">C0243</t>
  </si>
  <si>
    <t xml:space="preserve">error_codigo</t>
  </si>
  <si>
    <t xml:space="preserve">Código del error ocurrido en el último intento de procesamiento, si lo hubo.</t>
  </si>
  <si>
    <t xml:space="preserve">nombre + text nulo + columna vecina intentos</t>
  </si>
  <si>
    <t xml:space="preserve">¿Existe un catálogo de códigos de error posibles?</t>
  </si>
  <si>
    <t xml:space="preserve">C0244</t>
  </si>
  <si>
    <t xml:space="preserve">etapa</t>
  </si>
  <si>
    <t xml:space="preserve">Etapa actual del trabajo de extracción dentro de su procesamiento. Valor inicial: EN_COLA.</t>
  </si>
  <si>
    <t xml:space="preserve">nombre + text con defecto 'EN_COLA'</t>
  </si>
  <si>
    <t xml:space="preserve">¿Cuáles son las etapas posibles además de EN_COLA y en qué se diferencian de la columna estado?</t>
  </si>
  <si>
    <t xml:space="preserve">C0245</t>
  </si>
  <si>
    <t xml:space="preserve">etapa_desde</t>
  </si>
  <si>
    <t xml:space="preserve">Fecha y hora en que el trabajo entró a su etapa actual.</t>
  </si>
  <si>
    <t xml:space="preserve">nombre + timestamptz con defecto now() + columna vecina etapa</t>
  </si>
  <si>
    <t xml:space="preserve">C0246</t>
  </si>
  <si>
    <t xml:space="preserve">iniciado_en</t>
  </si>
  <si>
    <t xml:space="preserve">Fecha y hora del inicio.</t>
  </si>
  <si>
    <t xml:space="preserve">C0247</t>
  </si>
  <si>
    <t xml:space="preserve">notificacion_id</t>
  </si>
  <si>
    <t xml:space="preserve">Identificador de la notificación asociada al trabajo de extracción. Se genera automáticamente.</t>
  </si>
  <si>
    <t xml:space="preserve">nombre + uuid con defecto gen_random_uuid() + columnas vecinas notificado_en, notificacion_proxima</t>
  </si>
  <si>
    <t xml:space="preserve">¿Este identificador corresponde a un registro del esquema notifications o solo sirve para evitar avisos duplicados?</t>
  </si>
  <si>
    <t xml:space="preserve">C0248</t>
  </si>
  <si>
    <t xml:space="preserve">notificado_en</t>
  </si>
  <si>
    <t xml:space="preserve">Fecha y hora de la notificación.</t>
  </si>
  <si>
    <t xml:space="preserve">C0249</t>
  </si>
  <si>
    <t xml:space="preserve">notificacion_proxima</t>
  </si>
  <si>
    <t xml:space="preserve">idx_rund_extraccion_aviso</t>
  </si>
  <si>
    <t xml:space="preserve">Fecha y hora programada para el próximo aviso relacionado con el trabajo de extracción.</t>
  </si>
  <si>
    <t xml:space="preserve">nombre + timestamptz con defecto now() + índice idx_rund_extraccion_aviso</t>
  </si>
  <si>
    <t xml:space="preserve">¿A quién se envía el aviso y con qué periodicidad se reprograma?</t>
  </si>
  <si>
    <t xml:space="preserve">C0250</t>
  </si>
  <si>
    <t xml:space="preserve">RundInvitacionDocente</t>
  </si>
  <si>
    <t xml:space="preserve">correo_institucional</t>
  </si>
  <si>
    <t xml:space="preserve">idx_rund_invitacion_correo</t>
  </si>
  <si>
    <t xml:space="preserve">Correo electrónico institucional del docente al que se envía la invitación.</t>
  </si>
  <si>
    <t xml:space="preserve">nombre + varchar(255) + índice idx_rund_invitacion_correo</t>
  </si>
  <si>
    <t xml:space="preserve">C0251</t>
  </si>
  <si>
    <t xml:space="preserve">documento_identidad</t>
  </si>
  <si>
    <t xml:space="preserve">Número del documento de identidad del docente invitado.</t>
  </si>
  <si>
    <t xml:space="preserve">nombre + varchar(100)</t>
  </si>
  <si>
    <t xml:space="preserve">C0252</t>
  </si>
  <si>
    <t xml:space="preserve">token_invitacion</t>
  </si>
  <si>
    <t xml:space="preserve">RundInvitacionDocente_token_invitacion_key, idx_rund_invitacion_token</t>
  </si>
  <si>
    <t xml:space="preserve">Token único del enlace de invitación enviado al docente.</t>
  </si>
  <si>
    <t xml:space="preserve">nombre + restricción única + columna vecina caducidad_token</t>
  </si>
  <si>
    <t xml:space="preserve">C0253</t>
  </si>
  <si>
    <t xml:space="preserve">otp_hash</t>
  </si>
  <si>
    <t xml:space="preserve">Hash del código de un solo uso (OTP) enviado al docente para validar el acceso. No guarda el código en claro.</t>
  </si>
  <si>
    <t xml:space="preserve">nombre + varchar(255) + columna vecina intentos_otp</t>
  </si>
  <si>
    <t xml:space="preserve">¿Qué algoritmo de hash se usa y se borra el valor después de validar el código?</t>
  </si>
  <si>
    <t xml:space="preserve">C0254</t>
  </si>
  <si>
    <t xml:space="preserve">estado_invitacion</t>
  </si>
  <si>
    <t xml:space="preserve">Estado de la invitación al docente. Valor inicial: Enviada.</t>
  </si>
  <si>
    <t xml:space="preserve">nombre + varchar(50) con defecto 'Enviada'</t>
  </si>
  <si>
    <t xml:space="preserve">¿Cuáles son los demás estados posibles (por ejemplo, Abierta, Completada, Vencida)?</t>
  </si>
  <si>
    <t xml:space="preserve">C0255</t>
  </si>
  <si>
    <t xml:space="preserve">caducidad_token</t>
  </si>
  <si>
    <t xml:space="preserve">Fecha y hora en que vence el token de invitación.</t>
  </si>
  <si>
    <t xml:space="preserve">nombre + timestamp + columna vecina token_invitacion</t>
  </si>
  <si>
    <t xml:space="preserve">C0256</t>
  </si>
  <si>
    <t xml:space="preserve">intentos_otp</t>
  </si>
  <si>
    <t xml:space="preserve">Número de intentos de validación del código OTP realizados por el docente.</t>
  </si>
  <si>
    <t xml:space="preserve">nombre + integer con defecto 0 + columna vecina bloqueo_hasta</t>
  </si>
  <si>
    <t xml:space="preserve">¿Cuántos intentos fallidos se permiten antes del bloqueo y se cuentan también los exitosos?</t>
  </si>
  <si>
    <t xml:space="preserve">C0257</t>
  </si>
  <si>
    <t xml:space="preserve">bloqueo_hasta</t>
  </si>
  <si>
    <t xml:space="preserve">Fecha y hora hasta la cual la invitación queda bloqueada tras superar los intentos permitidos de OTP.</t>
  </si>
  <si>
    <t xml:space="preserve">nombre + timestamp + columna vecina intentos_otp</t>
  </si>
  <si>
    <t xml:space="preserve">¿Cuánto dura el bloqueo y qué número de intentos lo activa?</t>
  </si>
  <si>
    <t xml:space="preserve">C0258</t>
  </si>
  <si>
    <t xml:space="preserve">fecha_envio</t>
  </si>
  <si>
    <t xml:space="preserve">Fecha de envio.</t>
  </si>
  <si>
    <t xml:space="preserve">C0259</t>
  </si>
  <si>
    <t xml:space="preserve">fecha_apertura</t>
  </si>
  <si>
    <t xml:space="preserve">Fecha de apertura.</t>
  </si>
  <si>
    <t xml:space="preserve">C0260</t>
  </si>
  <si>
    <t xml:space="preserve">ultima_actividad</t>
  </si>
  <si>
    <t xml:space="preserve">Fecha y hora de la última acción del docente sobre la invitación.</t>
  </si>
  <si>
    <t xml:space="preserve">nombre + timestamp + columnas vecinas fecha_envio, fecha_apertura</t>
  </si>
  <si>
    <t xml:space="preserve">¿Qué acciones actualizan este valor: apertura, validación OTP o carga de información?</t>
  </si>
  <si>
    <t xml:space="preserve">C0261</t>
  </si>
  <si>
    <t xml:space="preserve">Identificador del docente asociado a la invitación, en texto.</t>
  </si>
  <si>
    <t xml:space="preserve">nombre + text nulo</t>
  </si>
  <si>
    <t xml:space="preserve">¿Corresponde al id de academic_work_plan."Docente" y por qué se guarda como texto y no como uuid?</t>
  </si>
  <si>
    <t xml:space="preserve">C0262</t>
  </si>
  <si>
    <t xml:space="preserve">operador_id</t>
  </si>
  <si>
    <t xml:space="preserve">Identificador del usuario operador que generó o envió la invitación.</t>
  </si>
  <si>
    <t xml:space="preserve">nombre + varchar(255) nulo</t>
  </si>
  <si>
    <t xml:space="preserve">¿El operador es el usuario de auth."user" o de auth.personas, y qué identificador se guarda?</t>
  </si>
  <si>
    <t xml:space="preserve">C0263</t>
  </si>
  <si>
    <t xml:space="preserve">RundMacroDocenteConsultaLog</t>
  </si>
  <si>
    <t xml:space="preserve">tipo_consulta</t>
  </si>
  <si>
    <t xml:space="preserve">academic-work-plan-service/src/pta/entities/rund-macro-docente-consulta-log.entity.ts:16: MACRO_DOCENTE | CONSULTA_PUNTUAL | EXTERNA | db/migrations/417_create_rund_macro_docente_acceso_externo.sql:41: MACRO_DOCENTE | CONSULTA_PUNTUAL | EXTERNA</t>
  </si>
  <si>
    <t xml:space="preserve">Tipo de consulta realizada sobre el Macro Docente: MACRO_DOCENTE, CONSULTA_PUNTUAL o EXTERNA.</t>
  </si>
  <si>
    <t xml:space="preserve">código: academic-work-plan-service/src/pta/entities/rund-macro-docente-consulta-log.entity.ts:16; db/migrations/417_create_rund_macro_docente_acceso_externo.sql:41</t>
  </si>
  <si>
    <t xml:space="preserve">C0264</t>
  </si>
  <si>
    <t xml:space="preserve">Mapeada en academic-work-plan-service/src/pta/entities/rund-macro-docente-consulta-log.entity.ts:19 (RundMacroDocenteConsultaLogEntity.actorId)</t>
  </si>
  <si>
    <t xml:space="preserve">Identificador del usuario que realizó la consulta.</t>
  </si>
  <si>
    <t xml:space="preserve">nombre + text not null + columna vecina roles</t>
  </si>
  <si>
    <t xml:space="preserve">¿Qué identificador se guarda (id de usuario, id de persona o correo)?</t>
  </si>
  <si>
    <t xml:space="preserve">C0265</t>
  </si>
  <si>
    <t xml:space="preserve">Mapeada en academic-work-plan-service/src/pta/entities/rund-macro-docente-consulta-log.entity.ts:22 (RundMacroDocenteConsultaLogEntity.roles)</t>
  </si>
  <si>
    <t xml:space="preserve">Roles que tenía el usuario al momento de la consulta, como lista de textos.</t>
  </si>
  <si>
    <t xml:space="preserve">nombre + text[] + columna vecina actor_id</t>
  </si>
  <si>
    <t xml:space="preserve">C0266</t>
  </si>
  <si>
    <t xml:space="preserve">idx_rund_macro_docente_log_docente</t>
  </si>
  <si>
    <t xml:space="preserve">Mapeada en academic-work-plan-service/src/pta/entities/rund-macro-docente-consulta-log.entity.ts:28 (RundMacroDocenteConsultaLogEntity.docenteId)</t>
  </si>
  <si>
    <t xml:space="preserve">Identificador del docente consultado, cuando la consulta se refiere a un docente específico.</t>
  </si>
  <si>
    <t xml:space="preserve">nombre + text nulo + índice idx_rund_macro_docente_log_docente</t>
  </si>
  <si>
    <t xml:space="preserve">¿Corresponde al id de academic_work_plan."Docente"?</t>
  </si>
  <si>
    <t xml:space="preserve">C0267</t>
  </si>
  <si>
    <t xml:space="preserve">Mapeada en academic-work-plan-service/src/pta/entities/rund-macro-docente-consulta-log.entity.ts:31 (RundMacroDocenteConsultaLogEntity.periodo)</t>
  </si>
  <si>
    <t xml:space="preserve">Periodo académico consultado.</t>
  </si>
  <si>
    <t xml:space="preserve">¿Qué formato tiene el periodo (por ejemplo, 2026-1)?</t>
  </si>
  <si>
    <t xml:space="preserve">C0268</t>
  </si>
  <si>
    <t xml:space="preserve">filtros</t>
  </si>
  <si>
    <t xml:space="preserve">Mapeada en academic-work-plan-service/src/pta/entities/rund-macro-docente-consulta-log.entity.ts:34 (RundMacroDocenteConsultaLogEntity.filtros)</t>
  </si>
  <si>
    <t xml:space="preserve">Filtros aplicados en la consulta, en formato JSON.</t>
  </si>
  <si>
    <t xml:space="preserve">nombre + jsonb + tabla de registro de consultas</t>
  </si>
  <si>
    <t xml:space="preserve">C0269</t>
  </si>
  <si>
    <t xml:space="preserve">total_resultados</t>
  </si>
  <si>
    <t xml:space="preserve">Mapeada en academic-work-plan-service/src/pta/entities/rund-macro-docente-consulta-log.entity.ts:37 (RundMacroDocenteConsultaLogEntity.totalResultados)</t>
  </si>
  <si>
    <t xml:space="preserve">Número de registros devueltos por la consulta.</t>
  </si>
  <si>
    <t xml:space="preserve">nombre + integer + tabla de registro de consultas</t>
  </si>
  <si>
    <t xml:space="preserve">C0270</t>
  </si>
  <si>
    <t xml:space="preserve">Mapeada en academic-work-plan-service/src/pta/entities/rund-macro-docente-consulta-log.entity.ts:40 (RundMacroDocenteConsultaLogEntity.ip)</t>
  </si>
  <si>
    <t xml:space="preserve">C0271</t>
  </si>
  <si>
    <t xml:space="preserve">RundSoporteCampo</t>
  </si>
  <si>
    <t xml:space="preserve">idx_rund_soporte_campo_bloque, idx_rund_soporte_campo_docente</t>
  </si>
  <si>
    <t xml:space="preserve">Mapeada en academic-work-plan-service/src/pta/entities/rund-soporte-campo.entity.ts:13 (RundSoporteCampoEntity.docenteId)</t>
  </si>
  <si>
    <t xml:space="preserve">Identificador del docente al que pertenece el soporte.</t>
  </si>
  <si>
    <t xml:space="preserve">nombre + uuid + índices por docente</t>
  </si>
  <si>
    <t xml:space="preserve">C0272</t>
  </si>
  <si>
    <t xml:space="preserve">idx_rund_soporte_campo_bloque</t>
  </si>
  <si>
    <t xml:space="preserve">academic-work-plan-service/src/pta/entities/rund-soporte-campo.entity.ts:20: Bloque de campos al que aplica este soporte. IDENTIDAD | FORMACION | VINCULACION | CONTACTO</t>
  </si>
  <si>
    <t xml:space="preserve">Bloque de campos RUND al que aplica el soporte: IDENTIDAD, FORMACION, VINCULACION o CONTACTO.</t>
  </si>
  <si>
    <t xml:space="preserve">código: academic-work-plan-service/src/pta/entities/rund-soporte-campo.entity.ts:20</t>
  </si>
  <si>
    <t xml:space="preserve">C0273</t>
  </si>
  <si>
    <t xml:space="preserve">academic-work-plan-service/src/pta/entities/rund-soporte-campo.entity.ts:32: BR-039 — Tipo de soporte según catálogo: - IDENTIDAD: documento_identidad, cedula_extranjeria - FORMACION: diploma_pregrado, acta_grado_pregrado, diploma_especializacion, diploma_maestria, diploma_doctorado, convalidacion_men - VINCULACION: acto_administrativo, resolucion_nombramiento, contrato, eva</t>
  </si>
  <si>
    <t xml:space="preserve">Tipo de soporte según el catálogo por bloque (BR-039): por ejemplo, documento_identidad (IDENTIDAD), diploma_pregrado o convalidacion_men (FORMACION) y acto_administrativo o contrato (VINCULACION). CONTACTO no requiere soporte.</t>
  </si>
  <si>
    <t xml:space="preserve">código: academic-work-plan-service/src/pta/entities/rund-soporte-campo.entity.ts:32</t>
  </si>
  <si>
    <t xml:space="preserve">C0274</t>
  </si>
  <si>
    <t xml:space="preserve">documento_carpeta_id</t>
  </si>
  <si>
    <t xml:space="preserve">academic-work-plan-service/src/pta/entities/rund-soporte-campo.entity.ts:39: BR-058 — Referencia al documento en Carpeta Digital (no duplicamos el archivo). Puede ser el ID del tipo_documento o el ID del archivo en Carpeta Digital.</t>
  </si>
  <si>
    <t xml:space="preserve">Referencia al documento en la Carpeta Digital, sin duplicar el archivo: puede ser el identificador del tipo_documento o el del archivo en la Carpeta Digital (BR-058).</t>
  </si>
  <si>
    <t xml:space="preserve">código: academic-work-plan-service/src/pta/entities/rund-soporte-campo.entity.ts:39</t>
  </si>
  <si>
    <t xml:space="preserve">C0275</t>
  </si>
  <si>
    <t xml:space="preserve">academic-work-plan-service/src/pta/entities/rund-soporte-campo.entity.ts:45: Nombre descriptivo del archivo para display.</t>
  </si>
  <si>
    <t xml:space="preserve">Nombre descriptivo del archivo del soporte, para mostrar.</t>
  </si>
  <si>
    <t xml:space="preserve">código: academic-work-plan-service/src/pta/entities/rund-soporte-campo.entity.ts:45</t>
  </si>
  <si>
    <t xml:space="preserve">C0276</t>
  </si>
  <si>
    <t xml:space="preserve">academic-work-plan-service/src/pta/entities/rund-soporte-campo.entity.ts:51: Estado del soporte: Pendiente | Aprobado | Rechazado</t>
  </si>
  <si>
    <t xml:space="preserve">Estado del soporte: Pendiente, Aprobado o Rechazado.</t>
  </si>
  <si>
    <t xml:space="preserve">código: academic-work-plan-service/src/pta/entities/rund-soporte-campo.entity.ts:51</t>
  </si>
  <si>
    <t xml:space="preserve">C0277</t>
  </si>
  <si>
    <t xml:space="preserve">academic-work-plan-service/src/pta/entities/rund-soporte-campo.entity.ts:67: Quién cargó el soporte.</t>
  </si>
  <si>
    <t xml:space="preserve">Usuario que cargó el soporte.</t>
  </si>
  <si>
    <t xml:space="preserve">código: academic-work-plan-service/src/pta/entities/rund-soporte-campo.entity.ts:67</t>
  </si>
  <si>
    <t xml:space="preserve">C0278</t>
  </si>
  <si>
    <t xml:space="preserve">academic-work-plan-service/src/pta/entities/rund-soporte-campo.entity.ts:73: Observación del revisor (motivo de rechazo, etc.)</t>
  </si>
  <si>
    <t xml:space="preserve">Observación del revisor sobre el soporte, como el motivo de rechazo.</t>
  </si>
  <si>
    <t xml:space="preserve">código: academic-work-plan-service/src/pta/entities/rund-soporte-campo.entity.ts:73</t>
  </si>
  <si>
    <t xml:space="preserve">C0279</t>
  </si>
  <si>
    <t xml:space="preserve">fecha_vencimiento</t>
  </si>
  <si>
    <t xml:space="preserve">academic-work-plan-service/src/pta/entities/rund-soporte-campo.entity.ts:61: BR-055 — Fecha de vencimiento (solo para soportes con vigencia: certificaciones, evaluaciones). null = sin caducidad (diplomas).</t>
  </si>
  <si>
    <t xml:space="preserve">Fecha de vencimiento del soporte, solo para soportes con vigencia (certificaciones, evaluaciones); vacía si no caduca, como los diplomas (BR-055).</t>
  </si>
  <si>
    <t xml:space="preserve">código: academic-work-plan-service/src/pta/entities/rund-soporte-campo.entity.ts:61</t>
  </si>
  <si>
    <t xml:space="preserve">C0280</t>
  </si>
  <si>
    <t xml:space="preserve">documento_perfil_id</t>
  </si>
  <si>
    <t xml:space="preserve">Identificador del documento de perfil del docente al que se asocia el soporte.</t>
  </si>
  <si>
    <t xml:space="preserve">nombre + uuid nulo</t>
  </si>
  <si>
    <t xml:space="preserve">¿Hace referencia a academic_work_plan."Documento" u otra tabla?</t>
  </si>
  <si>
    <t xml:space="preserve">C0281</t>
  </si>
  <si>
    <t xml:space="preserve">revisiones_campos</t>
  </si>
  <si>
    <t xml:space="preserve">Mapeada en academic-work-plan-service/src/pta/entities/rund-soporte-campo.entity.ts:54 (RundSoporteCampoEntity.revisionesCampos)</t>
  </si>
  <si>
    <t xml:space="preserve">Resultado de la revisión de cada campo del soporte, en formato JSON.</t>
  </si>
  <si>
    <t xml:space="preserve">¿Qué estructura tiene el JSON (campo, estado, observación, revisor)?</t>
  </si>
  <si>
    <t xml:space="preserve">C0282</t>
  </si>
  <si>
    <t xml:space="preserve">actas_inicio</t>
  </si>
  <si>
    <t xml:space="preserve">hiring-service/src/entities/acta-inicio.entity.ts:25: La de la reunión, no la del registro: es desde cuándo el contrato está en ejecución y desde donde corre su plazo. | db/migrations/hiring/042_acta_de_inicio.sql:29: Fecha real de la reunión, no la del registro: es la que cuenta como inicio de la ejecución y desde la que corre el plazo del contrato. | Validación: IsDateString({}, { message: 'La fecha de inicio debe tener el formato YYYY-MM-DD' })</t>
  </si>
  <si>
    <t xml:space="preserve">Fecha real de la reunión de inicio, no la del registro; marca el inicio de la ejecución del contrato y desde ella corre su plazo. Formato YYYY-MM-DD (EFDS-1167).</t>
  </si>
  <si>
    <t xml:space="preserve">código: hiring-service/src/entities/acta-inicio.entity.ts:25; db/migrations/hiring/042_acta_de_inicio.sql:29</t>
  </si>
  <si>
    <t xml:space="preserve">C0283</t>
  </si>
  <si>
    <t xml:space="preserve">temas_tratados</t>
  </si>
  <si>
    <t xml:space="preserve">hiring-service/src/entities/acta-inicio.entity.ts:29: Alcance, cronograma y entregables: lo que la matriz pide socializar. | db/migrations/hiring/042_acta_de_inicio.sql:34: Qué se socializó. La matriz lo pide en 9.1: alcance, cronograma y entregables. Se guarda el texto porque es lo que acredita que la reunión ocurrió y no fue un trámite en el papel. | Validación: IsNotEmpty({ message: 'Registra que se socializó en la reunión de inicio' }), IsString, MaxLength(4000), MinLength(10, {
    message: 'Describe los temas tratados: alcance, cronograma y entregables',
  })</t>
  </si>
  <si>
    <t xml:space="preserve">Temas socializados en la reunión de inicio del contrato: alcance, cronograma y entregables. Entre 10 y 4.000 caracteres.</t>
  </si>
  <si>
    <t xml:space="preserve">código: hiring-service/src/entities/acta-inicio.entity.ts:29; db/migrations/hiring/042_acta_de_inicio.sql:34; nota: longitudes de las validaciones DTO</t>
  </si>
  <si>
    <t xml:space="preserve">C0284</t>
  </si>
  <si>
    <t xml:space="preserve">asistentes</t>
  </si>
  <si>
    <t xml:space="preserve">hiring-service/src/entities/acta-inicio.entity.ts:37: En texto libre porque el contratista no es usuario del sistema: por la entidad va quien delegue el ordenador, y por la otra parte su representante, que no está en el directorio. | db/migrations/hiring/042_acta_de_inicio.sql:40: Quiénes asistieron, en texto libre: por la entidad puede ir el supervisor, el ordenador o quien deleguen, y por el contratista su representante. No se modela como lista de personas porque el contratista no es usuario del sistema y no está en el directorio. | Validación: IsOptional, IsString, MaxLength(2000)</t>
  </si>
  <si>
    <t xml:space="preserve">Personas que asistieron a la reunión de inicio, en texto libre: por la entidad, el supervisor, el ordenador o su delegado, y por el contratista, su representante. Hasta 2.000 caracteres.</t>
  </si>
  <si>
    <t xml:space="preserve">código: hiring-service/src/entities/acta-inicio.entity.ts:37; db/migrations/hiring/042_acta_de_inicio.sql:40</t>
  </si>
  <si>
    <t xml:space="preserve">C0285</t>
  </si>
  <si>
    <t xml:space="preserve">acta_pactada</t>
  </si>
  <si>
    <t xml:space="preserve">hiring-service/src/entities/acta-inicio.entity.ts:48: Si el contrato pactó acta de inicio. Congelado al registrar: de él depende que el documento fuera exigible en ese momento. | db/migrations/hiring/042_acta_de_inicio.sql:48: Si el contrato la pactó. Congelado al registrar, porque de él depende que el acta fuera exigible en ese momento. | Validación: IsBoolean({ message: 'Indica con si o no si el contrato pacto acta de inicio' })</t>
  </si>
  <si>
    <t xml:space="preserve">Indica si el contrato pactó acta de inicio. Se fija al registrar, porque de él depende que el acta fuera exigible en ese momento.</t>
  </si>
  <si>
    <t xml:space="preserve">código: hiring-service/src/entities/acta-inicio.entity.ts:48; db/migrations/hiring/042_acta_de_inicio.sql:48</t>
  </si>
  <si>
    <t xml:space="preserve">C0286</t>
  </si>
  <si>
    <t xml:space="preserve">registrado_por</t>
  </si>
  <si>
    <t xml:space="preserve">Mapeada en hiring-service/src/entities/acta-inicio.entity.ts:51 (ActaInicio.registradoPor)</t>
  </si>
  <si>
    <t xml:space="preserve">Usuario que realizó el registro.</t>
  </si>
  <si>
    <t xml:space="preserve">C0287</t>
  </si>
  <si>
    <t xml:space="preserve">actas_liquidacion</t>
  </si>
  <si>
    <t xml:space="preserve">BILATERAL, UNILATERAL</t>
  </si>
  <si>
    <t xml:space="preserve">db/migrations/hiring/045_acta_de_liquidacion.sql:29: De común acuerdo o por acto de la entidad. No es un detalle del acta: son dos figuras distintas, con requisitos y plazos distintos. | Validación: IsIn(TIPOS_CAMPO as unknown as string[]), IsIn(TIPOS_LIQUIDACION, {
    message: 'La liquidación es bilateral, de común acuerdo, o unilateral, por acto de la entidad',
  }), IsIn(TIPOS_REGLA as unknown as string[]), IsIn(TIPOS_SOPORTE, {
    message: 'El soporte es seguridad social, RUT, certificación bancaria u otro',
  }), IsIn(['GRABACION', 'OBSERVACION', 'ANEXO'], {
    message: 'Di qué es: una grabación, una observación con su respuesta, o un anexo',
  }), IsIn(['INFORME', 'ACTA', 'SOPORTE'], {
    message: 'El soporte es un informe, un acta u otro documento de la ejecución',
  })</t>
  </si>
  <si>
    <t xml:space="preserve">Tipo de liquidación del contrato: BILATERAL (de común acuerdo entre las partes) o UNILATERAL (por acto de la entidad); cada una tiene requisitos y plazos distintos (RF-LIQ-02).</t>
  </si>
  <si>
    <t xml:space="preserve">código: db/migrations/hiring/045_acta_de_liquidacion.sql:29</t>
  </si>
  <si>
    <t xml:space="preserve">C0288</t>
  </si>
  <si>
    <t xml:space="preserve">fecha_acta</t>
  </si>
  <si>
    <t xml:space="preserve">Mapeada en hiring-service/src/entities/acta-liquidacion.entity.ts:63 (ActaLiquidacion.fechaActa) | Validación: IsDateString({}, { message: 'La fecha del acta debe tener el formato YYYY-MM-DD' })</t>
  </si>
  <si>
    <t xml:space="preserve">Fecha de acta.</t>
  </si>
  <si>
    <t xml:space="preserve">C0289</t>
  </si>
  <si>
    <t xml:space="preserve">balance</t>
  </si>
  <si>
    <t xml:space="preserve">Mapeada en hiring-service/src/entities/acta-liquidacion.entity.ts:66 (ActaLiquidacion.balance)</t>
  </si>
  <si>
    <t xml:space="preserve">Balance financiero de la liquidación del contrato, en formato JSON.</t>
  </si>
  <si>
    <t xml:space="preserve">nombre + jsonb + descripción de la tabla</t>
  </si>
  <si>
    <t xml:space="preserve">¿Qué conceptos incluye el JSON (valor ejecutado, pagado, saldo)?</t>
  </si>
  <si>
    <t xml:space="preserve">C0290</t>
  </si>
  <si>
    <t xml:space="preserve">paz_y_salvo</t>
  </si>
  <si>
    <t xml:space="preserve">db/migrations/hiring/045_acta_de_liquidacion.sql:45: Paz y salvo: si las partes se declaran a paz y salvo y su soporte. El soporte es aparte del acta porque suele ser un documento propio del contratista, no una hoja del acta. | Validación: IsBoolean</t>
  </si>
  <si>
    <t xml:space="preserve">Indica si las partes se declaran a paz y salvo. El soporte se registra aparte del acta.</t>
  </si>
  <si>
    <t xml:space="preserve">código: db/migrations/hiring/045_acta_de_liquidacion.sql:45</t>
  </si>
  <si>
    <t xml:space="preserve">C0291</t>
  </si>
  <si>
    <t xml:space="preserve">Mapeada en hiring-service/src/entities/acta-liquidacion.entity.ts:81 (ActaLiquidacion.observaciones) | Validación: IsNotEmpty({ message: 'El motivo del rechazo es obligatorio' }), IsNotEmpty({ message: 'Explica por qué se rechaza el registro presupuestal' }), IsNotEmpty({ message: 'Explica por qué se rechaza' }), IsOptional, IsString, MaxLength(1000)</t>
  </si>
  <si>
    <t xml:space="preserve">C0292</t>
  </si>
  <si>
    <t xml:space="preserve">fecha_terminacion</t>
  </si>
  <si>
    <t xml:space="preserve">hiring-service/src/entities/acta-liquidacion.entity.ts:91: La ventana con la que se liquidó. Se guarda además de poder calcularse: es la que estaba vigente ese día. Si cambia la norma o se corrige la fecha de terminación, el acta tiene que seguir explicando por qué se liquidó cuando se liquidó.</t>
  </si>
  <si>
    <t xml:space="preserve">Fecha de terminación del contrato con la que se calculó la ventana de liquidación, guardada tal como estaba vigente el día en que se liquidó.</t>
  </si>
  <si>
    <t xml:space="preserve">código: hiring-service/src/entities/acta-liquidacion.entity.ts:91; nota: el comentario se refiere a la ventana de liquidación</t>
  </si>
  <si>
    <t xml:space="preserve">¿Es una copia de la fecha de terminación del contrato tomada al liquidar, o se diligencia en el acta?</t>
  </si>
  <si>
    <t xml:space="preserve">C0293</t>
  </si>
  <si>
    <t xml:space="preserve">bilateral_hasta</t>
  </si>
  <si>
    <t xml:space="preserve">ix_actas_liquidacion_plazo</t>
  </si>
  <si>
    <t xml:space="preserve">Mapeada en hiring-service/src/entities/acta-liquidacion.entity.ts:94 (ActaLiquidacion.bilateralHasta)</t>
  </si>
  <si>
    <t xml:space="preserve">Fecha límite para liquidar el contrato de mutuo acuerdo (bilateral).</t>
  </si>
  <si>
    <t xml:space="preserve">nombre + date + índice ix_actas_liquidacion_plazo + tipo de liquidación</t>
  </si>
  <si>
    <t xml:space="preserve">C0294</t>
  </si>
  <si>
    <t xml:space="preserve">unilateral_hasta</t>
  </si>
  <si>
    <t xml:space="preserve">Mapeada en hiring-service/src/entities/acta-liquidacion.entity.ts:97 (ActaLiquidacion.unilateralHasta)</t>
  </si>
  <si>
    <t xml:space="preserve">Fecha límite para liquidar el contrato de forma unilateral.</t>
  </si>
  <si>
    <t xml:space="preserve">nombre + date + columna vecina bilateral_hasta</t>
  </si>
  <si>
    <t xml:space="preserve">C0295</t>
  </si>
  <si>
    <t xml:space="preserve">momento_del_plazo</t>
  </si>
  <si>
    <t xml:space="preserve">BILATERAL, UNILATERAL, VENCIDO</t>
  </si>
  <si>
    <t xml:space="preserve">hiring-service/src/entities/acta-liquidacion.entity.ts:101: Resuelto y no derivado: explica que una liquidación tardía se aceptara. | db/migrations/hiring/045_acta_de_liquidacion.sql:59: En qué momento del plazo se firmó: BILATERAL, UNILATERAL o VENCIDO. Se guarda resuelto porque es lo que explica que una liquidación tardía se haya aceptado igual.</t>
  </si>
  <si>
    <t xml:space="preserve">Momento del plazo de liquidación en que se firmó el acta: BILATERAL, UNILATERAL o VENCIDO. Se guarda resuelto al registrar, no se deriva después.</t>
  </si>
  <si>
    <t xml:space="preserve">código: hiring-service/src/entities/acta-liquidacion.entity.ts:101; db/migrations/hiring/045_acta_de_liquidacion.sql:59</t>
  </si>
  <si>
    <t xml:space="preserve">C0296</t>
  </si>
  <si>
    <t xml:space="preserve">ANULADO, VIGENTE</t>
  </si>
  <si>
    <t xml:space="preserve">Mapeada en hiring-service/src/entities/acta-liquidacion.entity.ts:104 (ActaLiquidacion.estado)</t>
  </si>
  <si>
    <t xml:space="preserve">Estado del registro de actas_liquidacion.</t>
  </si>
  <si>
    <t xml:space="preserve">C0297</t>
  </si>
  <si>
    <t xml:space="preserve">liquidado_por</t>
  </si>
  <si>
    <t xml:space="preserve">Mapeada en hiring-service/src/entities/acta-liquidacion.entity.ts:107 (ActaLiquidacion.liquidadoPor)</t>
  </si>
  <si>
    <t xml:space="preserve">Usuario que realizó la liquidación.</t>
  </si>
  <si>
    <t xml:space="preserve">C0298</t>
  </si>
  <si>
    <t xml:space="preserve">anulado_at</t>
  </si>
  <si>
    <t xml:space="preserve">Mapeada en hiring-service/src/entities/acta-liquidacion.entity.ts:113 (ActaLiquidacion.anuladoAt)</t>
  </si>
  <si>
    <t xml:space="preserve">Fecha y hora de la anulación.</t>
  </si>
  <si>
    <t xml:space="preserve">C0299</t>
  </si>
  <si>
    <t xml:space="preserve">anulado_por</t>
  </si>
  <si>
    <t xml:space="preserve">Mapeada en hiring-service/src/entities/acta-liquidacion.entity.ts:116 (ActaLiquidacion.anuladoPor)</t>
  </si>
  <si>
    <t xml:space="preserve">Usuario que realizó la anulación.</t>
  </si>
  <si>
    <t xml:space="preserve">C0300</t>
  </si>
  <si>
    <t xml:space="preserve">motivo_anulacion</t>
  </si>
  <si>
    <t xml:space="preserve">Mapeada en hiring-service/src/entities/acta-liquidacion.entity.ts:119 (ActaLiquidacion.motivoAnulacion)</t>
  </si>
  <si>
    <t xml:space="preserve">Motivo de la anulación.</t>
  </si>
  <si>
    <t xml:space="preserve">C0301</t>
  </si>
  <si>
    <t xml:space="preserve">actividades</t>
  </si>
  <si>
    <t xml:space="preserve">Mapeada en hiring-service/src/entities/actividad.entity.ts:18 (Actividad.etapa)</t>
  </si>
  <si>
    <t xml:space="preserve">Número de la etapa del proceso contractual a la que pertenece la actividad.</t>
  </si>
  <si>
    <t xml:space="preserve">nombre + integer + descripción de la tabla (por etapa y numeral)</t>
  </si>
  <si>
    <t xml:space="preserve">¿Existe un catálogo con el nombre de cada etapa (1 a 10)?</t>
  </si>
  <si>
    <t xml:space="preserve">C0302</t>
  </si>
  <si>
    <t xml:space="preserve">Mapeada en hiring-service/src/entities/actividad.entity.ts:21 (Actividad.nombre) | Validación: IsNotEmpty, IsNotEmpty({ message: 'Cada miembro necesita el nombre con el que se le designa' }), IsNotEmpty({ message: 'El nombre de la MIPYME es obligatorio' }), IsNotEmpty({ message: 'Indica el nombre o la razón social del oferente' }), IsNotEmpty({ message: 'La tipología necesita un nombre' }), IsNotEmpty({ message: 'Registra el nombre de quien se designa como supervisor' })</t>
  </si>
  <si>
    <t xml:space="preserve">Nombre del registro de actividades.</t>
  </si>
  <si>
    <t xml:space="preserve">C0303</t>
  </si>
  <si>
    <t xml:space="preserve">Mapeada en hiring-service/src/entities/actividad.entity.ts:24 (Actividad.descripcion) | Validación: IsNotEmpty({ message: 'Describe el entregable' }), IsNotEmpty({ message: 'Describe la pieza: una lista de archivos sin decir cuál es cuál no documenta nada' }), IsNotEmpty({ message: 'Describe qué acredita el soporte' }), IsOptional, IsString, MaxLength(1000)</t>
  </si>
  <si>
    <t xml:space="preserve">Descripción del registro de actividades.</t>
  </si>
  <si>
    <t xml:space="preserve">C0304</t>
  </si>
  <si>
    <t xml:space="preserve">Mapeada en hiring-service/src/entities/actividad.entity.ts:27 (Actividad.orden) | Validación: IsInt, IsOptional, Min(0), Min(1)</t>
  </si>
  <si>
    <t xml:space="preserve">C0305</t>
  </si>
  <si>
    <t xml:space="preserve">activa</t>
  </si>
  <si>
    <t xml:space="preserve">db/migrations/hiring/010_cdp.sql:87: False cuando la actividad no aplica a alguna modalidad; el detalle de cuáles vive en actividades_modalidad. | Validación: IsBoolean, IsOptional</t>
  </si>
  <si>
    <t xml:space="preserve">Indica si la actividad de la matriz de flujo está activa; es falso cuando la actividad no aplica a alguna modalidad. El detalle por modalidad está en actividades_modalidad.</t>
  </si>
  <si>
    <t xml:space="preserve">código: db/migrations/hiring/010_cdp.sql:87</t>
  </si>
  <si>
    <t xml:space="preserve">C0306</t>
  </si>
  <si>
    <t xml:space="preserve">actividades_con_soporte</t>
  </si>
  <si>
    <t xml:space="preserve">Mapeada en hiring-service/src/entities/registro-actividad.entity.ts:75 (ActividadConSoporte.etapa)</t>
  </si>
  <si>
    <t xml:space="preserve">nombre + integer + columna vecina numeral</t>
  </si>
  <si>
    <t xml:space="preserve">¿Coincide siempre con la etapa registrada en hiring.actividades para el mismo numeral?</t>
  </si>
  <si>
    <t xml:space="preserve">C0307</t>
  </si>
  <si>
    <t xml:space="preserve">exige_soporte</t>
  </si>
  <si>
    <t xml:space="preserve">Mapeada en hiring-service/src/entities/registro-actividad.entity.ts:78 (ActividadConSoporte.exigeSoporte)</t>
  </si>
  <si>
    <t xml:space="preserve">Indica si aplica: exige soporte.</t>
  </si>
  <si>
    <t xml:space="preserve">C0308</t>
  </si>
  <si>
    <t xml:space="preserve">nota_fuente</t>
  </si>
  <si>
    <t xml:space="preserve">Mapeada en hiring-service/src/entities/registro-actividad.entity.ts:84 (ActividadConSoporte.notaFuente)</t>
  </si>
  <si>
    <t xml:space="preserve">Nota sobre la fuente de la que se tomó la regla de la actividad (por ejemplo, la matriz de flujo).</t>
  </si>
  <si>
    <t xml:space="preserve">nombre + text + columna vecina confirmado</t>
  </si>
  <si>
    <t xml:space="preserve">¿Indica el documento de origen o una aclaración sobre cómo se interpretó?</t>
  </si>
  <si>
    <t xml:space="preserve">C0309</t>
  </si>
  <si>
    <t xml:space="preserve">actividades_excluidas</t>
  </si>
  <si>
    <t xml:space="preserve">Mapeada en hiring-service/src/entities/actividad.entity.ts:71 (ActividadExcluida.motivo) | Validación: IsNotEmpty({ message: 'Di por qué se anula el informe definitivo' }), IsNotEmpty({ message: 'Di por qué se anula el informe' }), IsNotEmpty({ message: 'Di por qué se anula el registro' }), IsNotEmpty({ message: 'Di por qué se anula la audiencia' }), IsNotEmpty({ message: 'Di por qué se declara desierto el proceso' }), IsNotEmpty({ message: 'Di por qué se revoca el acto de adjudicación' })</t>
  </si>
  <si>
    <t xml:space="preserve">Motivo por el que la actividad no aplica a la modalidad.</t>
  </si>
  <si>
    <t xml:space="preserve">C0310</t>
  </si>
  <si>
    <t xml:space="preserve">actividades_salvedad</t>
  </si>
  <si>
    <t xml:space="preserve">variante</t>
  </si>
  <si>
    <t xml:space="preserve">hiring-service/src/entities/actividad.entity.ts:93: El texto de la celda cuando no dice SI. NULL cuando la celda es "si*". | db/migrations/hiring/031_salvedades_matriz.sql:27: El texto tal como lo escribió Contratación cuando la celda no dice SI: "TVEC", "Comunicación de aceptación". NULL cuando la celda es "si*", que marca una condición sin redactar.</t>
  </si>
  <si>
    <t xml:space="preserve">Texto de la celda de la matriz tal como lo escribió Contratación cuando no dice SI (por ejemplo, TVEC o Comunicación de aceptación). Vacío cuando la celda es «si*», que marca una condición sin redactar.</t>
  </si>
  <si>
    <t xml:space="preserve">código: hiring-service/src/entities/actividad.entity.ts:93; db/migrations/hiring/031_salvedades_matriz.sql:27</t>
  </si>
  <si>
    <t xml:space="preserve">C0311</t>
  </si>
  <si>
    <t xml:space="preserve">nota</t>
  </si>
  <si>
    <t xml:space="preserve">db/migrations/hiring/031_salvedades_matriz.sql:30: Por qué la actividad no se comporta igual aquí. Siempre presente: es lo que se le muestra al administrador en la celda de la matriz. | Validación: IsNotEmpty({ message: 'La nota de trazabilidad es obligatoria' }), IsOptional, IsString, MaxLength(2000), MaxLength(4000), MinLength(10, { message: 'La nota debe explicar qué pasó, no solo dejar constancia' })</t>
  </si>
  <si>
    <t xml:space="preserve">Explicación de por qué la actividad aplica con una condición o variante en la modalidad; es lo que se muestra al administrador en la celda de la matriz. Siempre presente.</t>
  </si>
  <si>
    <t xml:space="preserve">código: db/migrations/hiring/031_salvedades_matriz.sql:30</t>
  </si>
  <si>
    <t xml:space="preserve">C0312</t>
  </si>
  <si>
    <t xml:space="preserve">actos_adjudicacion</t>
  </si>
  <si>
    <t xml:space="preserve">numero_acto</t>
  </si>
  <si>
    <t xml:space="preserve">db/migrations/hiring/040_adjudicacion.sql:226: Número y fecha de la resolución, como los trae el acto firmado. | Validación: IsNotEmpty({ message: 'Di el número de la resolución' }), IsString, MaxLength(60)</t>
  </si>
  <si>
    <t xml:space="preserve">Número de la resolución de adjudicación del Ordenador del Gasto, tal como figura en el acto firmado (EFDS-1159).</t>
  </si>
  <si>
    <t xml:space="preserve">código: db/migrations/hiring/040_adjudicacion.sql:226</t>
  </si>
  <si>
    <t xml:space="preserve">C0313</t>
  </si>
  <si>
    <t xml:space="preserve">fecha_acto</t>
  </si>
  <si>
    <t xml:space="preserve">Mapeada en hiring-service/src/entities/acto-adjudicacion.entity.ts:57 (ActoAdjudicacion.fechaActo) | Validación: IsISO8601({ strict: true }, { message: 'La fecha del acto va como YYYY-MM-DD' })</t>
  </si>
  <si>
    <t xml:space="preserve">Fecha de acto.</t>
  </si>
  <si>
    <t xml:space="preserve">C0314</t>
  </si>
  <si>
    <t xml:space="preserve">valor_adjudicado</t>
  </si>
  <si>
    <t xml:space="preserve">numeric(18,2)</t>
  </si>
  <si>
    <t xml:space="preserve">hiring-service/src/entities/acto-adjudicacion.entity.ts:66: Por cuánto se adjudica. Puede no ser el valor ofertado ni el evaluado: el acto puede adjudicar por un valor ajustado, y lo que obliga a la entidad es lo que dice el acto. | db/migrations/hiring/040_adjudicacion.sql:232: Por cuánto se adjudica. Puede no ser el valor ofertado ni el evaluado: el acto puede adjudicar por un valor ajustado, y lo que obliga a la entidad es lo que dice el acto. | Validación: IsNumber({ maxDecimalPlaces: 2 }, { message: 'El valor adjudicado debe ser un número' }), Min(0.01, { message: 'El valor adjudicado tiene que ser mayor que cero' })</t>
  </si>
  <si>
    <t xml:space="preserve">Valor por el que se adjudica según el acto; puede diferir del valor ofertado y del evaluado. Debe ser mayor que cero.</t>
  </si>
  <si>
    <t xml:space="preserve">código: hiring-service/src/entities/acto-adjudicacion.entity.ts:66; db/migrations/hiring/040_adjudicacion.sql:232</t>
  </si>
  <si>
    <t xml:space="preserve">¿El valor está en pesos colombianos e incluye IVA?</t>
  </si>
  <si>
    <t xml:space="preserve">C0315</t>
  </si>
  <si>
    <t xml:space="preserve">notificado_at</t>
  </si>
  <si>
    <t xml:space="preserve">db/migrations/hiring/040_adjudicacion.sql:239: Notificación y publicación, cada una con su evidencia: la matriz dice "se notifica y publica en SECOP 2" y no hay integración con SECOP II. | Validación: IsISO8601({ strict: true }, { message: 'La fecha de notificación va en formato ISO 8601' }), IsOptional</t>
  </si>
  <si>
    <t xml:space="preserve">Fecha y hora de notificación del acto de adjudicación; la notificación y la publicación en SECOP II se registran por separado, cada una con su evidencia.</t>
  </si>
  <si>
    <t xml:space="preserve">código: db/migrations/hiring/040_adjudicacion.sql:239</t>
  </si>
  <si>
    <t xml:space="preserve">C0316</t>
  </si>
  <si>
    <t xml:space="preserve">publicado_at</t>
  </si>
  <si>
    <t xml:space="preserve">Mapeada en hiring-service/src/entities/acto-adjudicacion.entity.ts:76 (ActoAdjudicacion.publicadoAt)</t>
  </si>
  <si>
    <t xml:space="preserve">Fecha y hora de la publicación.</t>
  </si>
  <si>
    <t xml:space="preserve">C0317</t>
  </si>
  <si>
    <t xml:space="preserve">REVOCADO, VIGENTE</t>
  </si>
  <si>
    <t xml:space="preserve">Mapeada en hiring-service/src/entities/acto-adjudicacion.entity.ts:83 (ActoAdjudicacion.estado)</t>
  </si>
  <si>
    <t xml:space="preserve">Estado del registro de actos_adjudicacion.</t>
  </si>
  <si>
    <t xml:space="preserve">C0318</t>
  </si>
  <si>
    <t xml:space="preserve">emitido_por</t>
  </si>
  <si>
    <t xml:space="preserve">Mapeada en hiring-service/src/entities/acto-adjudicacion.entity.ts:86 (ActoAdjudicacion.emitidoPor)</t>
  </si>
  <si>
    <t xml:space="preserve">Usuario que registró la emisión del acto de adjudicación.</t>
  </si>
  <si>
    <t xml:space="preserve">nombre + varchar(200)</t>
  </si>
  <si>
    <t xml:space="preserve">¿Se guarda el nombre, el correo o el identificador del usuario?</t>
  </si>
  <si>
    <t xml:space="preserve">C0319</t>
  </si>
  <si>
    <t xml:space="preserve">emitido_at</t>
  </si>
  <si>
    <t xml:space="preserve">Mapeada en hiring-service/src/entities/acto-adjudicacion.entity.ts:89 (ActoAdjudicacion.emitidoAt)</t>
  </si>
  <si>
    <t xml:space="preserve">Fecha y hora en que se registró la emisión del acto de adjudicación.</t>
  </si>
  <si>
    <t xml:space="preserve">nombre + timestamptz con defecto now()</t>
  </si>
  <si>
    <t xml:space="preserve">C0320</t>
  </si>
  <si>
    <t xml:space="preserve">revocado_at</t>
  </si>
  <si>
    <t xml:space="preserve">db/migrations/hiring/040_adjudicacion.sql:249: Revocar no borra: el acto pudo notificarse y publicarse, y hay terceros que lo conocieron. Mismo criterio del resultado rectificado (038).</t>
  </si>
  <si>
    <t xml:space="preserve">Fecha y hora de revocación del acto de adjudicación. Revocar no borra el registro.</t>
  </si>
  <si>
    <t xml:space="preserve">código: db/migrations/hiring/040_adjudicacion.sql:249</t>
  </si>
  <si>
    <t xml:space="preserve">C0321</t>
  </si>
  <si>
    <t xml:space="preserve">revocado_por</t>
  </si>
  <si>
    <t xml:space="preserve">Mapeada en hiring-service/src/entities/acto-adjudicacion.entity.ts:95 (ActoAdjudicacion.revocadoPor)</t>
  </si>
  <si>
    <t xml:space="preserve">Usuario que realizó la revocación.</t>
  </si>
  <si>
    <t xml:space="preserve">C0322</t>
  </si>
  <si>
    <t xml:space="preserve">motivo_revocacion</t>
  </si>
  <si>
    <t xml:space="preserve">Mapeada en hiring-service/src/entities/acto-adjudicacion.entity.ts:98 (ActoAdjudicacion.motivoRevocacion)</t>
  </si>
  <si>
    <t xml:space="preserve">Motivo de la revocación.</t>
  </si>
  <si>
    <t xml:space="preserve">C0323</t>
  </si>
  <si>
    <t xml:space="preserve">adendas</t>
  </si>
  <si>
    <t xml:space="preserve">numero</t>
  </si>
  <si>
    <t xml:space="preserve">ix_adendas_proceso, uq_adenda_numero</t>
  </si>
  <si>
    <t xml:space="preserve">hiring-service/src/entities/adenda.entity.ts:23: Consecutivo dentro del proceso: las adendas se citan por su número. | db/migrations/hiring/023_adendas_del_proceso.sql:42: Consecutivo dentro del proceso: las adendas se citan por su número ("adenda 2"), y ese número es relativo al proceso, no global. | Validación: IsNotEmpty({ message: 'El contrato necesita el número con el que la entidad lo identifica' }), IsNotEmpty({ message: 'El número del CDP es obligatorio' }), IsNotEmpty({ message: 'El registro presupuestal necesita su número' }), IsNotEmpty({ message: 'Registra el número de la modificación' }), IsNotEmpty({ message: 'Registra el número de la resolución' }), IsNotEmpty({ message: 'Registra el número' })</t>
  </si>
  <si>
    <t xml:space="preserve">Número consecutivo de la adenda dentro del proceso, con el que se cita (por ejemplo, «adenda 2»); no es global.</t>
  </si>
  <si>
    <t xml:space="preserve">código: hiring-service/src/entities/adenda.entity.ts:23; db/migrations/hiring/023_adendas_del_proceso.sql:42</t>
  </si>
  <si>
    <t xml:space="preserve">C0324</t>
  </si>
  <si>
    <t xml:space="preserve">CRONOGRAMA, FONDO</t>
  </si>
  <si>
    <t xml:space="preserve">Mapeada en hiring-service/src/entities/adenda.entity.ts:26 (Adenda.tipo) | Validación: IsIn(TIPOS_CAMPO as unknown as string[]), IsIn(TIPOS_LIQUIDACION, {
    message: 'La liquidación es bilateral, de común acuerdo, o unilateral, por acto de la entidad',
  }), IsIn(TIPOS_REGLA as unknown as string[]), IsIn(TIPOS_SOPORTE, {
    message: 'El soporte es seguridad social, RUT, certificación bancaria u otro',
  }), IsIn(['GRABACION', 'OBSERVACION', 'ANEXO'], {
    message: 'Di qué es: una grabación, una observación con su respuesta, o un anexo',
  }), IsIn(['INFORME', 'ACTA', 'SOPORTE'], {
    message: 'El soporte es un informe, un acta u otro documento de la ejecución',
  })</t>
  </si>
  <si>
    <t xml:space="preserve">Tipo del registro de adendas.</t>
  </si>
  <si>
    <t xml:space="preserve">C0325</t>
  </si>
  <si>
    <t xml:space="preserve">objeto</t>
  </si>
  <si>
    <t xml:space="preserve">hiring-service/src/entities/adenda.entity.ts:30: Qué cambia la adenda; es lo que se lee en el listado del expediente. | Validación: IsNotEmpty({ message: 'Describe qué modifica la adenda' }), IsNotEmpty({ message: 'El objeto del proceso es obligatorio' }), IsOptional, IsString, MaxLength(2000), MaxLength(4000)</t>
  </si>
  <si>
    <t xml:space="preserve">Descripción de lo que cambia la adenda; es el texto que se muestra en el listado del expediente.</t>
  </si>
  <si>
    <t xml:space="preserve">código: hiring-service/src/entities/adenda.entity.ts:30</t>
  </si>
  <si>
    <t xml:space="preserve">C0326</t>
  </si>
  <si>
    <t xml:space="preserve">ANULADA, EMITIDA, PUBLICADA</t>
  </si>
  <si>
    <t xml:space="preserve">Mapeada en hiring-service/src/entities/adenda.entity.ts:36 (Adenda.estado)</t>
  </si>
  <si>
    <t xml:space="preserve">Estado del registro de adendas.</t>
  </si>
  <si>
    <t xml:space="preserve">C0327</t>
  </si>
  <si>
    <t xml:space="preserve">emitida_por</t>
  </si>
  <si>
    <t xml:space="preserve">Mapeada en hiring-service/src/entities/adenda.entity.ts:39 (Adenda.emitidaPor)</t>
  </si>
  <si>
    <t xml:space="preserve">Usuario que emitió la adenda.</t>
  </si>
  <si>
    <t xml:space="preserve">C0328</t>
  </si>
  <si>
    <t xml:space="preserve">fecha_publicacion</t>
  </si>
  <si>
    <t xml:space="preserve">db/migrations/hiring/023_adendas_del_proceso.sql:51: Publicación | Validación: IsDateString({}, { message: 'La fecha de publicación debe tener el formato YYYY-MM-DD' }), IsISO8601({ strict: true }, { message: 'La fecha debe tener formato YYYY-MM-DD' })</t>
  </si>
  <si>
    <t xml:space="preserve">Fecha de publicación de la adenda, en formato YYYY-MM-DD.</t>
  </si>
  <si>
    <t xml:space="preserve">código: db/migrations/hiring/023_adendas_del_proceso.sql:51</t>
  </si>
  <si>
    <t xml:space="preserve">¿Dónde se publica la adenda (SECOP II u otro medio)?</t>
  </si>
  <si>
    <t xml:space="preserve">C0329</t>
  </si>
  <si>
    <t xml:space="preserve">publicada_por</t>
  </si>
  <si>
    <t xml:space="preserve">Mapeada en hiring-service/src/entities/adenda.entity.ts:51 (Adenda.publicadaPor)</t>
  </si>
  <si>
    <t xml:space="preserve">Usuario que realizó la publicación.</t>
  </si>
  <si>
    <t xml:space="preserve">C0330</t>
  </si>
  <si>
    <t xml:space="preserve">vencimiento_nuevo</t>
  </si>
  <si>
    <t xml:space="preserve">Mapeada en hiring-service/src/entities/adenda.entity.ts:63 (Adenda.vencimientoNuevo)</t>
  </si>
  <si>
    <t xml:space="preserve">Nueva fecha de vencimiento del cronograma fijada por la adenda.</t>
  </si>
  <si>
    <t xml:space="preserve">nombre + date + columna vecina vencimiento_anterior; los valores CRONOGRAMA, PUBLICADA vienen de un CHECK que la condiciona según tipo y estado</t>
  </si>
  <si>
    <t xml:space="preserve">¿Es obligatoria cuando la adenda es de tipo CRONOGRAMA y está PUBLICADA?</t>
  </si>
  <si>
    <t xml:space="preserve">C0331</t>
  </si>
  <si>
    <t xml:space="preserve">anulada_at</t>
  </si>
  <si>
    <t xml:space="preserve">Mapeada en hiring-service/src/entities/adenda.entity.ts:66 (Adenda.anuladaAt)</t>
  </si>
  <si>
    <t xml:space="preserve">C0332</t>
  </si>
  <si>
    <t xml:space="preserve">anulada_por</t>
  </si>
  <si>
    <t xml:space="preserve">Mapeada en hiring-service/src/entities/adenda.entity.ts:69 (Adenda.anuladaPor)</t>
  </si>
  <si>
    <t xml:space="preserve">C0333</t>
  </si>
  <si>
    <t xml:space="preserve">Mapeada en hiring-service/src/entities/adenda.entity.ts:72 (Adenda.motivoAnulacion)</t>
  </si>
  <si>
    <t xml:space="preserve">C0334</t>
  </si>
  <si>
    <t xml:space="preserve">afiliaciones_arl</t>
  </si>
  <si>
    <t xml:space="preserve">afiliado_por</t>
  </si>
  <si>
    <t xml:space="preserve">CONTRATISTA, ENTIDAD</t>
  </si>
  <si>
    <t xml:space="preserve">db/migrations/hiring/037_polizas_garantias_arl.sql:138: La matriz distingue los dos casos en 8.5: «cuando la entidad realiza la afiliación o cuando la realiza directamente el contratista». | Validación: IsIn(['ENTIDAD', 'CONTRATISTA'], {
    message: 'La afiliación la realiza la ENTIDAD o el CONTRATISTA',
  })</t>
  </si>
  <si>
    <t xml:space="preserve">Quién realizó la afiliación del contratista a riesgos laborales: ENTIDAD o CONTRATISTA (EFDS-1164).</t>
  </si>
  <si>
    <t xml:space="preserve">código: db/migrations/hiring/037_polizas_garantias_arl.sql:138</t>
  </si>
  <si>
    <t xml:space="preserve">C0335</t>
  </si>
  <si>
    <t xml:space="preserve">administradora</t>
  </si>
  <si>
    <t xml:space="preserve">Mapeada en hiring-service/src/entities/afiliacion-arl.entity.ts:29 (AfiliacionArl.administradora) | Validación: IsNotEmpty({ message: 'Registra la administradora de riesgos laborales' }), IsString, MaxLength(200)</t>
  </si>
  <si>
    <t xml:space="preserve">Nombre de la administradora de riesgos laborales (ARL).</t>
  </si>
  <si>
    <t xml:space="preserve">C0336</t>
  </si>
  <si>
    <t xml:space="preserve">numero_afiliacion</t>
  </si>
  <si>
    <t xml:space="preserve">Mapeada en hiring-service/src/entities/afiliacion-arl.entity.ts:32 (AfiliacionArl.numeroAfiliacion) | Validación: IsOptional, IsString, MaxLength(80)</t>
  </si>
  <si>
    <t xml:space="preserve">Número de la afiliación o certificado expedido por la ARL.</t>
  </si>
  <si>
    <t xml:space="preserve">nombre + varchar(80)</t>
  </si>
  <si>
    <t xml:space="preserve">C0337</t>
  </si>
  <si>
    <t xml:space="preserve">fecha_afiliacion</t>
  </si>
  <si>
    <t xml:space="preserve">Mapeada en hiring-service/src/entities/afiliacion-arl.entity.ts:35 (AfiliacionArl.fechaAfiliacion) | Validación: IsDateString({}, { message: 'La fecha de afiliación debe tener el formato YYYY-MM-DD' })</t>
  </si>
  <si>
    <t xml:space="preserve">Fecha de afiliación.</t>
  </si>
  <si>
    <t xml:space="preserve">C0338</t>
  </si>
  <si>
    <t xml:space="preserve">registrada_por</t>
  </si>
  <si>
    <t xml:space="preserve">Mapeada en hiring-service/src/entities/afiliacion-arl.entity.ts:41 (AfiliacionArl.registradaPor)</t>
  </si>
  <si>
    <t xml:space="preserve">C0339</t>
  </si>
  <si>
    <t xml:space="preserve">alcances_permiso</t>
  </si>
  <si>
    <t xml:space="preserve">aprobar, decidir, editar, ver</t>
  </si>
  <si>
    <t xml:space="preserve">uq_alcance_vigente</t>
  </si>
  <si>
    <t xml:space="preserve">Acción que el permiso habilita al rol. Valores permitidos: aprobar, decidir, editar, ver.</t>
  </si>
  <si>
    <t xml:space="preserve">valores permitidos del CHECK + columna vecina rol_id</t>
  </si>
  <si>
    <t xml:space="preserve">C0340</t>
  </si>
  <si>
    <t xml:space="preserve">Etapa del proceso contractual a la que se limita el permiso, de 1 a 10. Solo se diligencia uno entre etapa, numeral y trámite.</t>
  </si>
  <si>
    <t xml:space="preserve">CHECK de rango 1–10 + CHECK num_nonnulls(etapa, numeral, tramite) &lt;= 1</t>
  </si>
  <si>
    <t xml:space="preserve">C0341</t>
  </si>
  <si>
    <t xml:space="preserve">tramite</t>
  </si>
  <si>
    <t xml:space="preserve">INC.1, INC.2</t>
  </si>
  <si>
    <t xml:space="preserve">Trámite al que se limita el permiso. Valores permitidos: INC.1, INC.2.</t>
  </si>
  <si>
    <t xml:space="preserve">¿A qué trámites corresponden INC.1 e INC.2 (por ejemplo, incumplimiento y sancionatorio)?</t>
  </si>
  <si>
    <t xml:space="preserve">C0342</t>
  </si>
  <si>
    <t xml:space="preserve">confirmado</t>
  </si>
  <si>
    <t xml:space="preserve">Indica si el registro está confirmado.</t>
  </si>
  <si>
    <t xml:space="preserve">C0343</t>
  </si>
  <si>
    <t xml:space="preserve">C0344</t>
  </si>
  <si>
    <t xml:space="preserve">amparos</t>
  </si>
  <si>
    <t xml:space="preserve">valor_asegurado</t>
  </si>
  <si>
    <t xml:space="preserve">Mapeada en hiring-service/src/entities/amparo.entity.ts:23 (Amparo.valorAsegurado) | Validación: IsNumber({}, { message: 'El valor asegurado debe ser un número' }), IsPositive({ message: 'El valor asegurado debe ser mayor que cero' })</t>
  </si>
  <si>
    <t xml:space="preserve">Valor asegurado por el amparo de la garantía. Debe ser mayor que cero.</t>
  </si>
  <si>
    <t xml:space="preserve">nombre + numeric(18,2) + CHECK &gt; 0</t>
  </si>
  <si>
    <t xml:space="preserve">¿El valor está en pesos colombianos?</t>
  </si>
  <si>
    <t xml:space="preserve">C0345</t>
  </si>
  <si>
    <t xml:space="preserve">vigencia_desde</t>
  </si>
  <si>
    <t xml:space="preserve">db/migrations/hiring/037_polizas_garantias_arl.sql:108: El desglose que pide la matriz: cada amparo con su propia vigencia, porque no todos vencen a la vez. La estabilidad de la obra se extiende años después de recibida, mientras que el anticipo se libera al amortizarlo. | Validación: IsDateString({}, { message: 'La vigencia debe tener el formato YYYY-MM-DD' }), IsISO8601({ strict: true }, { message: 'La vigencia debe tener formato YYYY-MM-DD' }), IsOptional</t>
  </si>
  <si>
    <t xml:space="preserve">Fecha de inicio de la vigencia del amparo; cada amparo de la garantía tiene su propia vigencia porque no todos vencen a la vez.</t>
  </si>
  <si>
    <t xml:space="preserve">código: db/migrations/hiring/037_polizas_garantias_arl.sql:108</t>
  </si>
  <si>
    <t xml:space="preserve">C0346</t>
  </si>
  <si>
    <t xml:space="preserve">vigencia_hasta</t>
  </si>
  <si>
    <t xml:space="preserve">ix_amparos_vencimiento</t>
  </si>
  <si>
    <t xml:space="preserve">Mapeada en hiring-service/src/entities/amparo.entity.ts:38 (Amparo.vigenciaHasta) | Validación: IsDateString({}, { message: 'La vigencia debe tener el formato YYYY-MM-DD' })</t>
  </si>
  <si>
    <t xml:space="preserve">Fecha de fin de la vigencia del amparo. Debe ser posterior a vigencia_desde.</t>
  </si>
  <si>
    <t xml:space="preserve">nombre + date + CHECK + índice ix_amparos_vencimiento</t>
  </si>
  <si>
    <t xml:space="preserve">C0347</t>
  </si>
  <si>
    <t xml:space="preserve">aperturas_proceso</t>
  </si>
  <si>
    <t xml:space="preserve">resolucion_numero</t>
  </si>
  <si>
    <t xml:space="preserve">db/migrations/hiring/020_apertura_del_proceso.sql:19: Número y fecha del acto administrativo, no del registro: es la fecha en que la entidad abrió el proceso, y la que cuenta para los términos siguientes. | Validación: IsNotEmpty({ message: 'El número de la resolución de apertura es obligatorio' }), IsString, MaxLength(80)</t>
  </si>
  <si>
    <t xml:space="preserve">Número del acto administrativo (resolución) con el que se abre formalmente el proceso (actividad 5.7).</t>
  </si>
  <si>
    <t xml:space="preserve">código: db/migrations/hiring/020_apertura_del_proceso.sql:19</t>
  </si>
  <si>
    <t xml:space="preserve">C0348</t>
  </si>
  <si>
    <t xml:space="preserve">resolucion_fecha</t>
  </si>
  <si>
    <t xml:space="preserve">hiring-service/src/entities/apertura-proceso.entity.ts:23: Fecha del acto administrativo, no la del registro en el sistema. | Validación: IsDateString({}, { message: 'La fecha de la resolución debe tener el formato YYYY-MM-DD' })</t>
  </si>
  <si>
    <t xml:space="preserve">Fecha del acto administrativo de apertura del proceso, no la del registro en el sistema; cuenta para los términos siguientes.</t>
  </si>
  <si>
    <t xml:space="preserve">código: hiring-service/src/entities/apertura-proceso.entity.ts:23; db/migrations/hiring/020_apertura_del_proceso.sql:19</t>
  </si>
  <si>
    <t xml:space="preserve">C0349</t>
  </si>
  <si>
    <t xml:space="preserve">secop_url</t>
  </si>
  <si>
    <t xml:space="preserve">Mapeada en hiring-service/src/entities/apertura-proceso.entity.ts:42 (AperturaProceso.secopUrl) | Validación: IsOptional, IsUrl({ protocols: ['http', 'https'], require_protocol: true },
    { message: 'El enlace de SECOP II debe ser una URL válida' },), IsUrl({}, { message: 'El enlace de SECOP II no es una URL válida' }), IsUrl({}, { message: 'El enlace de la publicación debe ser una URL válida' }), IsUrl({}, { message: 'El enlace de la publicación no tiene un formato válido' }), IsUrl({}, { message: 'El enlace debe ser una URL válida' })</t>
  </si>
  <si>
    <t xml:space="preserve">Dirección web del proceso publicado en SECOP.</t>
  </si>
  <si>
    <t xml:space="preserve">nombre + text</t>
  </si>
  <si>
    <t xml:space="preserve">C0350</t>
  </si>
  <si>
    <t xml:space="preserve">abierto_por</t>
  </si>
  <si>
    <t xml:space="preserve">Mapeada en hiring-service/src/entities/apertura-proceso.entity.ts:45 (AperturaProceso.abiertoPor)</t>
  </si>
  <si>
    <t xml:space="preserve">Usuario que registró la apertura del proceso.</t>
  </si>
  <si>
    <t xml:space="preserve">C0351</t>
  </si>
  <si>
    <t xml:space="preserve">audiencia_riesgos_config</t>
  </si>
  <si>
    <t xml:space="preserve">obligatoria</t>
  </si>
  <si>
    <t xml:space="preserve">hiring-service/src/entities/audiencia-riesgos.entity.ts:23: Obligatoria: sin la audiencia celebrada el proceso no puede abrirse. Distinto de que la actividad aplique. Donde aplica sin ser obligatoria, la audiencia puede celebrarse y registrarse, pero no bloquea la apertura.</t>
  </si>
  <si>
    <t xml:space="preserve">Indica si en la modalidad la audiencia de riesgos es obligatoria: sin ella celebrada el proceso no puede abrirse. Si la actividad aplica sin ser obligatoria, la audiencia se puede registrar pero no bloquea la apertura (RF-PUB-04).</t>
  </si>
  <si>
    <t xml:space="preserve">código: hiring-service/src/entities/audiencia-riesgos.entity.ts:23</t>
  </si>
  <si>
    <t xml:space="preserve">C0352</t>
  </si>
  <si>
    <t xml:space="preserve">fundamento</t>
  </si>
  <si>
    <t xml:space="preserve">Mapeada en hiring-service/src/entities/audiencia-riesgos.entity.ts:26 (AudienciaRiesgosConfig.fundamento) | Validación: IsOptional, IsString</t>
  </si>
  <si>
    <t xml:space="preserve">Fundamento normativo o razón por la que la audiencia de riesgos es o no obligatoria en la modalidad.</t>
  </si>
  <si>
    <t xml:space="preserve">nombre + descripción de la tabla + columna vecina obligatoria</t>
  </si>
  <si>
    <t xml:space="preserve">C0353</t>
  </si>
  <si>
    <t xml:space="preserve">Mapeada en hiring-service/src/entities/audiencia-riesgos.entity.ts:29 (AudienciaRiesgosConfig.confirmado) | Validación: IsBoolean, IsOptional</t>
  </si>
  <si>
    <t xml:space="preserve">C0354</t>
  </si>
  <si>
    <t xml:space="preserve">audiencias_adjudicacion</t>
  </si>
  <si>
    <t xml:space="preserve">celebrada_at</t>
  </si>
  <si>
    <t xml:space="preserve">hiring-service/src/entities/audiencia-adjudicacion.entity.ts:27: Con hora, a diferencia de los términos en días hábiles: una audiencia se celebra a una hora concreta y así consta en el acta. | db/migrations/hiring/040_adjudicacion.sql:45: Con hora, como el plazo de ofertas y a diferencia de los términos en días hábiles: una audiencia se celebra a una hora concreta y así consta en el acta. | Validación: IsISO8601({ strict: true }, { message: 'La fecha de la audiencia va en formato ISO 8601' })</t>
  </si>
  <si>
    <t xml:space="preserve">Fecha y hora en que se celebró la audiencia de adjudicación, como consta en el acta.</t>
  </si>
  <si>
    <t xml:space="preserve">código: hiring-service/src/entities/audiencia-adjudicacion.entity.ts:27; db/migrations/hiring/040_adjudicacion.sql:45</t>
  </si>
  <si>
    <t xml:space="preserve">C0355</t>
  </si>
  <si>
    <t xml:space="preserve">presidida_por</t>
  </si>
  <si>
    <t xml:space="preserve">hiring-service/src/entities/audiencia-adjudicacion.entity.ts:36: Quién la presidió, tal como firma el acta. Texto y no una llave a usuarios: puede presidirla alguien sin cuenta en la plataforma, y lo que importa es lo que dice el acta. | db/migrations/hiring/040_adjudicacion.sql:50: Quién la presidió, tal como firma el acta. Texto y no una llave a usuarios: puede presidirla alguien que no tenga cuenta en la plataforma, y lo que importa es lo que dice el acta. | Validación: IsNotEmpty({ message: 'Di quién presidió la audiencia' }), IsString, MaxLength(200)</t>
  </si>
  <si>
    <t xml:space="preserve">Persona que presidió la audiencia de adjudicación, en texto tal como firma el acta; puede no tener cuenta en la plataforma.</t>
  </si>
  <si>
    <t xml:space="preserve">código: hiring-service/src/entities/audiencia-adjudicacion.entity.ts:36; db/migrations/hiring/040_adjudicacion.sql:50</t>
  </si>
  <si>
    <t xml:space="preserve">C0356</t>
  </si>
  <si>
    <t xml:space="preserve">db/migrations/hiring/040_adjudicacion.sql:58: Lo que la entidad quiera dejar dicho del desarrollo de la audiencia. | Validación: IsNotEmpty({ message: 'Resume que paso en la audiencia' }), IsOptional, IsString, MaxLength(4000), MinLength(10, {
    message: 'El resumen es lo que la decisión posterior tiene que poder citar',
  })</t>
  </si>
  <si>
    <t xml:space="preserve">Resumen del desarrollo de la audiencia de adjudicación que la entidad quiera dejar registrado.</t>
  </si>
  <si>
    <t xml:space="preserve">código: db/migrations/hiring/040_adjudicacion.sql:58</t>
  </si>
  <si>
    <t xml:space="preserve">C0357</t>
  </si>
  <si>
    <t xml:space="preserve">ANULADA, CELEBRADA</t>
  </si>
  <si>
    <t xml:space="preserve">Mapeada en hiring-service/src/entities/audiencia-adjudicacion.entity.ts:46 (AudienciaAdjudicacion.estado)</t>
  </si>
  <si>
    <t xml:space="preserve">Estado del registro de audiencias_adjudicacion.</t>
  </si>
  <si>
    <t xml:space="preserve">C0358</t>
  </si>
  <si>
    <t xml:space="preserve">Mapeada en hiring-service/src/entities/audiencia-adjudicacion.entity.ts:49 (AudienciaAdjudicacion.registradaPor)</t>
  </si>
  <si>
    <t xml:space="preserve">C0359</t>
  </si>
  <si>
    <t xml:space="preserve">registrada_at</t>
  </si>
  <si>
    <t xml:space="preserve">Mapeada en hiring-service/src/entities/audiencia-adjudicacion.entity.ts:52 (AudienciaAdjudicacion.registradaAt)</t>
  </si>
  <si>
    <t xml:space="preserve">C0360</t>
  </si>
  <si>
    <t xml:space="preserve">Mapeada en hiring-service/src/entities/audiencia-adjudicacion.entity.ts:55 (AudienciaAdjudicacion.anuladaAt)</t>
  </si>
  <si>
    <t xml:space="preserve">C0361</t>
  </si>
  <si>
    <t xml:space="preserve">Mapeada en hiring-service/src/entities/audiencia-adjudicacion.entity.ts:58 (AudienciaAdjudicacion.motivoAnulacion)</t>
  </si>
  <si>
    <t xml:space="preserve">C0362</t>
  </si>
  <si>
    <t xml:space="preserve">audiencias_riesgos</t>
  </si>
  <si>
    <t xml:space="preserve">fecha_celebracion</t>
  </si>
  <si>
    <t xml:space="preserve">hiring-service/src/entities/audiencia-riesgos.entity.ts:54: La de celebración, no la del registro. | db/migrations/hiring/022_audiencia_de_riesgos.sql:80: La de celebración, no la del registro: es el hecho que la matriz de riesgos documenta, y de ella depende que el proceso pueda abrirse. | Validación: IsDateString({}, { message: 'La fecha de la audiencia debe tener el formato YYYY-MM-DD' })</t>
  </si>
  <si>
    <t xml:space="preserve">Fecha de celebración de la audiencia de riesgos, no la del registro; de ella depende que el proceso pueda abrirse.</t>
  </si>
  <si>
    <t xml:space="preserve">código: hiring-service/src/entities/audiencia-riesgos.entity.ts:54; db/migrations/hiring/022_audiencia_de_riesgos.sql:80</t>
  </si>
  <si>
    <t xml:space="preserve">C0363</t>
  </si>
  <si>
    <t xml:space="preserve">Mapeada en hiring-service/src/entities/audiencia-riesgos.entity.ts:63 (AudienciaRiesgos.observaciones) | Validación: IsNotEmpty({ message: 'El motivo del rechazo es obligatorio' }), IsNotEmpty({ message: 'Explica por qué se rechaza el registro presupuestal' }), IsNotEmpty({ message: 'Explica por qué se rechaza' }), IsOptional, IsString, MaxLength(1000)</t>
  </si>
  <si>
    <t xml:space="preserve">C0364</t>
  </si>
  <si>
    <t xml:space="preserve">Mapeada en hiring-service/src/entities/audiencia-riesgos.entity.ts:66 (AudienciaRiesgos.registradoPor)</t>
  </si>
  <si>
    <t xml:space="preserve">C0365</t>
  </si>
  <si>
    <t xml:space="preserve">db/migrations/hiring/022_audiencia_de_riesgos.sql:88: Corregir una audiencia mal registrada la anula y obliga a registrarla de nuevo: el acta anterior queda en el expediente, como en la publicación.</t>
  </si>
  <si>
    <t xml:space="preserve">Fecha y hora de anulación de la audiencia de riesgos. Corregir una audiencia mal registrada la anula y obliga a registrarla de nuevo; el acta anterior queda en el expediente.</t>
  </si>
  <si>
    <t xml:space="preserve">código: db/migrations/hiring/022_audiencia_de_riesgos.sql:88</t>
  </si>
  <si>
    <t xml:space="preserve">C0366</t>
  </si>
  <si>
    <t xml:space="preserve">Mapeada en hiring-service/src/entities/audiencia-riesgos.entity.ts:75 (AudienciaRiesgos.anuladaPor)</t>
  </si>
  <si>
    <t xml:space="preserve">C0367</t>
  </si>
  <si>
    <t xml:space="preserve">Mapeada en hiring-service/src/entities/audiencia-riesgos.entity.ts:78 (AudienciaRiesgos.motivoAnulacion)</t>
  </si>
  <si>
    <t xml:space="preserve">C0368</t>
  </si>
  <si>
    <t xml:space="preserve">audiencias_sancionatorias</t>
  </si>
  <si>
    <t xml:space="preserve">citada_para</t>
  </si>
  <si>
    <t xml:space="preserve">ix_audiencias_sancionatorias_caso</t>
  </si>
  <si>
    <t xml:space="preserve">hiring-service/src/entities/actuacion-sancionatoria.entity.ts:34: Con hora: a una audiencia se comparece a una hora concreta. | Validación: IsDateString({}, { message: 'La fecha de la audiencia va en formato de fecha y hora' })</t>
  </si>
  <si>
    <t xml:space="preserve">Fecha y hora para la que se citó la audiencia del trámite sancionatorio (EFDS-1181).</t>
  </si>
  <si>
    <t xml:space="preserve">código: hiring-service/src/entities/actuacion-sancionatoria.entity.ts:34</t>
  </si>
  <si>
    <t xml:space="preserve">C0369</t>
  </si>
  <si>
    <t xml:space="preserve">hiring-service/src/entities/actuacion-sancionatoria.entity.ts:42: Para qué se cita, cuando conviene precisarlo. | Validación: IsNotEmpty({ message: 'Describe qué modifica la adenda' }), IsNotEmpty({ message: 'El objeto del proceso es obligatorio' }), IsOptional, IsString, MaxLength(2000), MaxLength(4000)</t>
  </si>
  <si>
    <t xml:space="preserve">Propósito para el que se cita la audiencia sancionatoria, cuando se precisa.</t>
  </si>
  <si>
    <t xml:space="preserve">código: hiring-service/src/entities/actuacion-sancionatoria.entity.ts:42</t>
  </si>
  <si>
    <t xml:space="preserve">C0370</t>
  </si>
  <si>
    <t xml:space="preserve">CANCELADA, CELEBRADA, CITADA, SUSPENDIDA</t>
  </si>
  <si>
    <t xml:space="preserve">Mapeada en hiring-service/src/entities/actuacion-sancionatoria.entity.ts:45 (AudienciaSancionatoria.estado)</t>
  </si>
  <si>
    <t xml:space="preserve">Estado del registro de audiencias_sancionatorias.</t>
  </si>
  <si>
    <t xml:space="preserve">C0371</t>
  </si>
  <si>
    <t xml:space="preserve">celebrada_el</t>
  </si>
  <si>
    <t xml:space="preserve">db/migrations/hiring/056_tramite_sancionatorio.sql:74: Lo que pasó el día de la audiencia. | Validación: IsDateString({}, { message: 'La fecha de la audiencia debe tener el formato YYYY-MM-DD' })</t>
  </si>
  <si>
    <t xml:space="preserve">Fecha en que se celebró la audiencia sancionatoria.</t>
  </si>
  <si>
    <t xml:space="preserve">código: db/migrations/hiring/056_tramite_sancionatorio.sql:74</t>
  </si>
  <si>
    <t xml:space="preserve">¿Es obligatoria cuando el estado es CELEBRADA?</t>
  </si>
  <si>
    <t xml:space="preserve">C0372</t>
  </si>
  <si>
    <t xml:space="preserve">hiring-service/src/entities/actuacion-sancionatoria.entity.ts:55: Qué pasó. Es lo que la decisión posterior tiene que poder citar. | Validación: IsNotEmpty({ message: 'Resume que paso en la audiencia' }), IsOptional, IsString, MaxLength(4000), MinLength(10, {
    message: 'El resumen es lo que la decisión posterior tiene que poder citar',
  })</t>
  </si>
  <si>
    <t xml:space="preserve">Resumen de lo ocurrido en la audiencia celebrada; es lo que la decisión posterior debe poder citar. Celebrar la audiencia exige acta y resumen.</t>
  </si>
  <si>
    <t xml:space="preserve">código: hiring-service/src/entities/actuacion-sancionatoria.entity.ts:55; nota: obligatoriedad según la documentación de la entidad</t>
  </si>
  <si>
    <t xml:space="preserve">C0373</t>
  </si>
  <si>
    <t xml:space="preserve">hiring-service/src/entities/actuacion-sancionatoria.entity.ts:59: Por qué no se celebró, cuando no se celebró. | db/migrations/hiring/056_tramite_sancionatorio.sql:79: Por qué no se celebró, cuando no se celebró. | Validación: IsNotEmpty({ message: 'Di por qué se anula el informe definitivo' }), IsNotEmpty({ message: 'Di por qué se anula el informe' }), IsNotEmpty({ message: 'Di por qué se anula el registro' }), IsNotEmpty({ message: 'Di por qué se anula la audiencia' }), IsNotEmpty({ message: 'Di por qué se declara desierto el proceso' }), IsNotEmpty({ message: 'Di por qué se revoca el acto de adjudicación' })</t>
  </si>
  <si>
    <t xml:space="preserve">Motivo por el que la audiencia no se celebró, cuando no se celebró.</t>
  </si>
  <si>
    <t xml:space="preserve">código: hiring-service/src/entities/actuacion-sancionatoria.entity.ts:59; db/migrations/hiring/056_tramite_sancionatorio.sql:79</t>
  </si>
  <si>
    <t xml:space="preserve">C0374</t>
  </si>
  <si>
    <t xml:space="preserve">citada_por</t>
  </si>
  <si>
    <t xml:space="preserve">Mapeada en hiring-service/src/entities/actuacion-sancionatoria.entity.ts:62 (AudienciaSancionatoria.citadaPor)</t>
  </si>
  <si>
    <t xml:space="preserve">Usuario que registró la citación a la audiencia.</t>
  </si>
  <si>
    <t xml:space="preserve">C0375</t>
  </si>
  <si>
    <t xml:space="preserve">Mapeada en hiring-service/src/entities/actuacion-sancionatoria.entity.ts:65 (AudienciaSancionatoria.registradaPor)</t>
  </si>
  <si>
    <t xml:space="preserve">C0376</t>
  </si>
  <si>
    <t xml:space="preserve">avisos</t>
  </si>
  <si>
    <t xml:space="preserve">C0377</t>
  </si>
  <si>
    <t xml:space="preserve">papeles</t>
  </si>
  <si>
    <t xml:space="preserve">db/migrations/hiring/077_avisos_de_cada_actividad.sql:27: Papeles en el proceso: ABOGADO, CONTRATACION, RADICADOR, QUIEN_ENVIO, QUIEN_APRUEBA. Se resuelven para cada proceso en el momento del aviso.</t>
  </si>
  <si>
    <t xml:space="preserve">Papeles en el proceso que reciben el aviso, como lista en formato JSON: ABOGADO, CONTRATACION, RADICADOR, QUIEN_ENVIO o QUIEN_APRUEBA. Se resuelven para cada proceso en el momento del aviso.</t>
  </si>
  <si>
    <t xml:space="preserve">código: db/migrations/hiring/077_avisos_de_cada_actividad.sql:27</t>
  </si>
  <si>
    <t xml:space="preserve">C0378</t>
  </si>
  <si>
    <t xml:space="preserve">db/migrations/hiring/077_avisos_de_cada_actividad.sql:29: Códigos de rol: avisan a todas las cuentas que lo tengan.</t>
  </si>
  <si>
    <t xml:space="preserve">Códigos de rol que reciben el aviso, como lista en formato JSON; el aviso llega a todas las cuentas que tengan el rol.</t>
  </si>
  <si>
    <t xml:space="preserve">código: db/migrations/hiring/077_avisos_de_cada_actividad.sql:29</t>
  </si>
  <si>
    <t xml:space="preserve">¿Los códigos de rol son los de auth o los de hiring?</t>
  </si>
  <si>
    <t xml:space="preserve">C0379</t>
  </si>
  <si>
    <t xml:space="preserve">avisos_habilitacion</t>
  </si>
  <si>
    <t xml:space="preserve">avisado_at</t>
  </si>
  <si>
    <t xml:space="preserve">Fecha y hora en que se envió el aviso de habilitación de la actividad.</t>
  </si>
  <si>
    <t xml:space="preserve">nombre + timestamptz con defecto now() + descripción de la tabla</t>
  </si>
  <si>
    <t xml:space="preserve">C0380</t>
  </si>
  <si>
    <t xml:space="preserve">campos_formulario</t>
  </si>
  <si>
    <t xml:space="preserve">numeral</t>
  </si>
  <si>
    <t xml:space="preserve">idx_campos_num, uq_campo</t>
  </si>
  <si>
    <t xml:space="preserve">Mapeada en hiring-service/src/entities/campo-formulario.entity.ts:34 (CampoFormulario.numeral) | Validación: IsNotEmpty, IsOptional, IsString, MaxLength(20)</t>
  </si>
  <si>
    <t xml:space="preserve">Numeral de la actividad de la matriz de flujo a cuyo formulario pertenece el campo.</t>
  </si>
  <si>
    <t xml:space="preserve">nombre + índices idx_campos_num, uq_campo + uso de numeral en hiring.actividades</t>
  </si>
  <si>
    <t xml:space="preserve">C0381</t>
  </si>
  <si>
    <t xml:space="preserve">uq_campo</t>
  </si>
  <si>
    <t xml:space="preserve">Mapeada en hiring-service/src/entities/campo-formulario.entity.ts:37 (CampoFormulario.codigo) | Validación: IsNotEmpty, IsNotEmpty({ message: 'La tipología necesita un código' }), IsOptional, IsString, MaxLength(40), MaxLength(60)</t>
  </si>
  <si>
    <t xml:space="preserve">Código del registro de campos_formulario.</t>
  </si>
  <si>
    <t xml:space="preserve">C0382</t>
  </si>
  <si>
    <t xml:space="preserve">etiqueta</t>
  </si>
  <si>
    <t xml:space="preserve">character varying(300)</t>
  </si>
  <si>
    <t xml:space="preserve">Mapeada en hiring-service/src/entities/campo-formulario.entity.ts:40 (CampoFormulario.etiqueta) | Validación: IsNotEmpty, IsString, MaxLength(300)</t>
  </si>
  <si>
    <t xml:space="preserve">Texto que se muestra como etiqueta del campo en el formulario.</t>
  </si>
  <si>
    <t xml:space="preserve">nombre + varchar(300)</t>
  </si>
  <si>
    <t xml:space="preserve">C0383</t>
  </si>
  <si>
    <t xml:space="preserve">ayuda</t>
  </si>
  <si>
    <t xml:space="preserve">Mapeada en hiring-service/src/entities/campo-formulario.entity.ts:43 (CampoFormulario.ayuda) | Validación: IsOptional, IsString</t>
  </si>
  <si>
    <t xml:space="preserve">Texto de ayuda que se muestra junto al campo.</t>
  </si>
  <si>
    <t xml:space="preserve">C0384</t>
  </si>
  <si>
    <t xml:space="preserve">archivo, casilla, fecha, moneda, numero, responsable, seleccion, texto, texto_largo</t>
  </si>
  <si>
    <t xml:space="preserve">Mapeada en hiring-service/src/entities/campo-formulario.entity.ts:46 (CampoFormulario.tipo) | Validación: IsIn(TIPOS_CAMPO as unknown as string[]), IsIn(TIPOS_LIQUIDACION, {
    message: 'La liquidación es bilateral, de común acuerdo, o unilateral, por acto de la entidad',
  }), IsIn(TIPOS_REGLA as unknown as string[]), IsIn(TIPOS_SOPORTE, {
    message: 'El soporte es seguridad social, RUT, certificación bancaria u otro',
  }), IsIn(['GRABACION', 'OBSERVACION', 'ANEXO'], {
    message: 'Di qué es: una grabación, una observación con su respuesta, o un anexo',
  }), IsIn(['INFORME', 'ACTA', 'SOPORTE'], {
    message: 'El soporte es un informe, un acta u otro documento de la ejecución',
  })</t>
  </si>
  <si>
    <t xml:space="preserve">Tipo del registro de campos_formulario.</t>
  </si>
  <si>
    <t xml:space="preserve">C0385</t>
  </si>
  <si>
    <t xml:space="preserve">obligatorio</t>
  </si>
  <si>
    <t xml:space="preserve">Mapeada en hiring-service/src/entities/campo-formulario.entity.ts:49 (CampoFormulario.obligatorio) | Validación: IsBoolean, IsOptional</t>
  </si>
  <si>
    <t xml:space="preserve">Indica si aplica: obligatorio.</t>
  </si>
  <si>
    <t xml:space="preserve">C0386</t>
  </si>
  <si>
    <t xml:space="preserve">Mapeada en hiring-service/src/entities/campo-formulario.entity.ts:52 (CampoFormulario.grupo) | Validación: IsOptional, IsString</t>
  </si>
  <si>
    <t xml:space="preserve">Grupo o sección del formulario en la que se muestra el campo.</t>
  </si>
  <si>
    <t xml:space="preserve">nombre + columna vecina orden</t>
  </si>
  <si>
    <t xml:space="preserve">C0387</t>
  </si>
  <si>
    <t xml:space="preserve">idx_campos_num</t>
  </si>
  <si>
    <t xml:space="preserve">Mapeada en hiring-service/src/entities/campo-formulario.entity.ts:55 (CampoFormulario.orden) | Validación: IsInt, IsOptional, Min(0), Min(1)</t>
  </si>
  <si>
    <t xml:space="preserve">C0388</t>
  </si>
  <si>
    <t xml:space="preserve">opciones</t>
  </si>
  <si>
    <t xml:space="preserve">hiring-service/src/entities/campo-formulario.entity.ts:59: Valores admitidos cuando tipo = 'seleccion'.</t>
  </si>
  <si>
    <t xml:space="preserve">Valores admitidos para el campo cuando su tipo es seleccion, en formato JSON.</t>
  </si>
  <si>
    <t xml:space="preserve">código: hiring-service/src/entities/campo-formulario.entity.ts:59</t>
  </si>
  <si>
    <t xml:space="preserve">¿Es obligatoria cuando el tipo es seleccion y qué estructura tiene cada opción?</t>
  </si>
  <si>
    <t xml:space="preserve">C0389</t>
  </si>
  <si>
    <t xml:space="preserve">Mapeada en hiring-service/src/entities/campo-formulario.entity.ts:62 (CampoFormulario.activo) | Validación: IsBoolean, IsOptional</t>
  </si>
  <si>
    <t xml:space="preserve">C0390</t>
  </si>
  <si>
    <t xml:space="preserve">solo_lectura</t>
  </si>
  <si>
    <t xml:space="preserve">hiring-service/src/entities/campo-formulario.entity.ts:70: El campo se muestra pero no se edita porque su valor vive fuera del formulario. Hoy solo aplica a `valor_estimado`, que se captura al crear el proceso para poder determinar la modalidad por cuantía (EFDS-1147).</t>
  </si>
  <si>
    <t xml:space="preserve">Indica si el campo se muestra sin poder editarse porque su valor se captura fuera del formulario; hoy aplica solo a valor_estimado, que se registra al crear el proceso para determinar la modalidad por cuantía (EFDS-1147).</t>
  </si>
  <si>
    <t xml:space="preserve">código: hiring-service/src/entities/campo-formulario.entity.ts:70</t>
  </si>
  <si>
    <t xml:space="preserve">C0391</t>
  </si>
  <si>
    <t xml:space="preserve">casos_incumplimiento</t>
  </si>
  <si>
    <t xml:space="preserve">hiring-service/src/entities/caso-incumplimiento.entity.ts:47: Qué se observó. Se pide siempre y con holgura: es lo que el área jurídica lee para decidir si abre trámite, y «incumplió» sin más no le sirve para nada. | db/migrations/hiring/055_reporte_incumplimiento.sql:29: Qué se observó. Se pide con holgura porque es lo que el área jurídica lee para decidir si abre trámite, y «incumplió» sin más no le sirve de nada. | Validación: IsNotEmpty({ message: 'Di por qué se anula el informe definitivo' }), IsNotEmpty({ message: 'Di por qué se anula el informe' }), IsNotEmpty({ message: 'Di por qué se anula el registro' }), IsNotEmpty({ message: 'Di por qué se anula la audiencia' }), IsNotEmpty({ message: 'Di por qué se declara desierto el proceso' }), IsNotEmpty({ message: 'Di por qué se revoca el acto de adjudicación' })</t>
  </si>
  <si>
    <t xml:space="preserve">Descripción de lo observado como presunto incumplimiento; es lo que el área jurídica lee para decidir si abre trámite. Obligatoria y de al menos 10 caracteres (EFDS-1180).</t>
  </si>
  <si>
    <t xml:space="preserve">código: hiring-service/src/entities/caso-incumplimiento.entity.ts:47; db/migrations/hiring/055_reporte_incumplimiento.sql:29</t>
  </si>
  <si>
    <t xml:space="preserve">C0392</t>
  </si>
  <si>
    <t xml:space="preserve">fecha_hecho</t>
  </si>
  <si>
    <t xml:space="preserve">ix_casos_incumplimiento_contrato</t>
  </si>
  <si>
    <t xml:space="preserve">hiring-service/src/entities/caso-incumplimiento.entity.ts:56: Cuándo ocurrió el hecho, no cuándo se registró. De esta fecha cuelgan los términos del trámite sancionatorio, así que un hecho de marzo reportado en abril tiene que seguir siendo de marzo. | db/migrations/hiring/055_reporte_incumplimiento.sql:34: Cuándo ocurrió el hecho, no cuándo se registró: de esta fecha cuelgan los términos del trámite sancionatorio, así que un hecho de marzo reportado en abril sigue siendo de marzo. | Validación: IsDateString({}, { message: 'La fecha del hecho debe tener el formato YYYY-MM-DD' })</t>
  </si>
  <si>
    <t xml:space="preserve">Fecha en que ocurrió el hecho, no la de su registro; de ella dependen los términos del trámite sancionatorio.</t>
  </si>
  <si>
    <t xml:space="preserve">código: hiring-service/src/entities/caso-incumplimiento.entity.ts:56; db/migrations/hiring/055_reporte_incumplimiento.sql:34</t>
  </si>
  <si>
    <t xml:space="preserve">C0393</t>
  </si>
  <si>
    <t xml:space="preserve">reportado_por</t>
  </si>
  <si>
    <t xml:space="preserve">db/migrations/hiring/055_reporte_incumplimiento.sql:50: Quién lo reportó y en calidad de qué: el supervisor de entonces puede no ser el de ahora, y el expediente tiene que decir quién vigilaba el día que se constató el hecho.</t>
  </si>
  <si>
    <t xml:space="preserve">Persona que reportó el presunto incumplimiento; con el dato de en calidad de qué lo hizo, deja constancia de quién supervisaba el día en que se constató el hecho.</t>
  </si>
  <si>
    <t xml:space="preserve">código: db/migrations/hiring/055_reporte_incumplimiento.sql:50</t>
  </si>
  <si>
    <t xml:space="preserve">C0394</t>
  </si>
  <si>
    <t xml:space="preserve">causales_contratacion</t>
  </si>
  <si>
    <t xml:space="preserve">Mapeada en hiring-service/src/entities/causal-contratacion.entity.ts:29 (CausalContratacion.nombre) | Validación: IsNotEmpty, IsNotEmpty({ message: 'Cada miembro necesita el nombre con el que se le designa' }), IsNotEmpty({ message: 'El nombre de la MIPYME es obligatorio' }), IsNotEmpty({ message: 'Indica el nombre o la razón social del oferente' }), IsNotEmpty({ message: 'La tipología necesita un nombre' }), IsNotEmpty({ message: 'Registra el nombre de quien se designa como supervisor' })</t>
  </si>
  <si>
    <t xml:space="preserve">Nombre del registro de causales_contratacion.</t>
  </si>
  <si>
    <t xml:space="preserve">C0395</t>
  </si>
  <si>
    <t xml:space="preserve">referencia_normativa</t>
  </si>
  <si>
    <t xml:space="preserve">hiring-service/src/entities/causal-contratacion.entity.ts:33: La disposición que la sustenta, tal como se cita en el expediente. | db/migrations/hiring/070_causal_de_contratacion.sql:49: La disposición que la sustenta, tal como se cita en el expediente.</t>
  </si>
  <si>
    <t xml:space="preserve">Disposición normativa que sustenta la causal, tal como se cita en el expediente.</t>
  </si>
  <si>
    <t xml:space="preserve">código: hiring-service/src/entities/causal-contratacion.entity.ts:33; db/migrations/hiring/070_causal_de_contratacion.sql:49</t>
  </si>
  <si>
    <t xml:space="preserve">C0396</t>
  </si>
  <si>
    <t xml:space="preserve">Mapeada en hiring-service/src/entities/causal-contratacion.entity.ts:36 (CausalContratacion.orden) | Validación: IsInt, IsOptional, Min(0), Min(1)</t>
  </si>
  <si>
    <t xml:space="preserve">C0397</t>
  </si>
  <si>
    <t xml:space="preserve">hiring-service/src/entities/causal-contratacion.entity.ts:40: Las derogadas dejan de ofrecerse sin romper los procesos que las usaron. | db/migrations/hiring/070_causal_de_contratacion.sql:53: Las derogadas dejan de ofrecerse sin romper los procesos que las usaron, igual que las modalidades de la 007. | Validación: IsBoolean, IsOptional</t>
  </si>
  <si>
    <t xml:space="preserve">Indica si la causal se sigue ofreciendo; las derogadas se desactivan sin afectar los procesos que las usaron.</t>
  </si>
  <si>
    <t xml:space="preserve">código: hiring-service/src/entities/causal-contratacion.entity.ts:40; db/migrations/hiring/070_causal_de_contratacion.sql:53</t>
  </si>
  <si>
    <t xml:space="preserve">C0398</t>
  </si>
  <si>
    <t xml:space="preserve">cdp</t>
  </si>
  <si>
    <t xml:space="preserve">hiring-service/src/entities/cdp.entity.ts:36: Lo asigna la Dirección Financiera al expedirlo; antes no existe. | db/migrations/hiring/010_cdp.sql:24: El número lo asigna la Dirección Financiera al expedirlo, así que no existe mientras el CDP está apenas solicitado. | Validación: IsNotEmpty({ message: 'El contrato necesita el número con el que la entidad lo identifica' }), IsNotEmpty({ message: 'El número del CDP es obligatorio' }), IsNotEmpty({ message: 'El registro presupuestal necesita su número' }), IsNotEmpty({ message: 'Registra el número de la modificación' }), IsNotEmpty({ message: 'Registra el número de la resolución' }), IsNotEmpty({ message: 'Registra el número' })</t>
  </si>
  <si>
    <t xml:space="preserve">Número del Certificado de Disponibilidad Presupuestal, asignado por la Dirección Financiera al expedirlo; vacío mientras el CDP está solicitado.</t>
  </si>
  <si>
    <t xml:space="preserve">código: hiring-service/src/entities/cdp.entity.ts:36; db/migrations/hiring/010_cdp.sql:24</t>
  </si>
  <si>
    <t xml:space="preserve">C0399</t>
  </si>
  <si>
    <t xml:space="preserve">Mapeada en hiring-service/src/entities/cdp.entity.ts:39 (Cdp.valor) | Validación: IsNumber({ maxDecimalPlaces: 2 }, { message: 'El salario debe ser un número' }), IsNumber({ maxDecimalPlaces: 2 }, { message: 'El valor debe ser un número' }), IsNumber({}, { message: 'El valor cobrado debe ser un número' }), IsNumber({}, { message: 'El valor comprometido debe ser un número' }), IsNumber({}, { message: 'El valor debe ser un número' }), IsNumber({}, { message: 'El valor del contrato debe ser un número' })</t>
  </si>
  <si>
    <t xml:space="preserve">Valor del certificado de disponibilidad presupuestal.</t>
  </si>
  <si>
    <t xml:space="preserve">nombre + numeric(18,2); el valor EXPEDIDO viene de un CHECK según el estado</t>
  </si>
  <si>
    <t xml:space="preserve">¿Está en pesos colombianos y es obligatorio cuando el estado es EXPEDIDO?</t>
  </si>
  <si>
    <t xml:space="preserve">C0400</t>
  </si>
  <si>
    <t xml:space="preserve">fecha_expedicion</t>
  </si>
  <si>
    <t xml:space="preserve">Mapeada en hiring-service/src/entities/cdp.entity.ts:45 (Cdp.fechaExpedicion) | Validación: IsDateString({}, { message: 'La fecha de expedición debe tener el formato YYYY-MM-DD' }), IsISO8601({ strict: true }, { message: 'La fecha debe tener formato YYYY-MM-DD' })</t>
  </si>
  <si>
    <t xml:space="preserve">Fecha de expedición.</t>
  </si>
  <si>
    <t xml:space="preserve">C0401</t>
  </si>
  <si>
    <t xml:space="preserve">vigencia_fiscal</t>
  </si>
  <si>
    <t xml:space="preserve">hiring-service/src/entities/cdp.entity.ts:49: Vigencia fiscal a la que se imputa. Un CDP no cruza vigencias. | db/migrations/hiring/010_cdp.sql:29: Vigencia fiscal a la que se imputa. Un CDP no cruza vigencias. | Validación: IsInt, IsInt({ message: 'La vigencia debe ser un año' }), IsInt({ message: 'La vigencia fiscal es un ano' }), IsInt({ message: 'La vigencia fiscal se expresa en años' }), IsOptional, Max(2100)</t>
  </si>
  <si>
    <t xml:space="preserve">Año de la vigencia fiscal a la que se imputa el CDP; un CDP no cruza vigencias.</t>
  </si>
  <si>
    <t xml:space="preserve">código: hiring-service/src/entities/cdp.entity.ts:49; db/migrations/hiring/010_cdp.sql:29</t>
  </si>
  <si>
    <t xml:space="preserve">C0402</t>
  </si>
  <si>
    <t xml:space="preserve">ANULADO, EXPEDIDO, RECHAZADO, SOLICITADO, VERIFICADO</t>
  </si>
  <si>
    <t xml:space="preserve">db/migrations/hiring/010_cdp.sql:34: SOLICITADO → VERIFICADO → EXPEDIDO ↘ RECHAZADO (no hay disponibilidad en el rubro) ANULADO queda fuera del flujo normal: cubre el CDP que se deja sin efecto.</t>
  </si>
  <si>
    <t xml:space="preserve">Estado del CDP en su flujo: SOLICITADO, VERIFICADO, EXPEDIDO o RECHAZADO (sin disponibilidad en el rubro). ANULADO está fuera del flujo normal y corresponde al CDP que se deja sin efecto.</t>
  </si>
  <si>
    <t xml:space="preserve">código: db/migrations/hiring/010_cdp.sql:34</t>
  </si>
  <si>
    <t xml:space="preserve">C0403</t>
  </si>
  <si>
    <t xml:space="preserve">hiring-service/src/entities/cdp.entity.ts:59: Por qué la Financiera lo rechazó. Sin esto el solicitante no sabe si corregir el rubro, esperar o reducir el alcance. | db/migrations/hiring/010_cdp.sql:39: Por qué la Financiera lo rechazó. Sin esto, el solicitante no sabe si corregir el rubro, esperar o reducir el alcance. | Validación: IsNotEmpty({ message: 'El motivo del rechazo es obligatorio' }), IsNotEmpty({ message: 'Explica por qué se rechaza el registro presupuestal' }), IsNotEmpty({ message: 'Explica por qué se rechaza' }), IsOptional, IsString, MaxLength(1000)</t>
  </si>
  <si>
    <t xml:space="preserve">Motivo por el que la Dirección Financiera rechazó el CDP.</t>
  </si>
  <si>
    <t xml:space="preserve">código: hiring-service/src/entities/cdp.entity.ts:59; db/migrations/hiring/010_cdp.sql:39</t>
  </si>
  <si>
    <t xml:space="preserve">C0404</t>
  </si>
  <si>
    <t xml:space="preserve">solicitado_por</t>
  </si>
  <si>
    <t xml:space="preserve">Mapeada en hiring-service/src/entities/cdp.entity.ts:69 (Cdp.solicitadoPor)</t>
  </si>
  <si>
    <t xml:space="preserve">Usuario que realizó la solicitud.</t>
  </si>
  <si>
    <t xml:space="preserve">C0405</t>
  </si>
  <si>
    <t xml:space="preserve">solicitado_at</t>
  </si>
  <si>
    <t xml:space="preserve">Mapeada en hiring-service/src/entities/cdp.entity.ts:72 (Cdp.solicitadoAt)</t>
  </si>
  <si>
    <t xml:space="preserve">Fecha y hora de la solicitud.</t>
  </si>
  <si>
    <t xml:space="preserve">C0406</t>
  </si>
  <si>
    <t xml:space="preserve">expedido_por</t>
  </si>
  <si>
    <t xml:space="preserve">Mapeada en hiring-service/src/entities/cdp.entity.ts:75 (Cdp.expedidoPor)</t>
  </si>
  <si>
    <t xml:space="preserve">Usuario o funcionario que expidió el CDP.</t>
  </si>
  <si>
    <t xml:space="preserve">nombre + varchar(160)</t>
  </si>
  <si>
    <t xml:space="preserve">¿Se guarda el nombre del funcionario de presupuesto o el usuario que registró la expedición?</t>
  </si>
  <si>
    <t xml:space="preserve">C0407</t>
  </si>
  <si>
    <t xml:space="preserve">cierres_contrato</t>
  </si>
  <si>
    <t xml:space="preserve">fecha_cierre</t>
  </si>
  <si>
    <t xml:space="preserve">Mapeada en hiring-service/src/entities/cierre-contrato.entity.ts:45 (CierreContrato.fechaCierre) | Validación: IsDateString({}, { message: 'La fecha del cierre debe tener el formato YYYY-MM-DD' })</t>
  </si>
  <si>
    <t xml:space="preserve">Fecha de cierre.</t>
  </si>
  <si>
    <t xml:space="preserve">C0408</t>
  </si>
  <si>
    <t xml:space="preserve">amparos_verificados</t>
  </si>
  <si>
    <t xml:space="preserve">hiring-service/src/entities/cierre-contrato.entity.ts:49: Los amparos que se miraron, congelados: el cierre explica su propia fecha.</t>
  </si>
  <si>
    <t xml:space="preserve">Amparos de la garantía revisados para el cierre del contrato, guardados en formato JSON tal como estaban al cerrar (EFDS-1175).</t>
  </si>
  <si>
    <t xml:space="preserve">código: hiring-service/src/entities/cierre-contrato.entity.ts:49</t>
  </si>
  <si>
    <t xml:space="preserve">¿Qué datos de cada amparo se guardan (id, tipo, vencimiento)?</t>
  </si>
  <si>
    <t xml:space="preserve">C0409</t>
  </si>
  <si>
    <t xml:space="preserve">ultimo_vencimiento</t>
  </si>
  <si>
    <t xml:space="preserve">hiring-service/src/entities/cierre-contrato.entity.ts:59: Cuándo venció el último amparo de estabilidad o calidad. Nulo cuando no había ninguno —el caso corriente de los contratos de servicios profesionales—: no significa que falte el dato sino que no había nada que esperar.</t>
  </si>
  <si>
    <t xml:space="preserve">Fecha en que venció el último amparo de estabilidad o calidad. Vacía cuando el contrato no tenía ninguno, como suele ocurrir en los contratos de servicios profesionales.</t>
  </si>
  <si>
    <t xml:space="preserve">código: hiring-service/src/entities/cierre-contrato.entity.ts:59</t>
  </si>
  <si>
    <t xml:space="preserve">¿Se calcula a partir de hiring.amparos o lo digita el usuario?</t>
  </si>
  <si>
    <t xml:space="preserve">C0410</t>
  </si>
  <si>
    <t xml:space="preserve">Mapeada en hiring-service/src/entities/cierre-contrato.entity.ts:65 (CierreContrato.observaciones) | Validación: IsNotEmpty({ message: 'El motivo del rechazo es obligatorio' }), IsNotEmpty({ message: 'Explica por qué se rechaza el registro presupuestal' }), IsNotEmpty({ message: 'Explica por qué se rechaza' }), IsOptional, IsString, MaxLength(1000)</t>
  </si>
  <si>
    <t xml:space="preserve">C0411</t>
  </si>
  <si>
    <t xml:space="preserve">REVERTIDO, VIGENTE</t>
  </si>
  <si>
    <t xml:space="preserve">Mapeada en hiring-service/src/entities/cierre-contrato.entity.ts:68 (CierreContrato.estado)</t>
  </si>
  <si>
    <t xml:space="preserve">Estado del registro de cierres_contrato.</t>
  </si>
  <si>
    <t xml:space="preserve">C0412</t>
  </si>
  <si>
    <t xml:space="preserve">cerrado_por</t>
  </si>
  <si>
    <t xml:space="preserve">Mapeada en hiring-service/src/entities/cierre-contrato.entity.ts:71 (CierreContrato.cerradoPor)</t>
  </si>
  <si>
    <t xml:space="preserve">C0413</t>
  </si>
  <si>
    <t xml:space="preserve">revertido_at</t>
  </si>
  <si>
    <t xml:space="preserve">Mapeada en hiring-service/src/entities/cierre-contrato.entity.ts:77 (CierreContrato.revertidoAt)</t>
  </si>
  <si>
    <t xml:space="preserve">Fecha y hora en que se revirtió el cierre del contrato.</t>
  </si>
  <si>
    <t xml:space="preserve">nombre + timestamptz; el valor REVERTIDO viene de un CHECK según el estado</t>
  </si>
  <si>
    <t xml:space="preserve">C0414</t>
  </si>
  <si>
    <t xml:space="preserve">revertido_por</t>
  </si>
  <si>
    <t xml:space="preserve">Mapeada en hiring-service/src/entities/cierre-contrato.entity.ts:80 (CierreContrato.revertidoPor)</t>
  </si>
  <si>
    <t xml:space="preserve">Usuario que revirtió el cierre del contrato.</t>
  </si>
  <si>
    <t xml:space="preserve">C0415</t>
  </si>
  <si>
    <t xml:space="preserve">motivo_reversion</t>
  </si>
  <si>
    <t xml:space="preserve">Mapeada en hiring-service/src/entities/cierre-contrato.entity.ts:83 (CierreContrato.motivoReversion)</t>
  </si>
  <si>
    <t xml:space="preserve">Motivo de la reversión.</t>
  </si>
  <si>
    <t xml:space="preserve">C0416</t>
  </si>
  <si>
    <t xml:space="preserve">cierres_financieros</t>
  </si>
  <si>
    <t xml:space="preserve">referencia_pago_final</t>
  </si>
  <si>
    <t xml:space="preserve">db/migrations/hiring/046_cierre_financiero.sql:28: El pago final: con qué referencia salió y cuándo. | Validación: IsNotEmpty({ message: 'Registra la referencia del pago final' }), IsString, MaxLength(120)</t>
  </si>
  <si>
    <t xml:space="preserve">Referencia con la que salió el pago final del contrato (EFDS-1173).</t>
  </si>
  <si>
    <t xml:space="preserve">código: db/migrations/hiring/046_cierre_financiero.sql:28</t>
  </si>
  <si>
    <t xml:space="preserve">¿Qué documento identifica la referencia: orden de pago, comprobante u obligación en SIIF?</t>
  </si>
  <si>
    <t xml:space="preserve">C0417</t>
  </si>
  <si>
    <t xml:space="preserve">fecha_pago_final</t>
  </si>
  <si>
    <t xml:space="preserve">Mapeada en hiring-service/src/entities/cierre-financiero.entity.ts:46 (CierreFinanciero.fechaPagoFinal) | Validación: IsDateString({}, { message: 'La fecha del pago final debe tener el formato YYYY-MM-DD' })</t>
  </si>
  <si>
    <t xml:space="preserve">Fecha de pago final.</t>
  </si>
  <si>
    <t xml:space="preserve">C0418</t>
  </si>
  <si>
    <t xml:space="preserve">valor_rp</t>
  </si>
  <si>
    <t xml:space="preserve">Mapeada en hiring-service/src/entities/cierre-financiero.entity.ts:53 (CierreFinanciero.valorRp)</t>
  </si>
  <si>
    <t xml:space="preserve">Valor del registro presupuestal (RP) del contrato.</t>
  </si>
  <si>
    <t xml:space="preserve">nombre + numeric(18,2) + descripción de la tabla</t>
  </si>
  <si>
    <t xml:space="preserve">¿Está en pesos colombianos y se toma del RP registrado o se digita?</t>
  </si>
  <si>
    <t xml:space="preserve">C0419</t>
  </si>
  <si>
    <t xml:space="preserve">valor_pagado</t>
  </si>
  <si>
    <t xml:space="preserve">Mapeada en hiring-service/src/entities/cierre-financiero.entity.ts:56 (CierreFinanciero.valorPagado)</t>
  </si>
  <si>
    <t xml:space="preserve">Valor total pagado al contratista con cargo al RP.</t>
  </si>
  <si>
    <t xml:space="preserve">nombre + numeric(18,2) + columna vecina valor_rp</t>
  </si>
  <si>
    <t xml:space="preserve">¿Está en pesos colombianos y se calcula a partir de los pagos registrados?</t>
  </si>
  <si>
    <t xml:space="preserve">C0420</t>
  </si>
  <si>
    <t xml:space="preserve">valor_liberado</t>
  </si>
  <si>
    <t xml:space="preserve">hiring-service/src/entities/cierre-financiero.entity.ts:65: Lo que volvió al presupuesto. Se guarda calculado y no derivado: si mañana entra un pago rezagado, lo que se liberó ese día no cambia.</t>
  </si>
  <si>
    <t xml:space="preserve">Saldo del RP que volvió al presupuesto en el cierre financiero. Se guarda calculado en ese momento y no cambia si después entra un pago rezagado. No puede ser negativo.</t>
  </si>
  <si>
    <t xml:space="preserve">código: hiring-service/src/entities/cierre-financiero.entity.ts:65</t>
  </si>
  <si>
    <t xml:space="preserve">¿Se calcula como valor_rp menos valor_pagado?</t>
  </si>
  <si>
    <t xml:space="preserve">C0421</t>
  </si>
  <si>
    <t xml:space="preserve">Mapeada en hiring-service/src/entities/cierre-financiero.entity.ts:74 (CierreFinanciero.observaciones) | Validación: IsNotEmpty({ message: 'El motivo del rechazo es obligatorio' }), IsNotEmpty({ message: 'Explica por qué se rechaza el registro presupuestal' }), IsNotEmpty({ message: 'Explica por qué se rechaza' }), IsOptional, IsString, MaxLength(1000)</t>
  </si>
  <si>
    <t xml:space="preserve">C0422</t>
  </si>
  <si>
    <t xml:space="preserve">Mapeada en hiring-service/src/entities/cierre-financiero.entity.ts:77 (CierreFinanciero.estado)</t>
  </si>
  <si>
    <t xml:space="preserve">Estado del registro de cierres_financieros.</t>
  </si>
  <si>
    <t xml:space="preserve">C0423</t>
  </si>
  <si>
    <t xml:space="preserve">Mapeada en hiring-service/src/entities/cierre-financiero.entity.ts:80 (CierreFinanciero.cerradoPor)</t>
  </si>
  <si>
    <t xml:space="preserve">C0424</t>
  </si>
  <si>
    <t xml:space="preserve">Mapeada en hiring-service/src/entities/cierre-financiero.entity.ts:86 (CierreFinanciero.revertidoAt)</t>
  </si>
  <si>
    <t xml:space="preserve">Fecha y hora en que se revirtió el cierre financiero.</t>
  </si>
  <si>
    <t xml:space="preserve">C0425</t>
  </si>
  <si>
    <t xml:space="preserve">Mapeada en hiring-service/src/entities/cierre-financiero.entity.ts:89 (CierreFinanciero.revertidoPor)</t>
  </si>
  <si>
    <t xml:space="preserve">Usuario que revirtió el cierre financiero.</t>
  </si>
  <si>
    <t xml:space="preserve">C0426</t>
  </si>
  <si>
    <t xml:space="preserve">Mapeada en hiring-service/src/entities/cierre-financiero.entity.ts:92 (CierreFinanciero.motivoReversion)</t>
  </si>
  <si>
    <t xml:space="preserve">C0427</t>
  </si>
  <si>
    <t xml:space="preserve">comites_evaluadores</t>
  </si>
  <si>
    <t xml:space="preserve">fecha_designacion</t>
  </si>
  <si>
    <t xml:space="preserve">hiring-service/src/entities/comite-evaluador.entity.ts:25: La del memorando, no la del registro: es cuando la entidad designó. | db/migrations/hiring/025_comite_evaluador.sql:47: La del memorando, no la del registro: es cuando la entidad designó. | Validación: IsDateString({}, { message: 'La fecha de designación debe tener el formato YYYY-MM-DD' })</t>
  </si>
  <si>
    <t xml:space="preserve">Fecha del memorando de designación del comité evaluador, no la del registro.</t>
  </si>
  <si>
    <t xml:space="preserve">código: hiring-service/src/entities/comite-evaluador.entity.ts:25; db/migrations/hiring/025_comite_evaluador.sql:47</t>
  </si>
  <si>
    <t xml:space="preserve">C0428</t>
  </si>
  <si>
    <t xml:space="preserve">designado_por</t>
  </si>
  <si>
    <t xml:space="preserve">Mapeada en hiring-service/src/entities/comite-evaluador.entity.ts:28 (ComiteEvaluador.designadoPor)</t>
  </si>
  <si>
    <t xml:space="preserve">Usuario o funcionario que designó el comité evaluador.</t>
  </si>
  <si>
    <t xml:space="preserve">¿Se guarda el nombre de quien firma el memorando o el usuario que lo registró?</t>
  </si>
  <si>
    <t xml:space="preserve">C0429</t>
  </si>
  <si>
    <t xml:space="preserve">Mapeada en hiring-service/src/entities/comite-evaluador.entity.ts:31 (ComiteEvaluador.estado)</t>
  </si>
  <si>
    <t xml:space="preserve">Estado del registro de comites_evaluadores.</t>
  </si>
  <si>
    <t xml:space="preserve">C0430</t>
  </si>
  <si>
    <t xml:space="preserve">Mapeada en hiring-service/src/entities/comite-evaluador.entity.ts:37 (ComiteEvaluador.revocadoAt)</t>
  </si>
  <si>
    <t xml:space="preserve">Fecha y hora de la revocación.</t>
  </si>
  <si>
    <t xml:space="preserve">C0431</t>
  </si>
  <si>
    <t xml:space="preserve">Mapeada en hiring-service/src/entities/comite-evaluador.entity.ts:40 (ComiteEvaluador.revocadoPor)</t>
  </si>
  <si>
    <t xml:space="preserve">C0432</t>
  </si>
  <si>
    <t xml:space="preserve">Mapeada en hiring-service/src/entities/comite-evaluador.entity.ts:43 (ComiteEvaluador.motivoRevocacion)</t>
  </si>
  <si>
    <t xml:space="preserve">C0433</t>
  </si>
  <si>
    <t xml:space="preserve">contratos</t>
  </si>
  <si>
    <t xml:space="preserve">uq_contrato_numero</t>
  </si>
  <si>
    <t xml:space="preserve">hiring-service/src/entities/contrato.entity.ts:188: Número de contrato de la entidad, el que va en la minuta. | db/migrations/hiring/035_contrato_electronico.sql:111: Número de contrato de la entidad, el que va en la minuta. Único en el sistema porque dos contratos con el mismo número no se pueden distinguir en ningún archivo, ni el físico ni este. | Validación: IsNotEmpty({ message: 'El contrato necesita el número con el que la entidad lo identifica' }), IsNotEmpty({ message: 'El número del CDP es obligatorio' }), IsNotEmpty({ message: 'El registro presupuestal necesita su número' }), IsNotEmpty({ message: 'Registra el número de la modificación' }), IsNotEmpty({ message: 'Registra el número de la resolución' }), IsNotEmpty({ message: 'Registra el número' })</t>
  </si>
  <si>
    <t xml:space="preserve">Número de contrato de la entidad, el que figura en la minuta. Único en el sistema.</t>
  </si>
  <si>
    <t xml:space="preserve">código: hiring-service/src/entities/contrato.entity.ts:188; db/migrations/hiring/035_contrato_electronico.sql:111</t>
  </si>
  <si>
    <t xml:space="preserve">C0434</t>
  </si>
  <si>
    <t xml:space="preserve">hiring-service/src/entities/contrato.entity.ts:198: `numeric` llega como string desde el driver; el transformer lo devuelve como número para que la pantalla no formatee cadenas. | Validación: IsNumber({ maxDecimalPlaces: 2 }, { message: 'El salario debe ser un número' }), IsNumber({ maxDecimalPlaces: 2 }, { message: 'El valor debe ser un número' }), IsNumber({}, { message: 'El valor cobrado debe ser un número' }), IsNumber({}, { message: 'El valor comprometido debe ser un número' }), IsNumber({}, { message: 'El valor debe ser un número' }), IsNumber({}, { message: 'El valor del contrato debe ser un número' })</t>
  </si>
  <si>
    <t xml:space="preserve">Valor total del contrato. Debe ser mayor que cero.</t>
  </si>
  <si>
    <t xml:space="preserve">código: hiring-service/src/entities/contrato.entity.ts:198; nota: el comentario solo trata la conversión del tipo numeric</t>
  </si>
  <si>
    <t xml:space="preserve">¿Está en pesos colombianos e incluye IVA?</t>
  </si>
  <si>
    <t xml:space="preserve">C0435</t>
  </si>
  <si>
    <t xml:space="preserve">plazo_dias</t>
  </si>
  <si>
    <t xml:space="preserve">Mapeada en hiring-service/src/entities/contrato.entity.ts:209 (Contrato.plazoDias) | Validación: IsInt, IsInt({ message: 'El plazo se expresa en días enteros' }), IsOptional, IsPositive({ message: 'El plazo debe ser mayor que cero' }), Max(999), Min(1)</t>
  </si>
  <si>
    <t xml:space="preserve">Plazo de ejecución del contrato, en días.</t>
  </si>
  <si>
    <t xml:space="preserve">nombre + integer</t>
  </si>
  <si>
    <t xml:space="preserve">¿Son días calendario o hábiles?</t>
  </si>
  <si>
    <t xml:space="preserve">C0436</t>
  </si>
  <si>
    <t xml:space="preserve">contratista_documento</t>
  </si>
  <si>
    <t xml:space="preserve">hiring-service/src/entities/contrato.entity.ts:218: Datos del adjudicatario copiados, no referenciados. El contrato dice con quién se contrató ese día: si mañana se corrige el registro del oferente, la minuta tiene que seguir diciendo lo que dice. | db/migrations/hiring/035_contrato_electronico.sql:121: El proponente adjudicatario. Se copian los datos y no se referencia al oferente: el contrato dice con quién se contrató ese día, y si mañana se corrige el registro del oferente, el contrato tiene que seguir diciendo lo que la minuta dice. | Validación: IsNotEmpty({ message: 'Registra el documento del contratista' }), IsString, MaxLength(40)</t>
  </si>
  <si>
    <t xml:space="preserve">Número del documento de identificación del contratista adjudicatario, copiado al contratar y no referenciado al oferente, para conservar lo que dice la minuta.</t>
  </si>
  <si>
    <t xml:space="preserve">código: hiring-service/src/entities/contrato.entity.ts:218; db/migrations/hiring/035_contrato_electronico.sql:121</t>
  </si>
  <si>
    <t xml:space="preserve">C0437</t>
  </si>
  <si>
    <t xml:space="preserve">contratista_nombre</t>
  </si>
  <si>
    <t xml:space="preserve">Mapeada en hiring-service/src/entities/contrato.entity.ts:221 (Contrato.contratistaNombre) | Validación: IsNotEmpty({ message: 'Registra el nombre del contratista' }), IsString, MaxLength(300)</t>
  </si>
  <si>
    <t xml:space="preserve">Nombre o razón social del contratista.</t>
  </si>
  <si>
    <t xml:space="preserve">C0438</t>
  </si>
  <si>
    <t xml:space="preserve">contratista_tipo</t>
  </si>
  <si>
    <t xml:space="preserve">JURIDICA, NATURAL</t>
  </si>
  <si>
    <t xml:space="preserve">db/migrations/hiring/035_contrato_electronico.sql:126: Determina si en la legalización se exige ARL (EFDS-1164, criterio 2). Se guarda aquí porque es un dato del contratista al momento de contratar, no una casilla que alguien marque después. | Validación: IsIn(['NATURAL', 'JURIDICA'], {
    message: 'El contratista es persona NATURAL o JURIDICA',
  })</t>
  </si>
  <si>
    <t xml:space="preserve">Tipo de persona del contratista al momento de contratar: NATURAL o JURIDICA. Determina si en la legalización se exige ARL (EFDS-1164).</t>
  </si>
  <si>
    <t xml:space="preserve">código: db/migrations/hiring/035_contrato_electronico.sql:126</t>
  </si>
  <si>
    <t xml:space="preserve">C0439</t>
  </si>
  <si>
    <t xml:space="preserve">generado_por</t>
  </si>
  <si>
    <t xml:space="preserve">Mapeada en hiring-service/src/entities/contrato.entity.ts:238 (Contrato.generadoPor)</t>
  </si>
  <si>
    <t xml:space="preserve">Usuario que realizó la generación.</t>
  </si>
  <si>
    <t xml:space="preserve">C0440</t>
  </si>
  <si>
    <t xml:space="preserve">generado_at</t>
  </si>
  <si>
    <t xml:space="preserve">Mapeada en hiring-service/src/entities/contrato.entity.ts:241 (Contrato.generadoAt)</t>
  </si>
  <si>
    <t xml:space="preserve">Fecha y hora de la generación.</t>
  </si>
  <si>
    <t xml:space="preserve">C0441</t>
  </si>
  <si>
    <t xml:space="preserve">aceptado_at</t>
  </si>
  <si>
    <t xml:space="preserve">db/migrations/hiring/035_contrato_electronico.sql:142: La aceptación del proponente. Sin quién y cuándo, «el sistema registra la aceptación» no se sostiene ante una controversia: sería una casilla marcada.</t>
  </si>
  <si>
    <t xml:space="preserve">Fecha y hora en que el proponente aceptó el contrato.</t>
  </si>
  <si>
    <t xml:space="preserve">código: db/migrations/hiring/035_contrato_electronico.sql:142</t>
  </si>
  <si>
    <t xml:space="preserve">C0442</t>
  </si>
  <si>
    <t xml:space="preserve">aceptado_por</t>
  </si>
  <si>
    <t xml:space="preserve">Mapeada en hiring-service/src/entities/contrato.entity.ts:247 (Contrato.aceptadoPor) | Validación: IsNotEmpty({ message: 'Registra quién acepta el contrato en nombre del proponente' }), IsString, MaxLength(200)</t>
  </si>
  <si>
    <t xml:space="preserve">Persona que aceptó el contrato en nombre del proponente.</t>
  </si>
  <si>
    <t xml:space="preserve">nombre + varchar(200); el valor ACEPTADO viene de un CHECK según el estado</t>
  </si>
  <si>
    <t xml:space="preserve">¿Se guarda el nombre, el correo o el identificador de quien acepta?</t>
  </si>
  <si>
    <t xml:space="preserve">C0443</t>
  </si>
  <si>
    <t xml:space="preserve">aceptado_observacion</t>
  </si>
  <si>
    <t xml:space="preserve">Mapeada en hiring-service/src/entities/contrato.entity.ts:250 (Contrato.aceptadoObservacion)</t>
  </si>
  <si>
    <t xml:space="preserve">Observación registrada al aceptar el contrato.</t>
  </si>
  <si>
    <t xml:space="preserve">nombre + text + columnas vecinas aceptado_*</t>
  </si>
  <si>
    <t xml:space="preserve">C0444</t>
  </si>
  <si>
    <t xml:space="preserve">rechazado_at</t>
  </si>
  <si>
    <t xml:space="preserve">Mapeada en hiring-service/src/entities/contrato.entity.ts:253 (Contrato.rechazadoAt)</t>
  </si>
  <si>
    <t xml:space="preserve">Fecha y hora del rechazo.</t>
  </si>
  <si>
    <t xml:space="preserve">C0445</t>
  </si>
  <si>
    <t xml:space="preserve">rechazado_por</t>
  </si>
  <si>
    <t xml:space="preserve">Mapeada en hiring-service/src/entities/contrato.entity.ts:256 (Contrato.rechazadoPor) | Validación: IsNotEmpty({ message: 'Registra quién rechaza el contrato en nombre del proponente' }), IsString, MaxLength(200)</t>
  </si>
  <si>
    <t xml:space="preserve">Usuario que realizó el rechazo.</t>
  </si>
  <si>
    <t xml:space="preserve">C0446</t>
  </si>
  <si>
    <t xml:space="preserve">motivo_rechazo</t>
  </si>
  <si>
    <t xml:space="preserve">Mapeada en hiring-service/src/entities/contrato.entity.ts:259 (Contrato.motivoRechazo)</t>
  </si>
  <si>
    <t xml:space="preserve">Motivo del rechazo.</t>
  </si>
  <si>
    <t xml:space="preserve">C0447</t>
  </si>
  <si>
    <t xml:space="preserve">perfeccionado_at</t>
  </si>
  <si>
    <t xml:space="preserve">hiring-service/src/entities/contrato.entity.ts:263: Cuándo entró la segunda firma y el contrato quedó suscrito (EFDS-1162).</t>
  </si>
  <si>
    <t xml:space="preserve">Fecha y hora en que entró la segunda firma y el contrato quedó suscrito (EFDS-1162).</t>
  </si>
  <si>
    <t xml:space="preserve">código: hiring-service/src/entities/contrato.entity.ts:263</t>
  </si>
  <si>
    <t xml:space="preserve">C0448</t>
  </si>
  <si>
    <t xml:space="preserve">legalizado_at</t>
  </si>
  <si>
    <t xml:space="preserve">hiring-service/src/entities/contrato.entity.ts:281: Cuándo quedó legalizado (EFDS-1164). Se alcanza con todas las garantías aprobadas y, si el contratista es persona natural, la ARL registrada. Lo deriva el servicio.</t>
  </si>
  <si>
    <t xml:space="preserve">Fecha y hora en que el contrato quedó legalizado, con todas las garantías aprobadas y, si el contratista es persona natural, la ARL registrada. La calcula el servicio (EFDS-1164).</t>
  </si>
  <si>
    <t xml:space="preserve">código: hiring-service/src/entities/contrato.entity.ts:281</t>
  </si>
  <si>
    <t xml:space="preserve">C0449</t>
  </si>
  <si>
    <t xml:space="preserve">declaratorias_desiertas</t>
  </si>
  <si>
    <t xml:space="preserve">causal</t>
  </si>
  <si>
    <t xml:space="preserve">SIN_OFERTAS, SIN_OFERTAS_HABILITADAS</t>
  </si>
  <si>
    <t xml:space="preserve">db/migrations/hiring/041_declaratoria_desierta.sql:96: SIN_OFERTAS: la recepción cerró y no se presentó nadie. SIN_OFERTAS_HABILITADAS: se presentaron y el comité no habilitó a ninguna. Son dos caminos distintos del expediente y se sustentan con piezas distintas, por eso no es un solo "no hay ofertas habilitadas". | Validación: IsIn(CAUSALES_DESIERTA, {
    message: 'La causal es que no se presentó ninguna oferta o que ninguna quedó habilitada',
  }), IsNotEmpty({ message: 'Elige la causal que habilita contratar por esta modalidad' }), IsString, MaxLength(60)</t>
  </si>
  <si>
    <t xml:space="preserve">Causal de la declaratoria desierta: SIN_OFERTAS (la recepción cerró sin ofertas) o SIN_OFERTAS_HABILITADAS (el comité no habilitó ninguna de las presentadas) (EFDS-1160).</t>
  </si>
  <si>
    <t xml:space="preserve">código: db/migrations/hiring/041_declaratoria_desierta.sql:96</t>
  </si>
  <si>
    <t xml:space="preserve">C0450</t>
  </si>
  <si>
    <t xml:space="preserve">hiring-service/src/entities/declaratoria-desierta.entity.ts:47: La motivación del acto. Obligatoria: la declaratoria desierta es un acto administrativo motivado, y es lo que un tercero lee para entender por qué el proceso no terminó en contrato. | db/migrations/hiring/041_declaratoria_desierta.sql:101: La motivación del acto. Obligatoria: la declaratoria desierta es un acto administrativo motivado, no un botón, y es lo que un tercero va a leer para entender por qué el proceso no terminó en contrato. | Validación: IsNotEmpty({ message: 'Di por qué se anula el informe definitivo' }), IsNotEmpty({ message: 'Di por qué se anula el informe' }), IsNotEmpty({ message: 'Di por qué se anula el registro' }), IsNotEmpty({ message: 'Di por qué se anula la audiencia' }), IsNotEmpty({ message: 'Di por qué se declara desierto el proceso' }), IsNotEmpty({ message: 'Di por qué se revoca el acto de adjudicación' })</t>
  </si>
  <si>
    <t xml:space="preserve">Motivación del acto administrativo que declara desierto el proceso. Obligatoria.</t>
  </si>
  <si>
    <t xml:space="preserve">código: hiring-service/src/entities/declaratoria-desierta.entity.ts:47; db/migrations/hiring/041_declaratoria_desierta.sql:101</t>
  </si>
  <si>
    <t xml:space="preserve">C0451</t>
  </si>
  <si>
    <t xml:space="preserve">db/migrations/hiring/041_declaratoria_desierta.sql:105: Número y fecha de la resolución, como los trae el acto firmado. Mismo criterio del acto de adjudicación (040). | Validación: IsNotEmpty({ message: 'Di el número de la resolución' }), IsString, MaxLength(60)</t>
  </si>
  <si>
    <t xml:space="preserve">Número de la resolución que declara desierto el proceso, tal como figura en el acto firmado.</t>
  </si>
  <si>
    <t xml:space="preserve">código: db/migrations/hiring/041_declaratoria_desierta.sql:105</t>
  </si>
  <si>
    <t xml:space="preserve">C0452</t>
  </si>
  <si>
    <t xml:space="preserve">Mapeada en hiring-service/src/entities/declaratoria-desierta.entity.ts:53 (DeclaratoriaDesierta.fechaActo) | Validación: IsISO8601({ strict: true }, { message: 'La fecha del acto va como YYYY-MM-DD' })</t>
  </si>
  <si>
    <t xml:space="preserve">C0453</t>
  </si>
  <si>
    <t xml:space="preserve">ofertas_recibidas</t>
  </si>
  <si>
    <t xml:space="preserve">hiring-service/src/entities/declaratoria-desierta.entity.ts:70: Cuántas ofertas había el día del acto, fotografiadas como en los informes. | db/migrations/hiring/041_declaratoria_desierta.sql:124: Cuántas ofertas había cuando se declaró. Se fotografía, como hacen los dos informes (039 y 040): mañana pueden anularse oferentes y lo que importa es lo que era cierto el día del acto.</t>
  </si>
  <si>
    <t xml:space="preserve">Número de ofertas que había el día de la declaratoria, guardado como estaba en ese momento.</t>
  </si>
  <si>
    <t xml:space="preserve">código: hiring-service/src/entities/declaratoria-desierta.entity.ts:70; db/migrations/hiring/041_declaratoria_desierta.sql:124</t>
  </si>
  <si>
    <t xml:space="preserve">¿El CHECK exige cero ofertas cuando la causal es SIN_OFERTAS?</t>
  </si>
  <si>
    <t xml:space="preserve">C0454</t>
  </si>
  <si>
    <t xml:space="preserve">notificada_at</t>
  </si>
  <si>
    <t xml:space="preserve">db/migrations/hiring/041_declaratoria_desierta.sql:135: Notificación y publicación, cada una con su evidencia: la declaratoria se notifica y publica como el acto de adjudicación, y no hay integración con SECOP II. | Validación: IsISO8601({ strict: true }, { message: 'La fecha de notificación va en formato ISO 8601' }), IsOptional</t>
  </si>
  <si>
    <t xml:space="preserve">Fecha y hora de notificación de la declaratoria desierta; la notificación y la publicación se registran por separado, cada una con su evidencia.</t>
  </si>
  <si>
    <t xml:space="preserve">código: db/migrations/hiring/041_declaratoria_desierta.sql:135</t>
  </si>
  <si>
    <t xml:space="preserve">C0455</t>
  </si>
  <si>
    <t xml:space="preserve">publicada_at</t>
  </si>
  <si>
    <t xml:space="preserve">Mapeada en hiring-service/src/entities/declaratoria-desierta.entity.ts:85 (DeclaratoriaDesierta.publicadaAt)</t>
  </si>
  <si>
    <t xml:space="preserve">C0456</t>
  </si>
  <si>
    <t xml:space="preserve">REVOCADA, VIGENTE</t>
  </si>
  <si>
    <t xml:space="preserve">Mapeada en hiring-service/src/entities/declaratoria-desierta.entity.ts:92 (DeclaratoriaDesierta.estado)</t>
  </si>
  <si>
    <t xml:space="preserve">Estado del registro de declaratorias_desiertas.</t>
  </si>
  <si>
    <t xml:space="preserve">C0457</t>
  </si>
  <si>
    <t xml:space="preserve">declarada_por</t>
  </si>
  <si>
    <t xml:space="preserve">Mapeada en hiring-service/src/entities/declaratoria-desierta.entity.ts:95 (DeclaratoriaDesierta.declaradaPor)</t>
  </si>
  <si>
    <t xml:space="preserve">Usuario que registró la declaratoria desierta.</t>
  </si>
  <si>
    <t xml:space="preserve">C0458</t>
  </si>
  <si>
    <t xml:space="preserve">declarada_at</t>
  </si>
  <si>
    <t xml:space="preserve">Mapeada en hiring-service/src/entities/declaratoria-desierta.entity.ts:98 (DeclaratoriaDesierta.declaradaAt)</t>
  </si>
  <si>
    <t xml:space="preserve">Fecha y hora en que se registró la declaratoria desierta.</t>
  </si>
  <si>
    <t xml:space="preserve">C0459</t>
  </si>
  <si>
    <t xml:space="preserve">revocada_at</t>
  </si>
  <si>
    <t xml:space="preserve">db/migrations/hiring/041_declaratoria_desierta.sql:145: Revocar no borra, igual que el acto de adjudicación: la declaratoria pudo notificarse y publicarse, y hay terceros que la conocieron.</t>
  </si>
  <si>
    <t xml:space="preserve">Fecha y hora de revocación de la declaratoria desierta. Revocar no borra el registro.</t>
  </si>
  <si>
    <t xml:space="preserve">código: db/migrations/hiring/041_declaratoria_desierta.sql:145</t>
  </si>
  <si>
    <t xml:space="preserve">C0460</t>
  </si>
  <si>
    <t xml:space="preserve">revocada_por</t>
  </si>
  <si>
    <t xml:space="preserve">Mapeada en hiring-service/src/entities/declaratoria-desierta.entity.ts:104 (DeclaratoriaDesierta.revocadaPor)</t>
  </si>
  <si>
    <t xml:space="preserve">C0461</t>
  </si>
  <si>
    <t xml:space="preserve">Mapeada en hiring-service/src/entities/declaratoria-desierta.entity.ts:107 (DeclaratoriaDesierta.motivoRevocacion)</t>
  </si>
  <si>
    <t xml:space="preserve">C0462</t>
  </si>
  <si>
    <t xml:space="preserve">dias_no_habiles</t>
  </si>
  <si>
    <t xml:space="preserve">Mapeada en hiring-service/src/entities/dia-no-habil.entity.ts:20 (DiaNoHabil.descripcion) | Validación: IsNotEmpty({ message: 'Describe el entregable' }), IsNotEmpty({ message: 'Describe la pieza: una lista de archivos sin decir cuál es cuál no documenta nada' }), IsNotEmpty({ message: 'Describe qué acredita el soporte' }), IsOptional, IsString, MaxLength(1000)</t>
  </si>
  <si>
    <t xml:space="preserve">Descripción del registro de dias_no_habiles.</t>
  </si>
  <si>
    <t xml:space="preserve">C0463</t>
  </si>
  <si>
    <t xml:space="preserve">documentos</t>
  </si>
  <si>
    <t xml:space="preserve">Mapeada en hiring-service/src/entities/documento.entity.ts:13 (Documento.numeral) | Validación: IsNotEmpty, IsOptional, IsString, MaxLength(20)</t>
  </si>
  <si>
    <t xml:space="preserve">Numeral de la actividad de la matriz de flujo a la que corresponde el documento.</t>
  </si>
  <si>
    <t xml:space="preserve">nombre + varchar(20) + uso de numeral en hiring.actividades</t>
  </si>
  <si>
    <t xml:space="preserve">C0464</t>
  </si>
  <si>
    <t xml:space="preserve">ADJUNTO, SNAPSHOT_FORMULARIO</t>
  </si>
  <si>
    <t xml:space="preserve">hiring-service/src/entities/documento.entity.ts:22: ADJUNTO: archivo en disco (archivo_url). SNAPSHOT_FORMULARIO: copia inmutable del formulario al enviarlo, que es lo que hace que el estudio previo quede "registrado como documento" en el expediente (criterio 1 del HU). | db/migrations/hiring/003_estudio_previo.sql:92: ADJUNTO: archivo subido. SNAPSHOT_FORMULARIO: copia inmutable del estudio previo al momento del envío — es lo que da por cumplido el criterio 1 ("registra el documento en el expediente electrónico"). | Validación: IsIn(TIPOS_CAMPO as unknown as string[]), IsIn(TIPOS_LIQUIDACION, {
    message: 'La liquidación es bilateral, de común acuerdo, o unilateral, por acto de la entidad',
  }), IsIn(TIPOS_REGLA as unknown as string[]), IsIn(TIPOS_SOPORTE, {
    message: 'El soporte es seguridad social, RUT, certificación bancaria u otro',
  }), IsIn(['GRABACION', 'OBSERVACION', 'ANEXO'], {
    message: 'Di qué es: una grabación, una observación con su respuesta, o un anexo',
  }), IsIn(['INFORME', 'ACTA', 'SOPORTE'], {
    message: 'El soporte es un informe, un acta u otro documento de la ejecución',
  })</t>
  </si>
  <si>
    <t xml:space="preserve">Tipo de documento del expediente: ADJUNTO (archivo subido, en archivo_url) o SNAPSHOT_FORMULARIO (copia inmutable del formulario del estudio previo al momento del envío).</t>
  </si>
  <si>
    <t xml:space="preserve">código: hiring-service/src/entities/documento.entity.ts:22; db/migrations/hiring/003_estudio_previo.sql:92</t>
  </si>
  <si>
    <t xml:space="preserve">C0465</t>
  </si>
  <si>
    <t xml:space="preserve">Mapeada en hiring-service/src/entities/documento.entity.ts:25 (Documento.nombre) | Validación: IsNotEmpty, IsNotEmpty({ message: 'Cada miembro necesita el nombre con el que se le designa' }), IsNotEmpty({ message: 'El nombre de la MIPYME es obligatorio' }), IsNotEmpty({ message: 'Indica el nombre o la razón social del oferente' }), IsNotEmpty({ message: 'La tipología necesita un nombre' }), IsNotEmpty({ message: 'Registra el nombre de quien se designa como supervisor' })</t>
  </si>
  <si>
    <t xml:space="preserve">Nombre del registro de documentos.</t>
  </si>
  <si>
    <t xml:space="preserve">C0466</t>
  </si>
  <si>
    <t xml:space="preserve">archivo_url</t>
  </si>
  <si>
    <t xml:space="preserve">Mapeada en hiring-service/src/entities/documento.entity.ts:28 (Documento.archivoUrl)</t>
  </si>
  <si>
    <t xml:space="preserve">Ubicación del archivo adjunto en el almacenamiento.</t>
  </si>
  <si>
    <t xml:space="preserve">nombre + text; los valores ADJUNTO, SNAPSHOT_FORMULARIO vienen de un CHECK según el tipo</t>
  </si>
  <si>
    <t xml:space="preserve">¿Es obligatoria cuando el tipo es ADJUNTO, y es una URL pública o una ruta interna?</t>
  </si>
  <si>
    <t xml:space="preserve">C0467</t>
  </si>
  <si>
    <t xml:space="preserve">contenido_snapshot</t>
  </si>
  <si>
    <t xml:space="preserve">Mapeada en hiring-service/src/entities/documento.entity.ts:31 (Documento.contenidoSnapshot)</t>
  </si>
  <si>
    <t xml:space="preserve">Copia del contenido del formulario en el momento de generar el documento, en formato JSON.</t>
  </si>
  <si>
    <t xml:space="preserve">nombre + jsonb; los valores ADJUNTO, SNAPSHOT_FORMULARIO vienen de un CHECK según el tipo</t>
  </si>
  <si>
    <t xml:space="preserve">¿Es obligatoria cuando el tipo es SNAPSHOT_FORMULARIO?</t>
  </si>
  <si>
    <t xml:space="preserve">C0468</t>
  </si>
  <si>
    <t xml:space="preserve">archivo_nombre_original</t>
  </si>
  <si>
    <t xml:space="preserve">Mapeada en hiring-service/src/entities/documento.entity.ts:34 (Documento.archivoNombreOriginal)</t>
  </si>
  <si>
    <t xml:space="preserve">C0469</t>
  </si>
  <si>
    <t xml:space="preserve">archivo_mime_type</t>
  </si>
  <si>
    <t xml:space="preserve">Mapeada en hiring-service/src/entities/documento.entity.ts:37 (Documento.archivoMimeType)</t>
  </si>
  <si>
    <t xml:space="preserve">Tipo MIME del archivo cargado (por ejemplo, application/pdf).</t>
  </si>
  <si>
    <t xml:space="preserve">nombre + varchar(120)</t>
  </si>
  <si>
    <t xml:space="preserve">C0470</t>
  </si>
  <si>
    <t xml:space="preserve">archivo_tamano</t>
  </si>
  <si>
    <t xml:space="preserve">Mapeada en hiring-service/src/entities/documento.entity.ts:40 (Documento.archivoTamano)</t>
  </si>
  <si>
    <t xml:space="preserve">Tamaño del archivo cargado, en bytes.</t>
  </si>
  <si>
    <t xml:space="preserve">nombre + bigint</t>
  </si>
  <si>
    <t xml:space="preserve">¿La unidad es bytes?</t>
  </si>
  <si>
    <t xml:space="preserve">C0471</t>
  </si>
  <si>
    <t xml:space="preserve">hash_sha256</t>
  </si>
  <si>
    <t xml:space="preserve">hiring-service/src/entities/documento.entity.ts:44: Integridad probatoria: el expediente es prueba ante entes de control. | db/migrations/hiring/003_estudio_previo.sql:100: Integridad probatoria: el expediente es prueba ante entes de control</t>
  </si>
  <si>
    <t xml:space="preserve">Hash SHA-256 del contenido del documento, en 64 caracteres hexadecimales, para garantizar la integridad probatoria del expediente ante entes de control.</t>
  </si>
  <si>
    <t xml:space="preserve">código: hiring-service/src/entities/documento.entity.ts:44; db/migrations/hiring/003_estudio_previo.sql:100</t>
  </si>
  <si>
    <t xml:space="preserve">C0472</t>
  </si>
  <si>
    <t xml:space="preserve">Mapeada en hiring-service/src/entities/documento.entity.ts:47 (Documento.version) | Validación: IsInt, IsOptional, Min(1)</t>
  </si>
  <si>
    <t xml:space="preserve">C0473</t>
  </si>
  <si>
    <t xml:space="preserve">subido_por</t>
  </si>
  <si>
    <t xml:space="preserve">Mapeada en hiring-service/src/entities/documento.entity.ts:50 (Documento.subidoPor)</t>
  </si>
  <si>
    <t xml:space="preserve">Usuario que realizó la carga.</t>
  </si>
  <si>
    <t xml:space="preserve">C0474</t>
  </si>
  <si>
    <t xml:space="preserve">documentos_proceso</t>
  </si>
  <si>
    <t xml:space="preserve">ix_documentos_proceso_proceso, uq_documento_proceso_vigente</t>
  </si>
  <si>
    <t xml:space="preserve">Mapeada en hiring-service/src/entities/documento-proceso.entity.ts:19 (DocumentoProceso.numeral) | Validación: IsNotEmpty, IsOptional, IsString, MaxLength(20)</t>
  </si>
  <si>
    <t xml:space="preserve">Numeral de la actividad de la matriz de flujo a la que corresponde el documento del proceso.</t>
  </si>
  <si>
    <t xml:space="preserve">nombre + índices ix_documentos_proceso_proceso, uq_documento_proceso_vigente</t>
  </si>
  <si>
    <t xml:space="preserve">C0475</t>
  </si>
  <si>
    <t xml:space="preserve">uq_documento_proceso_vigente</t>
  </si>
  <si>
    <t xml:space="preserve">hiring-service/src/entities/documento-proceso.entity.ts:23: Código del requisito en documentos_requeridos. | Validación: IsNotEmpty, IsNotEmpty({ message: 'La tipología necesita un código' }), IsOptional, IsString, MaxLength(40), MaxLength(60)</t>
  </si>
  <si>
    <t xml:space="preserve">Código del requisito de documentos_requeridos que cubre el documento cargado por el proceso.</t>
  </si>
  <si>
    <t xml:space="preserve">código: hiring-service/src/entities/documento-proceso.entity.ts:23</t>
  </si>
  <si>
    <t xml:space="preserve">C0476</t>
  </si>
  <si>
    <t xml:space="preserve">Mapeada en hiring-service/src/entities/documento-proceso.entity.ts:29 (DocumentoProceso.cargadoPor)</t>
  </si>
  <si>
    <t xml:space="preserve">C0477</t>
  </si>
  <si>
    <t xml:space="preserve">db/migrations/hiring/019_documentos_del_proceso.sql:59: Un documento sustituido no se borra: el expediente es prueba ante entes de control, y saber que hubo una versión anterior es parte de lo que prueba.</t>
  </si>
  <si>
    <t xml:space="preserve">Fecha y hora de anulación del documento del proceso. Un documento sustituido no se borra: se anula y se carga otro, y la versión anterior queda en el expediente.</t>
  </si>
  <si>
    <t xml:space="preserve">código: db/migrations/hiring/019_documentos_del_proceso.sql:59</t>
  </si>
  <si>
    <t xml:space="preserve">C0478</t>
  </si>
  <si>
    <t xml:space="preserve">Mapeada en hiring-service/src/entities/documento-proceso.entity.ts:38 (DocumentoProceso.anuladoPor)</t>
  </si>
  <si>
    <t xml:space="preserve">C0479</t>
  </si>
  <si>
    <t xml:space="preserve">documentos_requeridos</t>
  </si>
  <si>
    <t xml:space="preserve">uq_documento_requerido</t>
  </si>
  <si>
    <t xml:space="preserve">hiring-service/src/entities/documento-requerido.entity.ts:25: Actividad de la matriz que lo exige, p. ej. '5.1'. | Validación: IsNotEmpty, IsOptional, IsString, MaxLength(20)</t>
  </si>
  <si>
    <t xml:space="preserve">Numeral de la actividad de la matriz de flujo que exige el documento (por ejemplo, 5.1).</t>
  </si>
  <si>
    <t xml:space="preserve">código: hiring-service/src/entities/documento-requerido.entity.ts:25</t>
  </si>
  <si>
    <t xml:space="preserve">C0480</t>
  </si>
  <si>
    <t xml:space="preserve">hiring-service/src/entities/documento-requerido.entity.ts:29: Identificador de negocio: AVISO_CONVOCATORIA, PROYECTO_PLIEGO… | Validación: IsNotEmpty, IsNotEmpty({ message: 'La tipología necesita un código' }), IsOptional, IsString, MaxLength(40), MaxLength(60)</t>
  </si>
  <si>
    <t xml:space="preserve">Código de negocio del documento requerido (por ejemplo, AVISO_CONVOCATORIA o PROYECTO_PLIEGO).</t>
  </si>
  <si>
    <t xml:space="preserve">código: hiring-service/src/entities/documento-requerido.entity.ts:29</t>
  </si>
  <si>
    <t xml:space="preserve">C0481</t>
  </si>
  <si>
    <t xml:space="preserve">Mapeada en hiring-service/src/entities/documento-requerido.entity.ts:32 (DocumentoRequerido.nombre) | Validación: IsNotEmpty, IsNotEmpty({ message: 'Cada miembro necesita el nombre con el que se le designa' }), IsNotEmpty({ message: 'El nombre de la MIPYME es obligatorio' }), IsNotEmpty({ message: 'Indica el nombre o la razón social del oferente' }), IsNotEmpty({ message: 'La tipología necesita un nombre' }), IsNotEmpty({ message: 'Registra el nombre de quien se designa como supervisor' })</t>
  </si>
  <si>
    <t xml:space="preserve">Nombre del registro de documentos_requeridos.</t>
  </si>
  <si>
    <t xml:space="preserve">C0482</t>
  </si>
  <si>
    <t xml:space="preserve">Mapeada en hiring-service/src/entities/documento-requerido.entity.ts:35 (DocumentoRequerido.descripcion) | Validación: IsNotEmpty({ message: 'Describe el entregable' }), IsNotEmpty({ message: 'Describe la pieza: una lista de archivos sin decir cuál es cuál no documenta nada' }), IsNotEmpty({ message: 'Describe qué acredita el soporte' }), IsOptional, IsString, MaxLength(1000)</t>
  </si>
  <si>
    <t xml:space="preserve">Descripción del registro de documentos_requeridos.</t>
  </si>
  <si>
    <t xml:space="preserve">C0483</t>
  </si>
  <si>
    <t xml:space="preserve">modalidades</t>
  </si>
  <si>
    <t xml:space="preserve">hiring-service/src/entities/documento-requerido.entity.ts:39: Códigos de modalidad a los que aplica; vacío = todas. | db/migrations/hiring/019_documentos_del_proceso.sql:29: Códigos de modalidad a las que aplica. Vacío = todas, misma convención que el resto del módulo. | Validación: IsArray, IsOptional, IsString({ each: true })</t>
  </si>
  <si>
    <t xml:space="preserve">Códigos de las modalidades de contratación en las que se exige el documento, como lista en formato JSON; una lista vacía significa que aplica a todas.</t>
  </si>
  <si>
    <t xml:space="preserve">código: hiring-service/src/entities/documento-requerido.entity.ts:39; db/migrations/hiring/019_documentos_del_proceso.sql:29</t>
  </si>
  <si>
    <t xml:space="preserve">C0484</t>
  </si>
  <si>
    <t xml:space="preserve">Mapeada en hiring-service/src/entities/documento-requerido.entity.ts:61 (DocumentoRequerido.obligatorio) | Validación: IsBoolean, IsOptional</t>
  </si>
  <si>
    <t xml:space="preserve">C0485</t>
  </si>
  <si>
    <t xml:space="preserve">Mapeada en hiring-service/src/entities/documento-requerido.entity.ts:71 (DocumentoRequerido.orden) | Validación: IsInt, IsOptional, Min(0), Min(1)</t>
  </si>
  <si>
    <t xml:space="preserve">C0486</t>
  </si>
  <si>
    <t xml:space="preserve">Mapeada en hiring-service/src/entities/documento-requerido.entity.ts:74 (DocumentoRequerido.activo) | Validación: IsBoolean, IsOptional</t>
  </si>
  <si>
    <t xml:space="preserve">C0487</t>
  </si>
  <si>
    <t xml:space="preserve">entregables_informe</t>
  </si>
  <si>
    <t xml:space="preserve">character varying(500)</t>
  </si>
  <si>
    <t xml:space="preserve">Mapeada en hiring-service/src/entities/informe-final.entity.ts:104 (EntregableInforme.descripcion) | Validación: IsNotEmpty({ message: 'Describe el entregable' }), IsNotEmpty({ message: 'Describe la pieza: una lista de archivos sin decir cuál es cuál no documenta nada' }), IsNotEmpty({ message: 'Describe qué acredita el soporte' }), IsOptional, IsString, MaxLength(1000)</t>
  </si>
  <si>
    <t xml:space="preserve">Descripción del registro de entregables_informe.</t>
  </si>
  <si>
    <t xml:space="preserve">C0488</t>
  </si>
  <si>
    <t xml:space="preserve">fecha_entrega</t>
  </si>
  <si>
    <t xml:space="preserve">hiring-service/src/entities/informe-final.entity.ts:113: Cuándo se recibió. Nula cuando el entregable se pactó y no se cumplió: el informe final también sirve para decir qué faltó. | db/migrations/hiring/044_informe_final_de_ejecucion.sql:80: Cuándo se recibió. Nula cuando el entregable se pactó y no se cumplió: el informe final también sirve para decir qué faltó. | Validación: IsDateString({}, { message: 'La fecha de entrega debe tener el formato YYYY-MM-DD' }), IsOptional</t>
  </si>
  <si>
    <t xml:space="preserve">Fecha en que se recibió el entregable. Vacía cuando el entregable se pactó y no se cumplió.</t>
  </si>
  <si>
    <t xml:space="preserve">código: hiring-service/src/entities/informe-final.entity.ts:113; db/migrations/hiring/044_informe_final_de_ejecucion.sql:80</t>
  </si>
  <si>
    <t xml:space="preserve">C0489</t>
  </si>
  <si>
    <t xml:space="preserve">Mapeada en hiring-service/src/entities/informe-final.entity.ts:116 (EntregableInforme.observacion) | Validación: IsOptional, IsString, MaxLength(1000), MaxLength(2000), MaxLength(2000, { message: 'La observación del informe no puede pasar de 2000 caracteres' })</t>
  </si>
  <si>
    <t xml:space="preserve">Observación registrada sobre el registro.</t>
  </si>
  <si>
    <t xml:space="preserve">C0490</t>
  </si>
  <si>
    <t xml:space="preserve">evidencias_evaluacion</t>
  </si>
  <si>
    <t xml:space="preserve">hiring-service/src/entities/evidencia-evaluacion.entity.ts:23: Qué es lo que se cargó: una lista de archivos sin decir cuál es cuál no sustenta nada. | db/migrations/hiring/038_evaluacion_por_fuera.sql:135: Qué es lo que se está cargando. Obligatoria: una lista de archivos sin decir cuál es cuál no sustenta nada. | Validación: IsNotEmpty({ message: 'Describe el entregable' }), IsNotEmpty({ message: 'Describe la pieza: una lista de archivos sin decir cuál es cuál no documenta nada' }), IsNotEmpty({ message: 'Describe qué acredita el soporte' }), IsOptional, IsString, MaxLength(1000)</t>
  </si>
  <si>
    <t xml:space="preserve">Descripción obligatoria de lo que se carga como evidencia de la evaluación del comité (por ejemplo, verificación jurídica, cuadro comparativo o acta de reunión) (EFDS-1157).</t>
  </si>
  <si>
    <t xml:space="preserve">código: hiring-service/src/entities/evidencia-evaluacion.entity.ts:23; db/migrations/hiring/038_evaluacion_por_fuera.sql:135; nota: ejemplos de la documentación de la entidad</t>
  </si>
  <si>
    <t xml:space="preserve">C0491</t>
  </si>
  <si>
    <t xml:space="preserve">cargada_por</t>
  </si>
  <si>
    <t xml:space="preserve">Mapeada en hiring-service/src/entities/evidencia-evaluacion.entity.ts:26 (EvidenciaEvaluacion.cargadaPor)</t>
  </si>
  <si>
    <t xml:space="preserve">C0492</t>
  </si>
  <si>
    <t xml:space="preserve">expedientes</t>
  </si>
  <si>
    <t xml:space="preserve">numero_expediente</t>
  </si>
  <si>
    <t xml:space="preserve">expedientes_numero_expediente_key</t>
  </si>
  <si>
    <t xml:space="preserve">Mapeada en hiring-service/src/entities/expediente.entity.ts:53 (Expediente.numeroExpediente)</t>
  </si>
  <si>
    <t xml:space="preserve">Número único del expediente contractual.</t>
  </si>
  <si>
    <t xml:space="preserve">C0493</t>
  </si>
  <si>
    <t xml:space="preserve">ABIERTO, ARCHIVADO</t>
  </si>
  <si>
    <t xml:space="preserve">ix_expedientes_estado</t>
  </si>
  <si>
    <t xml:space="preserve">Mapeada en hiring-service/src/entities/expediente.entity.ts:56 (Expediente.estado)</t>
  </si>
  <si>
    <t xml:space="preserve">Estado del registro de expedientes.</t>
  </si>
  <si>
    <t xml:space="preserve">C0494</t>
  </si>
  <si>
    <t xml:space="preserve">Mapeada en hiring-service/src/entities/expediente.entity.ts:59 (Expediente.fechaApertura)</t>
  </si>
  <si>
    <t xml:space="preserve">C0495</t>
  </si>
  <si>
    <t xml:space="preserve">archivado_at</t>
  </si>
  <si>
    <t xml:space="preserve">hiring-service/src/entities/expediente.entity.ts:64: ------------------------------------------------------------ archivo --</t>
  </si>
  <si>
    <t xml:space="preserve">Fecha y hora en que se archivó el expediente electrónico del proceso (RF-SIS-04).</t>
  </si>
  <si>
    <t xml:space="preserve">código: hiring-service/src/entities/expediente.entity.ts:64; nota: el comentario solo marca la sección de archivo</t>
  </si>
  <si>
    <t xml:space="preserve">¿La fecha corresponde al trámite del archivo documental en Active Document o al cierre del expediente en la plataforma?</t>
  </si>
  <si>
    <t xml:space="preserve">C0496</t>
  </si>
  <si>
    <t xml:space="preserve">archivado_por</t>
  </si>
  <si>
    <t xml:space="preserve">hiring-service/src/entities/expediente.entity.ts:67: ------------------------------------------------------------ archivo --</t>
  </si>
  <si>
    <t xml:space="preserve">Usuario que archivó el expediente.</t>
  </si>
  <si>
    <t xml:space="preserve">nombre + tipo + propuesta por regla</t>
  </si>
  <si>
    <t xml:space="preserve">C0497</t>
  </si>
  <si>
    <t xml:space="preserve">radicado_active_document</t>
  </si>
  <si>
    <t xml:space="preserve">hiring-service/src/entities/expediente.entity.ts:81: El radicado que devuelve Active Document, transcrito. No hay integración (RF-SIS-04), igual que con SECOP II y KLIC en el resto del módulo: mientras no exista, es la única prueba de que el archivo documental se tramitó. | db/migrations/hiring/047_publicacion_acta_y_archivo.sql:132: El radicado que devuelve Active Document, transcrito. Mientras no exista la integración es la única prueba de que el archivo documental se tramitó. | Validación: IsOptional, IsString, MaxLength(120)</t>
  </si>
  <si>
    <t xml:space="preserve">Radicado que devuelve el sistema de gestión documental Active Document, transcrito manualmente porque no hay integración; es la prueba de que el archivo documental se tramitó (RF-SIS-04).</t>
  </si>
  <si>
    <t xml:space="preserve">código: hiring-service/src/entities/expediente.entity.ts:81; db/migrations/hiring/047_publicacion_acta_y_archivo.sql:132</t>
  </si>
  <si>
    <t xml:space="preserve">C0498</t>
  </si>
  <si>
    <t xml:space="preserve">observaciones_archivo</t>
  </si>
  <si>
    <t xml:space="preserve">hiring-service/src/entities/expediente.entity.ts:84: ------------------------------------------------------------ archivo --</t>
  </si>
  <si>
    <t xml:space="preserve">Observaciones registradas al archivar el expediente.</t>
  </si>
  <si>
    <t xml:space="preserve">nombre + tipo + columnas vecinas</t>
  </si>
  <si>
    <t xml:space="preserve">C0499</t>
  </si>
  <si>
    <t xml:space="preserve">reabierto_at</t>
  </si>
  <si>
    <t xml:space="preserve">hiring-service/src/entities/expediente.entity.ts:90: La última reapertura; el historial completo vive en trazabilidad. | db/migrations/hiring/047_publicacion_acta_y_archivo.sql:137: La reapertura: un expediente archivado que hay que volver a mover. Se guarda la última, porque el historial completo vive en trazabilidad.</t>
  </si>
  <si>
    <t xml:space="preserve">Fecha y hora de la última reapertura del expediente archivado; el historial completo está en trazabilidad. Si tiene valor, motivo_reapertura es obligatorio.</t>
  </si>
  <si>
    <t xml:space="preserve">código: hiring-service/src/entities/expediente.entity.ts:90; db/migrations/hiring/047_publicacion_acta_y_archivo.sql:137</t>
  </si>
  <si>
    <t xml:space="preserve">C0500</t>
  </si>
  <si>
    <t xml:space="preserve">reabierto_por</t>
  </si>
  <si>
    <t xml:space="preserve">hiring-service/src/entities/expediente.entity.ts:93: ------------------------------------------------------------ archivo --</t>
  </si>
  <si>
    <t xml:space="preserve">Usuario que reabrió el expediente.</t>
  </si>
  <si>
    <t xml:space="preserve">C0501</t>
  </si>
  <si>
    <t xml:space="preserve">motivo_reapertura</t>
  </si>
  <si>
    <t xml:space="preserve">hiring-service/src/entities/expediente.entity.ts:96: ------------------------------------------------------------ archivo --</t>
  </si>
  <si>
    <t xml:space="preserve">Motivo de la reapertura del expediente.</t>
  </si>
  <si>
    <t xml:space="preserve">C0502</t>
  </si>
  <si>
    <t xml:space="preserve">firmas_contrato</t>
  </si>
  <si>
    <t xml:space="preserve">parte</t>
  </si>
  <si>
    <t xml:space="preserve">CONTRATISTA, ORDENADOR</t>
  </si>
  <si>
    <t xml:space="preserve">uq_firma_parte</t>
  </si>
  <si>
    <t xml:space="preserve">db/migrations/hiring/036_suscripcion_contrato.sql:25: Quién firma: la entidad o el contratista. Son las dos partes del vínculo y el contrato no se perfecciona hasta que están ambas. | Validación: IsIn(['ORDENADOR', 'CONTRATISTA'], {
    message: 'La parte que firma es ORDENADOR o CONTRATISTA',
  })</t>
  </si>
  <si>
    <t xml:space="preserve">Parte del contrato que firma: ORDENADOR (la entidad) o CONTRATISTA. El contrato no se perfecciona hasta que firman ambas (EFDS-1162).</t>
  </si>
  <si>
    <t xml:space="preserve">código: db/migrations/hiring/036_suscripcion_contrato.sql:25</t>
  </si>
  <si>
    <t xml:space="preserve">C0503</t>
  </si>
  <si>
    <t xml:space="preserve">firmante_nombre</t>
  </si>
  <si>
    <t xml:space="preserve">hiring-service/src/entities/firma-contrato.entity.ts:31: Quien firma. Se copia: la firma dice quién firmó ese día. | db/migrations/hiring/036_suscripcion_contrato.sql:30: Nombre de quien firma. Para el ordenador es quien ejerce la competencia ese día; para el contratista, su representante. Se copia y no se referencia por la misma razón que en el contrato: la firma dice quién firmó entonces. | Validación: IsNotEmpty({ message: 'Registra el nombre de quien firma' }), IsString, MaxLength(300)</t>
  </si>
  <si>
    <t xml:space="preserve">Nombre de quien firma, copiado al registrar: por el ordenador, quien ejerce la competencia ese día; por el contratista, su representante.</t>
  </si>
  <si>
    <t xml:space="preserve">código: hiring-service/src/entities/firma-contrato.entity.ts:31; db/migrations/hiring/036_suscripcion_contrato.sql:30</t>
  </si>
  <si>
    <t xml:space="preserve">C0504</t>
  </si>
  <si>
    <t xml:space="preserve">firmante_documento</t>
  </si>
  <si>
    <t xml:space="preserve">Mapeada en hiring-service/src/entities/firma-contrato.entity.ts:34 (FirmaContrato.firmanteDocumento) | Validación: IsOptional, IsString, MaxLength(40)</t>
  </si>
  <si>
    <t xml:space="preserve">Número del documento de identificación de la persona que firma.</t>
  </si>
  <si>
    <t xml:space="preserve">nombre + varchar(40)</t>
  </si>
  <si>
    <t xml:space="preserve">C0505</t>
  </si>
  <si>
    <t xml:space="preserve">hiring-service/src/entities/firma-contrato.entity.ts:41: La cuenta que registró la firma, que puede no ser la del firmante: el gestor registra la del contratista con su evidencia. | db/migrations/hiring/036_suscripcion_contrato.sql:35: La cuenta que registró la firma, que puede no ser la del firmante: el gestor registra la del contratista con su evidencia. Separarlas es lo que permite saber después quién firmó y quién lo anotó.</t>
  </si>
  <si>
    <t xml:space="preserve">Cuenta que registró la firma, que puede no ser la del firmante (por ejemplo, el gestor registra la del contratista con su evidencia).</t>
  </si>
  <si>
    <t xml:space="preserve">código: hiring-service/src/entities/firma-contrato.entity.ts:41; db/migrations/hiring/036_suscripcion_contrato.sql:35</t>
  </si>
  <si>
    <t xml:space="preserve">C0506</t>
  </si>
  <si>
    <t xml:space="preserve">fecha_firma</t>
  </si>
  <si>
    <t xml:space="preserve">hiring-service/src/entities/firma-contrato.entity.ts:45: La del acto, no la del registro. | db/migrations/hiring/036_suscripcion_contrato.sql:38: La del acto, no la del registro. | Validación: IsDateString({}, { message: 'La fecha de la firma debe tener el formato YYYY-MM-DD' }), IsISO8601</t>
  </si>
  <si>
    <t xml:space="preserve">Fecha del acto de firma, no la del registro. Formato YYYY-MM-DD.</t>
  </si>
  <si>
    <t xml:space="preserve">código: hiring-service/src/entities/firma-contrato.entity.ts:45; db/migrations/hiring/036_suscripcion_contrato.sql:38</t>
  </si>
  <si>
    <t xml:space="preserve">C0507</t>
  </si>
  <si>
    <t xml:space="preserve">hash_documento</t>
  </si>
  <si>
    <t xml:space="preserve">db/migrations/hiring/036_suscripcion_contrato.sql:45: Hash del documento firmado, para poder demostrar que no cambió después.</t>
  </si>
  <si>
    <t xml:space="preserve">Hash del documento firmado, en 64 caracteres hexadecimales, para demostrar que no cambió después de la firma.</t>
  </si>
  <si>
    <t xml:space="preserve">código: db/migrations/hiring/036_suscripcion_contrato.sql:45</t>
  </si>
  <si>
    <t xml:space="preserve">¿Se usa SHA-256, como en hiring.documentos?</t>
  </si>
  <si>
    <t xml:space="preserve">C0508</t>
  </si>
  <si>
    <t xml:space="preserve">garantias</t>
  </si>
  <si>
    <t xml:space="preserve">aseguradora</t>
  </si>
  <si>
    <t xml:space="preserve">Mapeada en hiring-service/src/entities/garantia.entity.ts:20 (Garantia.aseguradora) | Validación: IsNotEmpty({ message: 'Registra la aseguradora que expide la póliza' }), IsString, MaxLength(200)</t>
  </si>
  <si>
    <t xml:space="preserve">Nombre de la compañía aseguradora que expidió la póliza.</t>
  </si>
  <si>
    <t xml:space="preserve">C0509</t>
  </si>
  <si>
    <t xml:space="preserve">numero_poliza</t>
  </si>
  <si>
    <t xml:space="preserve">uq_garantia_poliza_vigente</t>
  </si>
  <si>
    <t xml:space="preserve">Mapeada en hiring-service/src/entities/garantia.entity.ts:23 (Garantia.numeroPoliza) | Validación: IsNotEmpty({ message: 'Registra el número de la póliza' }), IsString, MaxLength(80)</t>
  </si>
  <si>
    <t xml:space="preserve">Número de la póliza de garantía.</t>
  </si>
  <si>
    <t xml:space="preserve">nombre + índice uq_garantia_poliza_vigente</t>
  </si>
  <si>
    <t xml:space="preserve">C0510</t>
  </si>
  <si>
    <t xml:space="preserve">APROBADA, CARGADA, RECHAZADA</t>
  </si>
  <si>
    <t xml:space="preserve">Mapeada en hiring-service/src/entities/garantia.entity.ts:30 (Garantia.estado)</t>
  </si>
  <si>
    <t xml:space="preserve">Estado del registro de garantias.</t>
  </si>
  <si>
    <t xml:space="preserve">C0511</t>
  </si>
  <si>
    <t xml:space="preserve">Mapeada en hiring-service/src/entities/garantia.entity.ts:33 (Garantia.cargadaPor)</t>
  </si>
  <si>
    <t xml:space="preserve">C0512</t>
  </si>
  <si>
    <t xml:space="preserve">revisada_por</t>
  </si>
  <si>
    <t xml:space="preserve">db/migrations/hiring/037_polizas_garantias_arl.sql:67: La revisión que pide el criterio 1. Quién aprobó o rechazó y cuándo: es lo que separa una garantía revisada de una simplemente adjuntada.</t>
  </si>
  <si>
    <t xml:space="preserve">Usuario que aprobó o rechazó la garantía en su revisión.</t>
  </si>
  <si>
    <t xml:space="preserve">código: db/migrations/hiring/037_polizas_garantias_arl.sql:67</t>
  </si>
  <si>
    <t xml:space="preserve">C0513</t>
  </si>
  <si>
    <t xml:space="preserve">revisada_at</t>
  </si>
  <si>
    <t xml:space="preserve">Mapeada en hiring-service/src/entities/garantia.entity.ts:42 (Garantia.revisadaAt)</t>
  </si>
  <si>
    <t xml:space="preserve">C0514</t>
  </si>
  <si>
    <t xml:space="preserve">Mapeada en hiring-service/src/entities/garantia.entity.ts:45 (Garantia.motivoRechazo)</t>
  </si>
  <si>
    <t xml:space="preserve">C0515</t>
  </si>
  <si>
    <t xml:space="preserve">informes_definitivos</t>
  </si>
  <si>
    <t xml:space="preserve">Mapeada en hiring-service/src/entities/informe-definitivo.entity.ts:59 (InformeDefinitivo.resultado)</t>
  </si>
  <si>
    <t xml:space="preserve">Resultado de la evaluación definitiva, en formato JSON, congelado al generar el informe.</t>
  </si>
  <si>
    <t xml:space="preserve">¿Qué estructura tiene el JSON (oferentes, puntajes, orden de elegibilidad)?</t>
  </si>
  <si>
    <t xml:space="preserve">C0516</t>
  </si>
  <si>
    <t xml:space="preserve">cambios</t>
  </si>
  <si>
    <t xml:space="preserve">db/migrations/hiring/040_adjudicacion.sql:171: Qué cambió respecto del preliminar: qué se aceptó y si el comité rectificó. Se guarda resuelto y no se deduce comparando dos jsonb a mano, porque es la pregunta que el expediente tiene que responder solo.</t>
  </si>
  <si>
    <t xml:space="preserve">Cambios del informe definitivo respecto del preliminar, en formato JSON: qué subsanaciones se aceptaron y si el comité rectificó. Se guarda resuelto (EFDS-1159).</t>
  </si>
  <si>
    <t xml:space="preserve">código: db/migrations/hiring/040_adjudicacion.sql:171</t>
  </si>
  <si>
    <t xml:space="preserve">¿Qué estructura tiene el JSON de cambios?</t>
  </si>
  <si>
    <t xml:space="preserve">C0517</t>
  </si>
  <si>
    <t xml:space="preserve">Mapeada en hiring-service/src/entities/informe-definitivo.entity.ts:65 (InformeDefinitivo.ofertasRecibidas)</t>
  </si>
  <si>
    <t xml:space="preserve">Número de ofertas recibidas en el proceso.</t>
  </si>
  <si>
    <t xml:space="preserve">nombre + integer con defecto 0</t>
  </si>
  <si>
    <t xml:space="preserve">C0518</t>
  </si>
  <si>
    <t xml:space="preserve">ANULADO, BORRADOR, PUBLICADO</t>
  </si>
  <si>
    <t xml:space="preserve">Mapeada en hiring-service/src/entities/informe-definitivo.entity.ts:68 (InformeDefinitivo.estado)</t>
  </si>
  <si>
    <t xml:space="preserve">Estado del registro de informes_definitivos.</t>
  </si>
  <si>
    <t xml:space="preserve">C0519</t>
  </si>
  <si>
    <t xml:space="preserve">Mapeada en hiring-service/src/entities/informe-definitivo.entity.ts:78 (InformeDefinitivo.generadoPor)</t>
  </si>
  <si>
    <t xml:space="preserve">C0520</t>
  </si>
  <si>
    <t xml:space="preserve">Mapeada en hiring-service/src/entities/informe-definitivo.entity.ts:81 (InformeDefinitivo.generadoAt)</t>
  </si>
  <si>
    <t xml:space="preserve">C0521</t>
  </si>
  <si>
    <t xml:space="preserve">publicado_por</t>
  </si>
  <si>
    <t xml:space="preserve">Mapeada en hiring-service/src/entities/informe-definitivo.entity.ts:84 (InformeDefinitivo.publicadoPor)</t>
  </si>
  <si>
    <t xml:space="preserve">C0522</t>
  </si>
  <si>
    <t xml:space="preserve">Mapeada en hiring-service/src/entities/informe-definitivo.entity.ts:87 (InformeDefinitivo.publicadoAt)</t>
  </si>
  <si>
    <t xml:space="preserve">C0523</t>
  </si>
  <si>
    <t xml:space="preserve">Mapeada en hiring-service/src/entities/informe-definitivo.entity.ts:90 (InformeDefinitivo.anuladoAt)</t>
  </si>
  <si>
    <t xml:space="preserve">C0524</t>
  </si>
  <si>
    <t xml:space="preserve">Mapeada en hiring-service/src/entities/informe-definitivo.entity.ts:93 (InformeDefinitivo.motivoAnulacion)</t>
  </si>
  <si>
    <t xml:space="preserve">C0525</t>
  </si>
  <si>
    <t xml:space="preserve">informes_evaluacion</t>
  </si>
  <si>
    <t xml:space="preserve">uq_informe_numero</t>
  </si>
  <si>
    <t xml:space="preserve">hiring-service/src/entities/informe-evaluacion.entity.ts:78: Consecutivo dentro del proceso: un informe anulado y su reemplazo. | db/migrations/hiring/039_traslado_y_subsanaciones.sql:75: Consecutivo dentro del proceso: si un informe se anula y se traslada otro, los dos quedan en el expediente y se distinguen por su número. | Validación: IsNotEmpty({ message: 'El contrato necesita el número con el que la entidad lo identifica' }), IsNotEmpty({ message: 'El número del CDP es obligatorio' }), IsNotEmpty({ message: 'El registro presupuestal necesita su número' }), IsNotEmpty({ message: 'Registra el número de la modificación' }), IsNotEmpty({ message: 'Registra el número de la resolución' }), IsNotEmpty({ message: 'Registra el número' })</t>
  </si>
  <si>
    <t xml:space="preserve">Número consecutivo del informe de evaluación dentro del proceso; distingue un informe anulado de su reemplazo.</t>
  </si>
  <si>
    <t xml:space="preserve">código: hiring-service/src/entities/informe-evaluacion.entity.ts:78; db/migrations/hiring/039_traslado_y_subsanaciones.sql:75</t>
  </si>
  <si>
    <t xml:space="preserve">C0526</t>
  </si>
  <si>
    <t xml:space="preserve">db/migrations/hiring/039_traslado_y_subsanaciones.sql:91: El resultado tal como estaba al generarlo: la ganadora, su valoración, la justificación, las evidencias que la sustentan y las ofertas recibidas. En jsonb y no leyéndolo por la FK a propósito. La FK dice cuál resultado se trasladó; el jsonb dice cómo se veía ese día. Si el comité rectifica —y rectif</t>
  </si>
  <si>
    <t xml:space="preserve">Resultado de la evaluación tal como estaba al generar el informe, en formato JSON: la oferta ganadora, su valoración, la justificación, las evidencias y las ofertas recibidas. No cambia si el comité rectifica después (EFDS-1158).</t>
  </si>
  <si>
    <t xml:space="preserve">código: db/migrations/hiring/039_traslado_y_subsanaciones.sql:91</t>
  </si>
  <si>
    <t xml:space="preserve">C0527</t>
  </si>
  <si>
    <t xml:space="preserve">hiring-service/src/entities/informe-evaluacion.entity.ts:102: Cuántas ofertas había recibido el proceso al generarlo. Sale del resultado, pero se guarda aparte porque es la pregunta que decide si el proceso sigue o se declara desierto, y no se responde escarbando un jsonb. No es "habilitadas": quién queda habilitado lo decide el comité por fuera y la plataform | db/migrations/hiring/039_traslado_y_subsanaciones.sql:98: Cuántas ofertas había recibido el proceso al generarlo. Sale del resultado, pero se guarda aparte porque es la pregunta que decide si el proceso sigue o se declara desierto (EFDS-1160), y no se responde escarbando un jsonb. No es "habilitadas": quién queda habilitado lo decide el comité por fuera y </t>
  </si>
  <si>
    <t xml:space="preserve">Número de ofertas recibidas por el proceso al generar el informe; no son las habilitadas. Decide si el proceso sigue o se declara desierto (EFDS-1160).</t>
  </si>
  <si>
    <t xml:space="preserve">código: hiring-service/src/entities/informe-evaluacion.entity.ts:102; db/migrations/hiring/039_traslado_y_subsanaciones.sql:98</t>
  </si>
  <si>
    <t xml:space="preserve">C0528</t>
  </si>
  <si>
    <t xml:space="preserve">observacion_entidad</t>
  </si>
  <si>
    <t xml:space="preserve">hiring-service/src/entities/informe-evaluacion.entity.ts:110: Lo que la entidad advierte sobre el informe, aparte de lo que trajo el comité. Columna propia y no dentro del jsonb: el jsonb es la copia de lo que dijo el comité, y esto lo dice la entidad. | db/migrations/hiring/039_traslado_y_subsanaciones.sql:104: Lo que la entidad quiera advertir sobre el informe, aparte de lo que trajo el comité: una modalidad sin puntaje, una oferta retirada. Va en columna propia y no dentro del jsonb porque el jsonb es la copia de lo que dijo el comité, y esto lo dice la entidad.</t>
  </si>
  <si>
    <t xml:space="preserve">Advertencia de la entidad sobre el informe, distinta de lo que reportó el comité (por ejemplo, una modalidad sin puntaje o una oferta retirada).</t>
  </si>
  <si>
    <t xml:space="preserve">código: hiring-service/src/entities/informe-evaluacion.entity.ts:110; db/migrations/hiring/039_traslado_y_subsanaciones.sql:104</t>
  </si>
  <si>
    <t xml:space="preserve">¿La observación se publica con el informe o es interna?</t>
  </si>
  <si>
    <t xml:space="preserve">C0529</t>
  </si>
  <si>
    <t xml:space="preserve">ANULADO, BORRADOR, CERRADO, TRASLADADO</t>
  </si>
  <si>
    <t xml:space="preserve">Mapeada en hiring-service/src/entities/informe-evaluacion.entity.ts:113 (InformeEvaluacion.estado)</t>
  </si>
  <si>
    <t xml:space="preserve">Estado del registro de informes_evaluacion.</t>
  </si>
  <si>
    <t xml:space="preserve">C0530</t>
  </si>
  <si>
    <t xml:space="preserve">Mapeada en hiring-service/src/entities/informe-evaluacion.entity.ts:123 (InformeEvaluacion.generadoPor)</t>
  </si>
  <si>
    <t xml:space="preserve">C0531</t>
  </si>
  <si>
    <t xml:space="preserve">Mapeada en hiring-service/src/entities/informe-evaluacion.entity.ts:126 (InformeEvaluacion.generadoAt)</t>
  </si>
  <si>
    <t xml:space="preserve">C0532</t>
  </si>
  <si>
    <t xml:space="preserve">trasladado_por</t>
  </si>
  <si>
    <t xml:space="preserve">Mapeada en hiring-service/src/entities/informe-evaluacion.entity.ts:129 (InformeEvaluacion.trasladadoPor)</t>
  </si>
  <si>
    <t xml:space="preserve">Usuario que dio traslado del informe de evaluación.</t>
  </si>
  <si>
    <t xml:space="preserve">C0533</t>
  </si>
  <si>
    <t xml:space="preserve">trasladado_at</t>
  </si>
  <si>
    <t xml:space="preserve">Mapeada en hiring-service/src/entities/informe-evaluacion.entity.ts:132 (InformeEvaluacion.trasladadoAt)</t>
  </si>
  <si>
    <t xml:space="preserve">Fecha y hora en que se dio traslado del informe de evaluación.</t>
  </si>
  <si>
    <t xml:space="preserve">nombre + timestamptz; los valores CERRADO, TRASLADADO vienen de un CHECK según el estado</t>
  </si>
  <si>
    <t xml:space="preserve">¿Es obligatoria cuando el estado es TRASLADADO o CERRADO?</t>
  </si>
  <si>
    <t xml:space="preserve">C0534</t>
  </si>
  <si>
    <t xml:space="preserve">plazo_dias_habiles</t>
  </si>
  <si>
    <t xml:space="preserve">hiring-service/src/entities/informe-evaluacion.entity.ts:136: Plazo aplicado, congelado al trasladar. | db/migrations/hiring/039_traslado_y_subsanaciones.sql:123: Se congelan el plazo aplicado y su vencimiento en vez de recalcularlos en cada consulta, igual que en las recepciones de ofertas (024): si mañana se corrige el plazo de la modalidad, los traslados en curso conservan el suyo.</t>
  </si>
  <si>
    <t xml:space="preserve">Plazo de traslado aplicado, en días hábiles, fijado al trasladar el informe; no cambia si después se corrige el plazo de la modalidad.</t>
  </si>
  <si>
    <t xml:space="preserve">código: hiring-service/src/entities/informe-evaluacion.entity.ts:136; db/migrations/hiring/039_traslado_y_subsanaciones.sql:123</t>
  </si>
  <si>
    <t xml:space="preserve">C0535</t>
  </si>
  <si>
    <t xml:space="preserve">vence_el</t>
  </si>
  <si>
    <t xml:space="preserve">hiring-service/src/entities/informe-evaluacion.entity.ts:145: Hasta cuándo se reciben subsanaciones, sin hora. A diferencia del plazo de ofertas, este término se cuenta en días hábiles y vence al final del día: `YYYY-MM-DD` como el resto de plazos del módulo. | db/migrations/hiring/039_traslado_y_subsanaciones.sql:126: Solo día, sin hora, a diferencia del plazo de ofertas: el término de traslado se cuenta en días hábiles y vence al final del día.</t>
  </si>
  <si>
    <t xml:space="preserve">Fecha hasta la que se reciben subsanaciones; el término se cuenta en días hábiles y vence al final del día. Se fija al trasladar el informe.</t>
  </si>
  <si>
    <t xml:space="preserve">código: hiring-service/src/entities/informe-evaluacion.entity.ts:145; db/migrations/hiring/039_traslado_y_subsanaciones.sql:126,123</t>
  </si>
  <si>
    <t xml:space="preserve">C0536</t>
  </si>
  <si>
    <t xml:space="preserve">Mapeada en hiring-service/src/entities/informe-evaluacion.entity.ts:148 (InformeEvaluacion.cerradoPor)</t>
  </si>
  <si>
    <t xml:space="preserve">C0537</t>
  </si>
  <si>
    <t xml:space="preserve">cerrado_at</t>
  </si>
  <si>
    <t xml:space="preserve">Mapeada en hiring-service/src/entities/informe-evaluacion.entity.ts:151 (InformeEvaluacion.cerradoAt)</t>
  </si>
  <si>
    <t xml:space="preserve">C0538</t>
  </si>
  <si>
    <t xml:space="preserve">nota_cierre</t>
  </si>
  <si>
    <t xml:space="preserve">hiring-service/src/entities/informe-evaluacion.entity.ts:158: Lo que no cabe en las respuestas: que nadie presentó nada, o que el comité rectificó a raíz de una subsanación aceptada. | db/migrations/hiring/039_traslado_y_subsanaciones.sql:132: Lo que no cabe en las respuestas: que nadie presento nada, o que el comite rectifico a raiz de una subsanacion aceptada.</t>
  </si>
  <si>
    <t xml:space="preserve">Nota del cierre del traslado con lo que no cabe en las respuestas, por ejemplo, que nadie presentó subsanaciones o que el comité rectificó a raíz de una subsanación aceptada.</t>
  </si>
  <si>
    <t xml:space="preserve">código: hiring-service/src/entities/informe-evaluacion.entity.ts:158; db/migrations/hiring/039_traslado_y_subsanaciones.sql:132</t>
  </si>
  <si>
    <t xml:space="preserve">C0539</t>
  </si>
  <si>
    <t xml:space="preserve">Mapeada en hiring-service/src/entities/informe-evaluacion.entity.ts:161 (InformeEvaluacion.anuladoAt)</t>
  </si>
  <si>
    <t xml:space="preserve">C0540</t>
  </si>
  <si>
    <t xml:space="preserve">Mapeada en hiring-service/src/entities/informe-evaluacion.entity.ts:164 (InformeEvaluacion.motivoAnulacion)</t>
  </si>
  <si>
    <t xml:space="preserve">C0541</t>
  </si>
  <si>
    <t xml:space="preserve">informes_finales</t>
  </si>
  <si>
    <t xml:space="preserve">fecha_elaboracion</t>
  </si>
  <si>
    <t xml:space="preserve">db/migrations/hiring/044_informe_final_de_ejecucion.sql:24: La del informe, no la del registro. | Validación: IsDateString({}, { message: 'La fecha del informe debe tener el formato YYYY-MM-DD' })</t>
  </si>
  <si>
    <t xml:space="preserve">Fecha del informe final de ejecución, no la del registro (EFDS-1171).</t>
  </si>
  <si>
    <t xml:space="preserve">código: db/migrations/hiring/044_informe_final_de_ejecucion.sql:24</t>
  </si>
  <si>
    <t xml:space="preserve">C0542</t>
  </si>
  <si>
    <t xml:space="preserve">conclusion</t>
  </si>
  <si>
    <t xml:space="preserve">hiring-service/src/entities/informe-final.entity.ts:65: Lo que el supervisor concluye sobre la ejecución. Va aparte del documento porque es lo que la liquidación lee sin abrir el archivo. | db/migrations/hiring/044_informe_final_de_ejecucion.sql:28: Lo que el supervisor concluye sobre la ejecución. Va aparte del documento porque es lo que la liquidación lee sin abrir el PDF. | Validación: IsNotEmpty({ message: 'Escribe la conclusión sobre la ejecución del contrato' }), IsString, MaxLength(4000), MinLength(20, {
    message: 'La conclusión sustenta la liquidación: resume cómo se ejecutó el contrato',
  })</t>
  </si>
  <si>
    <t xml:space="preserve">Conclusión del supervisor sobre la ejecución del contrato; es lo que la liquidación consulta sin abrir el documento. Entre 20 y 4.000 caracteres.</t>
  </si>
  <si>
    <t xml:space="preserve">código: hiring-service/src/entities/informe-final.entity.ts:65; db/migrations/hiring/044_informe_final_de_ejecucion.sql:28; nota: longitudes de las validaciones DTO</t>
  </si>
  <si>
    <t xml:space="preserve">C0543</t>
  </si>
  <si>
    <t xml:space="preserve">Mapeada en hiring-service/src/entities/informe-final.entity.ts:68 (InformeFinal.balance)</t>
  </si>
  <si>
    <t xml:space="preserve">Balance de la ejecución del contrato, en formato JSON, congelado al elaborar el informe.</t>
  </si>
  <si>
    <t xml:space="preserve">¿Qué conceptos incluye el JSON (valor ejecutado, pagos, saldos, obligaciones)?</t>
  </si>
  <si>
    <t xml:space="preserve">C0544</t>
  </si>
  <si>
    <t xml:space="preserve">Mapeada en hiring-service/src/entities/informe-final.entity.ts:71 (InformeFinal.estado)</t>
  </si>
  <si>
    <t xml:space="preserve">Estado del registro de informes_finales.</t>
  </si>
  <si>
    <t xml:space="preserve">C0545</t>
  </si>
  <si>
    <t xml:space="preserve">elaborado_por</t>
  </si>
  <si>
    <t xml:space="preserve">Mapeada en hiring-service/src/entities/informe-final.entity.ts:74 (InformeFinal.elaboradoPor)</t>
  </si>
  <si>
    <t xml:space="preserve">Usuario que elaboró el informe final.</t>
  </si>
  <si>
    <t xml:space="preserve">¿Se guarda el nombre, el correo o el identificador del supervisor?</t>
  </si>
  <si>
    <t xml:space="preserve">C0546</t>
  </si>
  <si>
    <t xml:space="preserve">Mapeada en hiring-service/src/entities/informe-final.entity.ts:80 (InformeFinal.anuladoAt)</t>
  </si>
  <si>
    <t xml:space="preserve">C0547</t>
  </si>
  <si>
    <t xml:space="preserve">Mapeada en hiring-service/src/entities/informe-final.entity.ts:83 (InformeFinal.anuladoPor)</t>
  </si>
  <si>
    <t xml:space="preserve">C0548</t>
  </si>
  <si>
    <t xml:space="preserve">Mapeada en hiring-service/src/entities/informe-final.entity.ts:86 (InformeFinal.motivoAnulacion)</t>
  </si>
  <si>
    <t xml:space="preserve">C0549</t>
  </si>
  <si>
    <t xml:space="preserve">limitaciones_mipyme</t>
  </si>
  <si>
    <t xml:space="preserve">limitado</t>
  </si>
  <si>
    <t xml:space="preserve">hiring-service/src/entities/limitacion-mipyme.entity.ts:25: Lo que la entidad resolvió. | db/migrations/hiring/017_observaciones_y_mipyme.sql:117: Lo que la entidad decidió. | Validación: IsBoolean({ message: 'Indica si la convocatoria queda limitada' })</t>
  </si>
  <si>
    <t xml:space="preserve">Indica si la entidad decidió limitar la convocatoria a MIPYME; puede diferir del resultado del cálculo del sistema (EFDS-1151).</t>
  </si>
  <si>
    <t xml:space="preserve">código: hiring-service/src/entities/limitacion-mipyme.entity.ts:25; db/migrations/hiring/017_observaciones_y_mipyme.sql:117</t>
  </si>
  <si>
    <t xml:space="preserve">C0550</t>
  </si>
  <si>
    <t xml:space="preserve">manifestaciones_contadas</t>
  </si>
  <si>
    <t xml:space="preserve">hiring-service/src/entities/limitacion-mipyme.entity.ts:35: Todo lo que entró en el cálculo queda congelado: si mañana se corrigen los parámetros, esta decisión debe seguir explicándose con los que regían. | db/migrations/hiring/017_observaciones_y_mipyme.sql:127: Se congela todo lo que entró en el cálculo. Si mañana se corrigen los parámetros, esta decisión debe seguir explicándose con los que regían el día en que se tomó.</t>
  </si>
  <si>
    <t xml:space="preserve">Número de manifestaciones de interés de MIPYME que entraron en el cálculo, guardado como estaba el día de la decisión. No puede ser negativo.</t>
  </si>
  <si>
    <t xml:space="preserve">código: hiring-service/src/entities/limitacion-mipyme.entity.ts:35; db/migrations/hiring/017_observaciones_y_mipyme.sql:127</t>
  </si>
  <si>
    <t xml:space="preserve">C0551</t>
  </si>
  <si>
    <t xml:space="preserve">valor_proceso</t>
  </si>
  <si>
    <t xml:space="preserve">hiring-service/src/entities/limitacion-mipyme.entity.ts:38: Todo lo que entró en el cálculo queda congelado: si mañana se corrigen los parámetros, esta decisión debe seguir explicándose con los que regían.</t>
  </si>
  <si>
    <t xml:space="preserve">Valor del proceso de contratación usado en el cálculo de la limitación a MIPYME, tal como regía al momento de la decisión (EFDS-1151).</t>
  </si>
  <si>
    <t xml:space="preserve">código: hiring-service/src/entities/limitacion-mipyme.entity.ts:38</t>
  </si>
  <si>
    <t xml:space="preserve">C0552</t>
  </si>
  <si>
    <t xml:space="preserve">tope_valor_aplicado</t>
  </si>
  <si>
    <t xml:space="preserve">hiring-service/src/entities/limitacion-mipyme.entity.ts:48: Todo lo que entró en el cálculo queda congelado: si mañana se corrigen los parámetros, esta decisión debe seguir explicándose con los que regían.</t>
  </si>
  <si>
    <t xml:space="preserve">Tope de valor aplicado en el cálculo de la limitación a MIPYME, tal como regía al momento de la decisión (EFDS-1151).</t>
  </si>
  <si>
    <t xml:space="preserve">código: hiring-service/src/entities/limitacion-mipyme.entity.ts:48</t>
  </si>
  <si>
    <t xml:space="preserve">¿En qué unidad se expresa el tope: la indicada en unidad_tope_aplicada?</t>
  </si>
  <si>
    <t xml:space="preserve">C0553</t>
  </si>
  <si>
    <t xml:space="preserve">unidad_tope_aplicada</t>
  </si>
  <si>
    <t xml:space="preserve">hiring-service/src/entities/limitacion-mipyme.entity.ts:58: Todo lo que entró en el cálculo queda congelado: si mañana se corrigen los parámetros, esta decisión debe seguir explicándose con los que regían.</t>
  </si>
  <si>
    <t xml:space="preserve">Unidad en que se expresa el tope de valor aplicado en el cálculo, tal como regía al momento de la decisión (EFDS-1151).</t>
  </si>
  <si>
    <t xml:space="preserve">código: hiring-service/src/entities/limitacion-mipyme.entity.ts:58</t>
  </si>
  <si>
    <t xml:space="preserve">¿Qué valores admite la unidad (por ejemplo, USD o SMMLV)?</t>
  </si>
  <si>
    <t xml:space="preserve">C0554</t>
  </si>
  <si>
    <t xml:space="preserve">minimo_manifestaciones</t>
  </si>
  <si>
    <t xml:space="preserve">hiring-service/src/entities/limitacion-mipyme.entity.ts:79: Todo lo que entró en el cálculo queda congelado: si mañana se corrigen los parámetros, esta decisión debe seguir explicándose con los que regían.</t>
  </si>
  <si>
    <t xml:space="preserve">Número mínimo de manifestaciones de interés exigido en el cálculo de la limitación a MIPYME, tal como regía al momento de la decisión (EFDS-1151).</t>
  </si>
  <si>
    <t xml:space="preserve">código: hiring-service/src/entities/limitacion-mipyme.entity.ts:79</t>
  </si>
  <si>
    <t xml:space="preserve">C0555</t>
  </si>
  <si>
    <t xml:space="preserve">hiring-service/src/entities/limitacion-mipyme.entity.ts:83: Obligatorio cuando la decisión se aparta del cálculo. | db/migrations/hiring/017_observaciones_y_mipyme.sql:135: Obligatorio cuando la decisión se aparta del cálculo: apartarse es legítimo, hacerlo sin dejar constancia no. | Validación: IsNotEmpty({ message: 'Di por qué se anula el informe definitivo' }), IsNotEmpty({ message: 'Di por qué se anula el informe' }), IsNotEmpty({ message: 'Di por qué se anula el registro' }), IsNotEmpty({ message: 'Di por qué se anula la audiencia' }), IsNotEmpty({ message: 'Di por qué se declara desierto el proceso' }), IsNotEmpty({ message: 'Di por qué se revoca el acto de adjudicación' })</t>
  </si>
  <si>
    <t xml:space="preserve">Motivo de la decisión sobre la limitación a MIPYME; es obligatorio cuando la decisión se aparta del cálculo del sistema.</t>
  </si>
  <si>
    <t xml:space="preserve">código: hiring-service/src/entities/limitacion-mipyme.entity.ts:83; db/migrations/hiring/017_observaciones_y_mipyme.sql:135</t>
  </si>
  <si>
    <t xml:space="preserve">C0556</t>
  </si>
  <si>
    <t xml:space="preserve">documento_id</t>
  </si>
  <si>
    <t xml:space="preserve">hiring-service/src/entities/limitacion-mipyme.entity.ts:87: Acto administrativo que sustenta la decisión. | db/migrations/hiring/017_observaciones_y_mipyme.sql:138: Acto administrativo que sustenta la decisión.</t>
  </si>
  <si>
    <t xml:space="preserve">Identificador del acto administrativo que sustenta la decisión de limitar o no la convocatoria a MIPYME.</t>
  </si>
  <si>
    <t xml:space="preserve">código: hiring-service/src/entities/limitacion-mipyme.entity.ts:87; db/migrations/hiring/017_observaciones_y_mipyme.sql:138</t>
  </si>
  <si>
    <t xml:space="preserve">¿El identificador hace referencia a hiring.documentos?</t>
  </si>
  <si>
    <t xml:space="preserve">C0557</t>
  </si>
  <si>
    <t xml:space="preserve">decidido_por</t>
  </si>
  <si>
    <t xml:space="preserve">hiring-service/src/entities/limitacion-mipyme.entity.ts:90: Todo lo que entró en el cálculo queda congelado: si mañana se corrigen los parámetros, esta decisión debe seguir explicándose con los que regían.</t>
  </si>
  <si>
    <t xml:space="preserve">Usuario que tomó la decisión de limitar o no la convocatoria a MIPYME.</t>
  </si>
  <si>
    <t xml:space="preserve">nombre + tipo + documentación de la entidad</t>
  </si>
  <si>
    <t xml:space="preserve">C0558</t>
  </si>
  <si>
    <t xml:space="preserve">decidido_at</t>
  </si>
  <si>
    <t xml:space="preserve">hiring-service/src/entities/limitacion-mipyme.entity.ts:93: Todo lo que entró en el cálculo queda congelado: si mañana se corrigen los parámetros, esta decisión debe seguir explicándose con los que regían.</t>
  </si>
  <si>
    <t xml:space="preserve">Fecha y hora de la decisión de limitar o no la convocatoria a MIPYME. Por defecto, la fecha y hora de creación del registro.</t>
  </si>
  <si>
    <t xml:space="preserve">C0559</t>
  </si>
  <si>
    <t xml:space="preserve">manifestaciones_mipyme</t>
  </si>
  <si>
    <t xml:space="preserve">Mapeada en hiring-service/src/entities/manifestacion-mipyme.entity.ts:17 (ManifestacionMipyme.nombre) | Validación: IsNotEmpty, IsNotEmpty({ message: 'Cada miembro necesita el nombre con el que se le designa' }), IsNotEmpty({ message: 'El nombre de la MIPYME es obligatorio' }), IsNotEmpty({ message: 'Indica el nombre o la razón social del oferente' }), IsNotEmpty({ message: 'La tipología necesita un nombre' }), IsNotEmpty({ message: 'Registra el nombre de quien se designa como supervisor' })</t>
  </si>
  <si>
    <t xml:space="preserve">Nombre del registro de manifestaciones_mipyme.</t>
  </si>
  <si>
    <t xml:space="preserve">C0560</t>
  </si>
  <si>
    <t xml:space="preserve">identificacion</t>
  </si>
  <si>
    <t xml:space="preserve">idx_manifestacion_unica_por_proceso</t>
  </si>
  <si>
    <t xml:space="preserve">hiring-service/src/entities/manifestacion-mipyme.entity.ts:25: Obligatoria, a diferencia de la de una observación: sin identificación no hay forma de saber si dos manifestaciones son de la misma empresa, y el conteo inflado cambiaría la decisión. | db/migrations/hiring/017_observaciones_y_mipyme.sql:94: Obligatoria, a diferencia de la observación: de contar cuántas MIPYME distintas manifestaron interés depende que la convocatoria se limite, y sin identificación no hay forma de saber si dos son la misma. | Validación: IsNotEmpty({ message: 'Indica el NIT o documento del oferente' }), IsNotEmpty({ message: 'La identificación es obligatoria para no contar dos veces la misma' }), IsOptional, IsString, MaxLength(40), MaxLength(60)</t>
  </si>
  <si>
    <t xml:space="preserve">Número de identificación (NIT o documento) de la MIPYME que manifiesta interés. Obligatorio para no contar dos veces la misma empresa.</t>
  </si>
  <si>
    <t xml:space="preserve">código: hiring-service/src/entities/manifestacion-mipyme.entity.ts:25; db/migrations/hiring/017_observaciones_y_mipyme.sql:94</t>
  </si>
  <si>
    <t xml:space="preserve">C0561</t>
  </si>
  <si>
    <t xml:space="preserve">fecha_presentacion</t>
  </si>
  <si>
    <t xml:space="preserve">Mapeada en hiring-service/src/entities/manifestacion-mipyme.entity.ts:28 (ManifestacionMipyme.fechaPresentacion) | Validación: IsISO8601({ strict: true }, { message: 'La fecha de presentación va como YYYY-MM-DD' }), IsISO8601({ strict: true }, { message: 'La fecha debe tener formato YYYY-MM-DD' })</t>
  </si>
  <si>
    <t xml:space="preserve">Fecha de presentación.</t>
  </si>
  <si>
    <t xml:space="preserve">C0562</t>
  </si>
  <si>
    <t xml:space="preserve">Mapeada en hiring-service/src/entities/manifestacion-mipyme.entity.ts:31 (ManifestacionMipyme.documentoId)</t>
  </si>
  <si>
    <t xml:space="preserve">Identificador del documento con la manifestación de interés presentada.</t>
  </si>
  <si>
    <t xml:space="preserve">¿Hace referencia a hiring.documentos?</t>
  </si>
  <si>
    <t xml:space="preserve">C0563</t>
  </si>
  <si>
    <t xml:space="preserve">Mapeada en hiring-service/src/entities/manifestacion-mipyme.entity.ts:34 (ManifestacionMipyme.registradoPor)</t>
  </si>
  <si>
    <t xml:space="preserve">C0564</t>
  </si>
  <si>
    <t xml:space="preserve">miembros_comite</t>
  </si>
  <si>
    <t xml:space="preserve">persona_id</t>
  </si>
  <si>
    <t xml:space="preserve">ix_miembros_persona, uq_miembro_rol</t>
  </si>
  <si>
    <t xml:space="preserve">hiring-service/src/entities/miembro-comite.entity.ts:20: `id_person` de auth.personas, sin llave foránea: ese esquema es de otro equipo. Es lo que permite enlazar la cuenta que evalúa —`auth.user. id_person`— con la persona que el memorando designó. | db/migrations/hiring/025_comite_evaluador.sql:86: `id_person` de auth.personas, SIN llave foránea a propósito: ese esquema es de otro equipo y una FK entre esquemas ataría nuestras migraciones a las suyas. Se guarda el identificador para poder enlazar la cuenta que evalúa (auth.user.id_person) con la persona designada. | Validación: IsUUID('4', { message: 'Cada miembro se identifica con el id de la persona del directorio' }), IsUUID('4', { message: 'El supervisor se identifica con el id de la persona del directorio' })</t>
  </si>
  <si>
    <t xml:space="preserve">Identificador (id_person) de auth.personas de la persona designada en el comité evaluador, sin llave foránea; permite enlazarla con la cuenta que evalúa (auth.user.id_person).</t>
  </si>
  <si>
    <t xml:space="preserve">código: hiring-service/src/entities/miembro-comite.entity.ts:20; db/migrations/hiring/025_comite_evaluador.sql:86</t>
  </si>
  <si>
    <t xml:space="preserve">C0565</t>
  </si>
  <si>
    <t xml:space="preserve">hiring-service/src/entities/miembro-comite.entity.ts:29: Copia del nombre al momento de designar. El memorando nombró a esa persona ese día: si mañana el directorio corrige el nombre, el expediente tiene que seguir diciendo lo que el acto dijo. | db/migrations/hiring/025_comite_evaluador.sql:90: Copia del nombre al momento de designar. El memorando nombró a esa persona ese día: si mañana el directorio corrige el nombre, el expediente tiene que seguir diciendo lo que el acto dijo. | Validación: IsNotEmpty, IsNotEmpty({ message: 'Cada miembro necesita el nombre con el que se le designa' }), IsNotEmpty({ message: 'El nombre de la MIPYME es obligatorio' }), IsNotEmpty({ message: 'Indica el nombre o la razón social del oferente' }), IsNotEmpty({ message: 'La tipología necesita un nombre' }), IsNotEmpty({ message: 'Registra el nombre de quien se designa como supervisor' })</t>
  </si>
  <si>
    <t xml:space="preserve">Nombre del miembro del comité, copiado al momento de la designación tal como figura en el memorando.</t>
  </si>
  <si>
    <t xml:space="preserve">código: hiring-service/src/entities/miembro-comite.entity.ts:29; db/migrations/hiring/025_comite_evaluador.sql:90</t>
  </si>
  <si>
    <t xml:space="preserve">C0566</t>
  </si>
  <si>
    <t xml:space="preserve">FINANCIERO, JURIDICO, TECNICO</t>
  </si>
  <si>
    <t xml:space="preserve">uq_miembro_rol</t>
  </si>
  <si>
    <t xml:space="preserve">Mapeada en hiring-service/src/entities/miembro-comite.entity.ts:32 (MiembroComite.rol) | Validación: IsIn(['JURIDICO', 'FINANCIERO', 'TECNICO'], {
    message: 'El rol del miembro es JURIDICO, FINANCIERO o TECNICO',
  })</t>
  </si>
  <si>
    <t xml:space="preserve">Dimensión de evaluación a cargo del integrante. Valores permitidos: FINANCIERO, JURIDICO, TECNICO.</t>
  </si>
  <si>
    <t xml:space="preserve">valores permitidos del CHECK + descripción de la tabla</t>
  </si>
  <si>
    <t xml:space="preserve">C0567</t>
  </si>
  <si>
    <t xml:space="preserve">Mapeada en hiring-service/src/entities/modalidad.entity.ts:15 (Modalidad.nombre) | Validación: IsNotEmpty, IsNotEmpty({ message: 'Cada miembro necesita el nombre con el que se le designa' }), IsNotEmpty({ message: 'El nombre de la MIPYME es obligatorio' }), IsNotEmpty({ message: 'Indica el nombre o la razón social del oferente' }), IsNotEmpty({ message: 'La tipología necesita un nombre' }), IsNotEmpty({ message: 'Registra el nombre de quien se designa como supervisor' })</t>
  </si>
  <si>
    <t xml:space="preserve">Nombre del registro de modalidades.</t>
  </si>
  <si>
    <t xml:space="preserve">C0568</t>
  </si>
  <si>
    <t xml:space="preserve">hiring-service/src/entities/modalidad.entity.ts:19: Orden de la columna en la matriz; conserva su lectura. | db/migrations/hiring/007_modalidad_proceso.sql:26: Orden de la columna en la matriz de flujo; conserva su lectura. | Validación: IsInt, IsOptional, Min(0), Min(1)</t>
  </si>
  <si>
    <t xml:space="preserve">Posición de la modalidad como columna en la matriz de flujo; define el orden de lectura de las columnas.</t>
  </si>
  <si>
    <t xml:space="preserve">código: hiring-service/src/entities/modalidad.entity.ts:19; db/migrations/hiring/007_modalidad_proceso.sql:26 (coinciden)</t>
  </si>
  <si>
    <t xml:space="preserve">C0569</t>
  </si>
  <si>
    <t xml:space="preserve">hiring-service/src/entities/modalidad.entity.ts:23: Las derogadas dejan de ofrecerse sin romper los procesos que las usan. | db/migrations/hiring/007_modalidad_proceso.sql:29: Las modalidades derogadas dejan de ofrecerse sin romper los procesos que ya las usan. | Validación: IsBoolean, IsOptional</t>
  </si>
  <si>
    <t xml:space="preserve">Indica si la modalidad de selección se sigue ofreciendo. Las modalidades derogadas se desactivan sin afectar los procesos que ya las usan.</t>
  </si>
  <si>
    <t xml:space="preserve">código: hiring-service/src/entities/modalidad.entity.ts:23; db/migrations/hiring/007_modalidad_proceso.sql:29 (coinciden)</t>
  </si>
  <si>
    <t xml:space="preserve">C0570</t>
  </si>
  <si>
    <t xml:space="preserve">modificaciones_contrato</t>
  </si>
  <si>
    <t xml:space="preserve">ACLARATORIO, ADICION, CESION, JURIDICA, NATURAL, PRORROGA, REANUDACION, SUSPENSION, TERMINACION_ANTICIPADA</t>
  </si>
  <si>
    <t xml:space="preserve">ix_modificaciones_aprobadas, ix_modificaciones_tipo_estado</t>
  </si>
  <si>
    <t xml:space="preserve">db/migrations/hiring/049_modificaciones_contractuales.sql:66: Los siete tipos que lista la matriz. Solo ADICION tiene implementación hoy; los demás se declaran para que EFDS-1177 y EFDS-1178 no tengan que migrar el CHECK ni reinventar los códigos. | Validación: IsIn(TIPOS_CAMPO as unknown as string[]), IsIn(TIPOS_LIQUIDACION, {
    message: 'La liquidación es bilateral, de común acuerdo, o unilateral, por acto de la entidad',
  }), IsIn(TIPOS_REGLA as unknown as string[]), IsIn(TIPOS_SOPORTE, {
    message: 'El soporte es seguridad social, RUT, certificación bancaria u otro',
  }), IsIn(['GRABACION', 'OBSERVACION', 'ANEXO'], {
    message: 'Di qué es: una grabación, una observación con su respuesta, o un anexo',
  }), IsIn(['INFORME', 'ACTA', 'SOPORTE'], {
    message: 'El soporte es un informe, un acta u otro documento de la ejecución',
  })</t>
  </si>
  <si>
    <t xml:space="preserve">Tipo de modificación contractual, según los tipos que lista la matriz de flujo. A la fecha del código solo ADICION tiene implementación; los demás quedan declarados para historias posteriores (EFDS-1177, EFDS-1178).</t>
  </si>
  <si>
    <t xml:space="preserve">código: db/migrations/hiring/049_modificaciones_contractuales.sql:66</t>
  </si>
  <si>
    <t xml:space="preserve">C0571</t>
  </si>
  <si>
    <t xml:space="preserve">db/migrations/hiring/049_modificaciones_contractuales.sql:69: El consecutivo con el que la entidad la identifica, y cuándo se suscribió. | Validación: IsNotEmpty({ message: 'El contrato necesita el número con el que la entidad lo identifica' }), IsNotEmpty({ message: 'El número del CDP es obligatorio' }), IsNotEmpty({ message: 'El registro presupuestal necesita su número' }), IsNotEmpty({ message: 'Registra el número de la modificación' }), IsNotEmpty({ message: 'Registra el número de la resolución' }), IsNotEmpty({ message: 'Registra el número' })</t>
  </si>
  <si>
    <t xml:space="preserve">Consecutivo con el que la entidad identifica la modificación contractual.</t>
  </si>
  <si>
    <t xml:space="preserve">código: db/migrations/hiring/049_modificaciones_contractuales.sql:69</t>
  </si>
  <si>
    <t xml:space="preserve">C0572</t>
  </si>
  <si>
    <t xml:space="preserve">fecha_suscripcion</t>
  </si>
  <si>
    <t xml:space="preserve">Mapeada en hiring-service/src/entities/modificacion-contrato.entity.ts:66 (ModificacionContrato.fechaSuscripcion) | Validación: IsDateString({}, { message: 'La fecha de suscripción debe tener el formato YYYY-MM-DD' })</t>
  </si>
  <si>
    <t xml:space="preserve">Fecha de suscripción.</t>
  </si>
  <si>
    <t xml:space="preserve">C0573</t>
  </si>
  <si>
    <t xml:space="preserve">hiring-service/src/entities/modificacion-contrato.entity.ts:70: Por qué se modifica. Lo primero que un ente de control pregunta. | Validación: IsNotEmpty({ message: 'Explica por qué el comité eligió esa oferta' }), IsNotEmpty({ message: 'Justifica la adición' }), IsNotEmpty({ message: 'Justifica la modificación' }), IsOptional, IsString, MaxLength(2000)</t>
  </si>
  <si>
    <t xml:space="preserve">Justificación de la modificación contractual: por qué se modifica el contrato.</t>
  </si>
  <si>
    <t xml:space="preserve">código: hiring-service/src/entities/modificacion-contrato.entity.ts:70</t>
  </si>
  <si>
    <t xml:space="preserve">C0574</t>
  </si>
  <si>
    <t xml:space="preserve">APROBADA, EN_TRAMITE, RECHAZADA, REVOCADA</t>
  </si>
  <si>
    <t xml:space="preserve">ix_modificaciones_tipo_estado</t>
  </si>
  <si>
    <t xml:space="preserve">db/migrations/hiring/049_modificaciones_contractuales.sql:85: EN_TRAMITE → APROBADA → REVOCADA, o RECHAZADA como salida temprana.</t>
  </si>
  <si>
    <t xml:space="preserve">Estado de la modificación contractual. Flujo: EN_TRAMITE → APROBADA → REVOCADA; RECHAZADA es una salida temprana desde EN_TRAMITE.</t>
  </si>
  <si>
    <t xml:space="preserve">código: db/migrations/hiring/049_modificaciones_contractuales.sql:85</t>
  </si>
  <si>
    <t xml:space="preserve">C0575</t>
  </si>
  <si>
    <t xml:space="preserve">valor_adicionado</t>
  </si>
  <si>
    <t xml:space="preserve">hiring-service/src/entities/modificacion-contrato.entity.ts:94: ------------------------------------------------ lo propio de la adición -- | Validación: IsNumber({}, { message: 'El valor de la adición debe ser un número' }), IsPositive({ message: 'El valor de la adición debe ser mayor que cero' })</t>
  </si>
  <si>
    <t xml:space="preserve">Valor que se adiciona al contrato con una modificación de tipo ADICION; debe ser mayor que cero. Un CHECK lo relaciona con el tipo de modificación.</t>
  </si>
  <si>
    <t xml:space="preserve">código: hiring-service/src/entities/modificacion-contrato.entity.ts:94 (sección «lo propio de la adición»); validaciones DTO</t>
  </si>
  <si>
    <t xml:space="preserve">¿El valor está en pesos colombianos y es obligatorio solo cuando el tipo es ADICION?</t>
  </si>
  <si>
    <t xml:space="preserve">C0576</t>
  </si>
  <si>
    <t xml:space="preserve">valor_contrato_antes</t>
  </si>
  <si>
    <t xml:space="preserve">hiring-service/src/entities/modificacion-contrato.entity.ts:111: El valor del contrato antes y después, y el tope con el que se juzgó. Congelado con el criterio del resto del módulo: si mañana entra otra adición —o cambia el parámetro—, esta sigue explicando sobre qué se calculó. | db/migrations/hiring/049_modificaciones_contractuales.sql:100: El valor del contrato antes y después, congelado. Con el criterio del resto del módulo: si mañana entra otra adición, esta sigue diciendo sobre qué valor se calculó y con qué tope se juzgó.</t>
  </si>
  <si>
    <t xml:space="preserve">Valor del contrato antes de aplicar la modificación, congelado al registrarla para conservar sobre qué valor se calculó, aunque luego entren otras adiciones o cambien los parámetros.</t>
  </si>
  <si>
    <t xml:space="preserve">código: hiring-service/src/entities/modificacion-contrato.entity.ts:111; db/migrations/hiring/049_modificaciones_contractuales.sql:100</t>
  </si>
  <si>
    <t xml:space="preserve">C0577</t>
  </si>
  <si>
    <t xml:space="preserve">valor_contrato_despues</t>
  </si>
  <si>
    <t xml:space="preserve">hiring-service/src/entities/modificacion-contrato.entity.ts:114: ------------------------------------------------ lo propio de la adición --</t>
  </si>
  <si>
    <t xml:space="preserve">Valor del contrato después de la adición.</t>
  </si>
  <si>
    <t xml:space="preserve">código: hiring-service/src/entities/modificacion-contrato.entity.ts:114</t>
  </si>
  <si>
    <t xml:space="preserve">C0578</t>
  </si>
  <si>
    <t xml:space="preserve">tope_porcentaje</t>
  </si>
  <si>
    <t xml:space="preserve">numeric(5,2)</t>
  </si>
  <si>
    <t xml:space="preserve">hiring-service/src/entities/modificacion-contrato.entity.ts:117: ------------------------------------------------ lo propio de la adición --</t>
  </si>
  <si>
    <t xml:space="preserve">Porcentaje máximo de adición aplicado sobre el valor del contrato.</t>
  </si>
  <si>
    <t xml:space="preserve">código: hiring-service/src/entities/modificacion-contrato.entity.ts:117</t>
  </si>
  <si>
    <t xml:space="preserve">¿Es el tope legal de adición (50 % del valor inicial) u otro tope configurado?</t>
  </si>
  <si>
    <t xml:space="preserve">C0579</t>
  </si>
  <si>
    <t xml:space="preserve">solicitada_por</t>
  </si>
  <si>
    <t xml:space="preserve">hiring-service/src/entities/modificacion-contrato.entity.ts:205: ------------------------------------------------ lo propio de la adición --</t>
  </si>
  <si>
    <t xml:space="preserve">Usuario que solicitó la modificación contractual.</t>
  </si>
  <si>
    <t xml:space="preserve">C0580</t>
  </si>
  <si>
    <t xml:space="preserve">aprobada_por</t>
  </si>
  <si>
    <t xml:space="preserve">hiring-service/src/entities/modificacion-contrato.entity.ts:211: ------------------------------------------------ lo propio de la adición --</t>
  </si>
  <si>
    <t xml:space="preserve">Usuario que aprobó la modificación contractual.</t>
  </si>
  <si>
    <t xml:space="preserve">C0581</t>
  </si>
  <si>
    <t xml:space="preserve">aprobada_at</t>
  </si>
  <si>
    <t xml:space="preserve">hiring-service/src/entities/modificacion-contrato.entity.ts:214: ------------------------------------------------ lo propio de la adición --</t>
  </si>
  <si>
    <t xml:space="preserve">Fecha y hora de aprobación de la modificación contractual.</t>
  </si>
  <si>
    <t xml:space="preserve">C0582</t>
  </si>
  <si>
    <t xml:space="preserve">hiring-service/src/entities/modificacion-contrato.entity.ts:217: ------------------------------------------------ lo propio de la adición --</t>
  </si>
  <si>
    <t xml:space="preserve">Fecha y hora de revocación de la modificación contractual.</t>
  </si>
  <si>
    <t xml:space="preserve">C0583</t>
  </si>
  <si>
    <t xml:space="preserve">hiring-service/src/entities/modificacion-contrato.entity.ts:220: ------------------------------------------------ lo propio de la adición --</t>
  </si>
  <si>
    <t xml:space="preserve">Usuario que revocó la modificación contractual.</t>
  </si>
  <si>
    <t xml:space="preserve">C0584</t>
  </si>
  <si>
    <t xml:space="preserve">hiring-service/src/entities/modificacion-contrato.entity.ts:223: ------------------------------------------------ lo propio de la adición --</t>
  </si>
  <si>
    <t xml:space="preserve">Motivo de la revocación de la modificación contractual.</t>
  </si>
  <si>
    <t xml:space="preserve">C0585</t>
  </si>
  <si>
    <t xml:space="preserve">plazo_dias_antes</t>
  </si>
  <si>
    <t xml:space="preserve">hiring-service/src/entities/modificacion-contrato.entity.ts:133: El plazo antes y despues, en dias. Mismo criterio que el valor en la adicion: `contratos.plazo_dias` dice cuanto es hoy, y esto dice que hizo cada modificacion. Sin el «antes» no se puede revocar sin adivinar.</t>
  </si>
  <si>
    <t xml:space="preserve">Plazo del contrato en días antes de la modificación. Se conserva para poder revocar la modificación y devolver el plazo anterior; contratos.plazo_dias guarda el plazo vigente.</t>
  </si>
  <si>
    <t xml:space="preserve">código: hiring-service/src/entities/modificacion-contrato.entity.ts:133</t>
  </si>
  <si>
    <t xml:space="preserve">¿Los días son calendario o hábiles?</t>
  </si>
  <si>
    <t xml:space="preserve">C0586</t>
  </si>
  <si>
    <t xml:space="preserve">plazo_dias_despues</t>
  </si>
  <si>
    <t xml:space="preserve">hiring-service/src/entities/modificacion-contrato.entity.ts:136: ------------------------------------------------ lo propio de la adición --</t>
  </si>
  <si>
    <t xml:space="preserve">Plazo del contrato en días después de la modificación.</t>
  </si>
  <si>
    <t xml:space="preserve">nombre + tipo + columnas vecinas (plazo_dias_antes, dias_prorroga)</t>
  </si>
  <si>
    <t xml:space="preserve">¿Se diligencia solo en prórrogas, como plazo_dias_antes + dias_prorroga?</t>
  </si>
  <si>
    <t xml:space="preserve">C0587</t>
  </si>
  <si>
    <t xml:space="preserve">suspension_desde</t>
  </si>
  <si>
    <t xml:space="preserve">hiring-service/src/entities/modificacion-contrato.entity.ts:141: ------------------------------------------------ lo propio de la adición -- | Validación: IsDateString({}, { message: 'La fecha de suspensión va en formato AAAA-MM-DD' })</t>
  </si>
  <si>
    <t xml:space="preserve">Fecha de inicio de la suspensión del contrato, en formato AAAA-MM-DD.</t>
  </si>
  <si>
    <t xml:space="preserve">nombre + tipo + columnas vecinas (suspension_hasta) + validación IsDateString</t>
  </si>
  <si>
    <t xml:space="preserve">C0588</t>
  </si>
  <si>
    <t xml:space="preserve">suspension_hasta</t>
  </si>
  <si>
    <t xml:space="preserve">hiring-service/src/entities/modificacion-contrato.entity.ts:145: Fecha prevista. Puede faltar: hay suspensiones indefinidas. | Validación: IsDateString({}, { message: 'La fecha prevista va en formato AAAA-MM-DD' }), IsOptional</t>
  </si>
  <si>
    <t xml:space="preserve">Fecha prevista de fin de la suspensión del contrato. Admite nulos porque hay suspensiones indefinidas. Un CHECK la relaciona con el tipo SUSPENSION.</t>
  </si>
  <si>
    <t xml:space="preserve">código: hiring-service/src/entities/modificacion-contrato.entity.ts:145</t>
  </si>
  <si>
    <t xml:space="preserve">¿Debe ser posterior a suspension_desde cuando se diligencia?</t>
  </si>
  <si>
    <t xml:space="preserve">C0589</t>
  </si>
  <si>
    <t xml:space="preserve">reanudada_el</t>
  </si>
  <si>
    <t xml:space="preserve">hiring-service/src/entities/modificacion-contrato.entity.ts:153: Cuando se reanuda de verdad, que manda sobre la fecha prevista. | Validación: IsDateString({}, { message: 'La fecha de reanudación va en formato AAAA-MM-DD' })</t>
  </si>
  <si>
    <t xml:space="preserve">Fecha en que efectivamente se reanuda el contrato suspendido; prevalece sobre la fecha prevista de fin de la suspensión. Un CHECK la relaciona con el tipo REANUDACION.</t>
  </si>
  <si>
    <t xml:space="preserve">código: hiring-service/src/entities/modificacion-contrato.entity.ts:153</t>
  </si>
  <si>
    <t xml:space="preserve">¿Es obligatoria solo cuando el tipo de modificación es REANUDACION?</t>
  </si>
  <si>
    <t xml:space="preserve">C0590</t>
  </si>
  <si>
    <t xml:space="preserve">cedente_documento</t>
  </si>
  <si>
    <t xml:space="preserve">hiring-service/src/entities/modificacion-contrato.entity.ts:159: Quien era el contratista. `contratos` se queda con el cesionario.</t>
  </si>
  <si>
    <t xml:space="preserve">Número de documento de identificación del cedente, es decir, del contratista anterior en una cesión del contrato. La tabla contratos queda con los datos del cesionario.</t>
  </si>
  <si>
    <t xml:space="preserve">código: hiring-service/src/entities/modificacion-contrato.entity.ts:159</t>
  </si>
  <si>
    <t xml:space="preserve">C0591</t>
  </si>
  <si>
    <t xml:space="preserve">cedente_nombre</t>
  </si>
  <si>
    <t xml:space="preserve">hiring-service/src/entities/modificacion-contrato.entity.ts:162: ------------------------------------------------ lo propio de la adición --</t>
  </si>
  <si>
    <t xml:space="preserve">Nombre del cedente en la cesión del contrato.</t>
  </si>
  <si>
    <t xml:space="preserve">C0592</t>
  </si>
  <si>
    <t xml:space="preserve">cedente_tipo</t>
  </si>
  <si>
    <t xml:space="preserve">hiring-service/src/entities/modificacion-contrato.entity.ts:166: De el depende la ARL: revocar sin devolverlo dejaria la exigencia torcida. | db/migrations/hiring/052_prorroga_y_demas_modificaciones.sql:89: El tipo de persona tambien: de el depende la ARL (EFDS-1164), asi que revocar la cesion sin devolverlo dejaria al contrato exigiendo o eximiendo una afiliacion que no corresponde.</t>
  </si>
  <si>
    <t xml:space="preserve">Tipo de persona del cedente en una cesión del contrato. Se conserva porque de él depende la exigencia de afiliación a ARL (EFDS-1164) y debe restaurarse si se revoca la cesión.</t>
  </si>
  <si>
    <t xml:space="preserve">código: hiring-service/src/entities/modificacion-contrato.entity.ts:166; db/migrations/hiring/052_prorroga_y_demas_modificaciones.sql:89</t>
  </si>
  <si>
    <t xml:space="preserve">¿Los valores posibles son NATURAL y JURIDICA, igual que en cesionario_tipo?</t>
  </si>
  <si>
    <t xml:space="preserve">C0593</t>
  </si>
  <si>
    <t xml:space="preserve">cesionario_documento</t>
  </si>
  <si>
    <t xml:space="preserve">hiring-service/src/entities/modificacion-contrato.entity.ts:169: ------------------------------------------------ lo propio de la adición -- | Validación: IsNotEmpty({ message: 'Registra el documento del cesionario' }), IsString, MaxLength(40)</t>
  </si>
  <si>
    <t xml:space="preserve">Número del documento de identificación del cesionario en la cesión del contrato.</t>
  </si>
  <si>
    <t xml:space="preserve">nombre + tipo + columnas vecinas + validación</t>
  </si>
  <si>
    <t xml:space="preserve">C0594</t>
  </si>
  <si>
    <t xml:space="preserve">cesionario_nombre</t>
  </si>
  <si>
    <t xml:space="preserve">hiring-service/src/entities/modificacion-contrato.entity.ts:172: ------------------------------------------------ lo propio de la adición -- | Validación: IsNotEmpty({ message: 'Registra el nombre del cesionario' }), IsString, MaxLength(300)</t>
  </si>
  <si>
    <t xml:space="preserve">Nombre del cesionario en la cesión del contrato.</t>
  </si>
  <si>
    <t xml:space="preserve">C0595</t>
  </si>
  <si>
    <t xml:space="preserve">cesionario_tipo</t>
  </si>
  <si>
    <t xml:space="preserve">hiring-service/src/entities/modificacion-contrato.entity.ts:175: ------------------------------------------------ lo propio de la adición -- | Validación: IsIn(['NATURAL', 'JURIDICA'], {
    message: 'El cesionario es persona natural o jurídica',
  })</t>
  </si>
  <si>
    <t xml:space="preserve">Tipo de persona del cesionario. Valores permitidos: NATURAL, JURIDICA.</t>
  </si>
  <si>
    <t xml:space="preserve">valores permitidos del CHECK + validación IsIn</t>
  </si>
  <si>
    <t xml:space="preserve">C0596</t>
  </si>
  <si>
    <t xml:space="preserve">terminacion_el</t>
  </si>
  <si>
    <t xml:space="preserve">hiring-service/src/entities/modificacion-contrato.entity.ts:191: Desde cuando el contrato deja de ejecutarse; no es la fecha de la firma. | Validación: IsDateString({}, { message: 'La fecha de terminación va en formato AAAA-MM-DD' })</t>
  </si>
  <si>
    <t xml:space="preserve">Fecha desde la cual el contrato deja de ejecutarse por terminación anticipada; no corresponde a la fecha de firma. Un CHECK la relaciona con el tipo TERMINACION_ANTICIPADA y las causales MUTUO_ACUERDO y UNILATERAL.</t>
  </si>
  <si>
    <t xml:space="preserve">código: hiring-service/src/entities/modificacion-contrato.entity.ts:191</t>
  </si>
  <si>
    <t xml:space="preserve">¿Es obligatoria solo cuando el tipo es TERMINACION_ANTICIPADA?</t>
  </si>
  <si>
    <t xml:space="preserve">C0597</t>
  </si>
  <si>
    <t xml:space="preserve">estado_contrato_antes</t>
  </si>
  <si>
    <t xml:space="preserve">hiring-service/src/entities/modificacion-contrato.entity.ts:202: El estado que el contrato tenia antes. Mismo criterio que el valor y el plazo «antes»: revocar devuelve lo guardado y no lo deducido. Un contrato suspendido puede terminarse —es el desenlace tipico de una suspension que no se supera— y revocar eso tiene que devolverlo a SUSPENDIDO, no a EJECUCION.</t>
  </si>
  <si>
    <t xml:space="preserve">Estado que tenía el contrato antes de aplicar la modificación. Se guarda para que, al revocarla, el contrato vuelva a ese estado (por ejemplo, SUSPENDIDO en lugar de EJECUCION).</t>
  </si>
  <si>
    <t xml:space="preserve">código: hiring-service/src/entities/modificacion-contrato.entity.ts:202</t>
  </si>
  <si>
    <t xml:space="preserve">¿Qué valores toma además de SUSPENDIDO y EJECUCION?</t>
  </si>
  <si>
    <t xml:space="preserve">C0598</t>
  </si>
  <si>
    <t xml:space="preserve">observaciones_pliego</t>
  </si>
  <si>
    <t xml:space="preserve">presentado_por</t>
  </si>
  <si>
    <t xml:space="preserve">Mapeada en hiring-service/src/entities/observacion-pliego.entity.ts:25 (ObservacionPliego.presentadoPor) | Validación: IsNotEmpty({ message: 'Di quién presenta el escrito' }), IsNotEmpty({ message: 'Indica quién presentó la observación' }), IsString, MaxLength(200)</t>
  </si>
  <si>
    <t xml:space="preserve">Nombre de la persona o empresa interesada que presenta la observación al proyecto de pliego.</t>
  </si>
  <si>
    <t xml:space="preserve">nombre + varchar(200) + vecina identificacion + descripción de la tabla</t>
  </si>
  <si>
    <t xml:space="preserve">C0599</t>
  </si>
  <si>
    <t xml:space="preserve">hiring-service/src/entities/observacion-pliego.entity.ts:29: Opcional: una observación anónima igual hay que responderla. | db/migrations/hiring/017_observaciones_y_mipyme.sql:30: NIT o cédula. Opcional: una observación anónima sigue siendo una observación y la entidad igual debe responderla. | Validación: IsNotEmpty({ message: 'Indica el NIT o documento del oferente' }), IsNotEmpty({ message: 'La identificación es obligatoria para no contar dos veces la misma' }), IsOptional, IsString, MaxLength(40), MaxLength(60)</t>
  </si>
  <si>
    <t xml:space="preserve">NIT o cédula de quien presenta la observación al proyecto de pliego. Opcional: las observaciones anónimas también se registran y se responden.</t>
  </si>
  <si>
    <t xml:space="preserve">código: db/migrations/hiring/017_observaciones_y_mipyme.sql:30; hiring-service/src/entities/observacion-pliego.entity.ts:29</t>
  </si>
  <si>
    <t xml:space="preserve">C0600</t>
  </si>
  <si>
    <t xml:space="preserve">hiring-service/src/entities/observacion-pliego.entity.ts:36: Fecha en que el interesado la presentó, no la del registro: es la que decide si llegó en término. | db/migrations/hiring/017_observaciones_y_mipyme.sql:34: Fecha en que el interesado la presentó, no la del registro: es la que decide si llegó en término, y el gestor la transcribe días después. | Validación: IsISO8601({ strict: true }, { message: 'La fecha de presentación va como YYYY-MM-DD' }), IsISO8601({ strict: true }, { message: 'La fecha debe tener formato YYYY-MM-DD' })</t>
  </si>
  <si>
    <t xml:space="preserve">Fecha en que el interesado presentó la observación, no la de su registro en la plataforma; determina si llegó en término.</t>
  </si>
  <si>
    <t xml:space="preserve">código: hiring-service/src/entities/observacion-pliego.entity.ts:36; db/migrations/hiring/017_observaciones_y_mipyme.sql:34</t>
  </si>
  <si>
    <t xml:space="preserve">C0601</t>
  </si>
  <si>
    <t xml:space="preserve">asunto</t>
  </si>
  <si>
    <t xml:space="preserve">Mapeada en hiring-service/src/entities/observacion-pliego.entity.ts:39 (ObservacionPliego.asunto) | Validación: IsNotEmpty({ message: 'El asunto es obligatorio' }), IsNotEmpty({ message: 'Ponle un asunto: es lo que se lee en la lista' }), IsString, MaxLength(300)</t>
  </si>
  <si>
    <t xml:space="preserve">Asunto de la observación.</t>
  </si>
  <si>
    <t xml:space="preserve">C0602</t>
  </si>
  <si>
    <t xml:space="preserve">Mapeada en hiring-service/src/entities/observacion-pliego.entity.ts:42 (ObservacionPliego.contenido) | Validación: IsNotEmpty({ message: 'El contenido de la observación es obligatorio' }), IsNotEmpty({ message: 'Transcribe lo que presentó el oferente' }), IsString, MinLength(10, { message: 'El contenido tiene que decir qué presentó el oferente' })</t>
  </si>
  <si>
    <t xml:space="preserve">Texto de la observación presentada al proyecto de pliego.</t>
  </si>
  <si>
    <t xml:space="preserve">nombre + text not null + descripción de la tabla</t>
  </si>
  <si>
    <t xml:space="preserve">C0603</t>
  </si>
  <si>
    <t xml:space="preserve">db/migrations/hiring/017_observaciones_y_mipyme.sql:49: Soporte de la observación tal como llegó. Opcional: puede haberse recibido por un canal que no deja documento.</t>
  </si>
  <si>
    <t xml:space="preserve">Referencia al documento soporte de la observación tal como llegó (hiring.documentos.id); relación sin llave foránea declarada. Opcional, porque la observación puede llegar por un canal que no deja documento.</t>
  </si>
  <si>
    <t xml:space="preserve">código: db/migrations/hiring/017_observaciones_y_mipyme.sql:49</t>
  </si>
  <si>
    <t xml:space="preserve">C0604</t>
  </si>
  <si>
    <t xml:space="preserve">Mapeada en hiring-service/src/entities/observacion-pliego.entity.ts:56 (ObservacionPliego.registradoPor)</t>
  </si>
  <si>
    <t xml:space="preserve">C0605</t>
  </si>
  <si>
    <t xml:space="preserve">respuesta</t>
  </si>
  <si>
    <t xml:space="preserve">db/migrations/hiring/017_observaciones_y_mipyme.sql:53: ---- respuesta de la entidad | Validación: IsNotEmpty({ message: 'Escribe la respuesta: es la que se le notifica al oferente' }), IsNotEmpty({ message: 'La respuesta no puede ir vacía' }), IsString, MinLength(10, { message: 'La respuesta tiene que sustentarse, no basta con aceptar o negar' })</t>
  </si>
  <si>
    <t xml:space="preserve">Respuesta de la entidad a la observación, que se notifica al oferente. Se registra junto con respondida_at y modifico_pliego: las tres quedan vacías o las tres diligenciadas.</t>
  </si>
  <si>
    <t xml:space="preserve">código: db/migrations/hiring/017_observaciones_y_mipyme.sql:53 (sección «respuesta de la entidad»); validaciones DTO</t>
  </si>
  <si>
    <t xml:space="preserve">C0606</t>
  </si>
  <si>
    <t xml:space="preserve">respondida_por</t>
  </si>
  <si>
    <t xml:space="preserve">Mapeada en hiring-service/src/entities/observacion-pliego.entity.ts:62 (ObservacionPliego.respondidaPor)</t>
  </si>
  <si>
    <t xml:space="preserve">Usuario que registró la respuesta a la observación.</t>
  </si>
  <si>
    <t xml:space="preserve">nombre + varchar(160) + patrón *_por</t>
  </si>
  <si>
    <t xml:space="preserve">¿Guarda el nombre, el correo o el identificador del usuario?</t>
  </si>
  <si>
    <t xml:space="preserve">C0607</t>
  </si>
  <si>
    <t xml:space="preserve">respondida_at</t>
  </si>
  <si>
    <t xml:space="preserve">Mapeada en hiring-service/src/entities/observacion-pliego.entity.ts:65 (ObservacionPliego.respondidaAt)</t>
  </si>
  <si>
    <t xml:space="preserve">Fecha y hora en que se respondió la observación. Se registra junto con respuesta y modifico_pliego.</t>
  </si>
  <si>
    <t xml:space="preserve">nombre + timestamptz + CHECK conjunto con respuesta</t>
  </si>
  <si>
    <t xml:space="preserve">C0608</t>
  </si>
  <si>
    <t xml:space="preserve">modifico_pliego</t>
  </si>
  <si>
    <t xml:space="preserve">hiring-service/src/entities/observacion-pliego.entity.ts:72: Si la observación llevó a cambiar el pliego. Es lo que justifica una adenda posterior y lo que muestra que la observación sirvió de algo. | db/migrations/hiring/017_observaciones_y_mipyme.sql:58: Si la observación llevó a cambiar el pliego. Es el dato que justifica una adenda posterior (EFDS-1154) y el que muestra que la observación sirvió. | Validación: IsBoolean({ message: 'Indica si la observación modificó el pliego' })</t>
  </si>
  <si>
    <t xml:space="preserve">Indica si la observación llevó a cambiar el pliego; sustenta una adenda posterior (EFDS-1154).</t>
  </si>
  <si>
    <t xml:space="preserve">código: hiring-service/src/entities/observacion-pliego.entity.ts:72; db/migrations/hiring/017_observaciones_y_mipyme.sql:58</t>
  </si>
  <si>
    <t xml:space="preserve">C0609</t>
  </si>
  <si>
    <t xml:space="preserve">oferentes</t>
  </si>
  <si>
    <t xml:space="preserve">ix_oferentes_recepcion, uq_oferente_numero</t>
  </si>
  <si>
    <t xml:space="preserve">hiring-service/src/entities/oferente.entity.ts:20: Consecutivo dentro de la recepción: la lista publicada numera por llegada. | db/migrations/hiring/024_recepcion_de_ofertas.sql:128: Consecutivo dentro de la recepción: la lista publicada numera las ofertas por orden de llegada, y ese número es relativo al proceso, no global. | Validación: IsNotEmpty({ message: 'El contrato necesita el número con el que la entidad lo identifica' }), IsNotEmpty({ message: 'El número del CDP es obligatorio' }), IsNotEmpty({ message: 'El registro presupuestal necesita su número' }), IsNotEmpty({ message: 'Registra el número de la modificación' }), IsNotEmpty({ message: 'Registra el número de la resolución' }), IsNotEmpty({ message: 'Registra el número' })</t>
  </si>
  <si>
    <t xml:space="preserve">Consecutivo de la oferta dentro de la recepción, por orden de llegada; es relativo al proceso y es el que numera la lista publicada de oferentes.</t>
  </si>
  <si>
    <t xml:space="preserve">código: hiring-service/src/entities/oferente.entity.ts:20; db/migrations/hiring/024_recepcion_de_ofertas.sql:128</t>
  </si>
  <si>
    <t xml:space="preserve">C0610</t>
  </si>
  <si>
    <t xml:space="preserve">Mapeada en hiring-service/src/entities/oferente.entity.ts:23 (Oferente.nombre) | Validación: IsNotEmpty, IsNotEmpty({ message: 'Cada miembro necesita el nombre con el que se le designa' }), IsNotEmpty({ message: 'El nombre de la MIPYME es obligatorio' }), IsNotEmpty({ message: 'Indica el nombre o la razón social del oferente' }), IsNotEmpty({ message: 'La tipología necesita un nombre' }), IsNotEmpty({ message: 'Registra el nombre de quien se designa como supervisor' })</t>
  </si>
  <si>
    <t xml:space="preserve">Nombre del registro de oferentes.</t>
  </si>
  <si>
    <t xml:space="preserve">C0611</t>
  </si>
  <si>
    <t xml:space="preserve">uq_oferente_identificacion</t>
  </si>
  <si>
    <t xml:space="preserve">Mapeada en hiring-service/src/entities/oferente.entity.ts:26 (Oferente.identificacion) | Validación: IsNotEmpty({ message: 'Indica el NIT o documento del oferente' }), IsNotEmpty({ message: 'La identificación es obligatoria para no contar dos veces la misma' }), IsOptional, IsString, MaxLength(40), MaxLength(60)</t>
  </si>
  <si>
    <t xml:space="preserve">Número de identificación.</t>
  </si>
  <si>
    <t xml:space="preserve">C0612</t>
  </si>
  <si>
    <t xml:space="preserve">Mapeada en hiring-service/src/entities/oferente.entity.ts:53 (Oferente.registradoPor)</t>
  </si>
  <si>
    <t xml:space="preserve">C0613</t>
  </si>
  <si>
    <t xml:space="preserve">pagos_contrato</t>
  </si>
  <si>
    <t xml:space="preserve">uq_pago_numero</t>
  </si>
  <si>
    <t xml:space="preserve">hiring-service/src/entities/pago-contrato.entity.ts:40: Consecutivo dentro del contrato: «el pago 3». Lo lleva el servicio. | db/migrations/hiring/043_tramite_de_pagos.sql:25: Consecutivo dentro del contrato: «el pago 3 de 8». Lo lleva el servicio, que es quien sabe cuántos hay; una secuencia global no diría nada útil. | Validación: IsNotEmpty({ message: 'El contrato necesita el número con el que la entidad lo identifica' }), IsNotEmpty({ message: 'El número del CDP es obligatorio' }), IsNotEmpty({ message: 'El registro presupuestal necesita su número' }), IsNotEmpty({ message: 'Registra el número de la modificación' }), IsNotEmpty({ message: 'Registra el número de la resolución' }), IsNotEmpty({ message: 'Registra el número' })</t>
  </si>
  <si>
    <t xml:space="preserve">Consecutivo de la cuenta de cobro dentro del contrato (por ejemplo, «el pago 3 de 8»). Lo asigna el servicio.</t>
  </si>
  <si>
    <t xml:space="preserve">código: hiring-service/src/entities/pago-contrato.entity.ts:40; db/migrations/hiring/043_tramite_de_pagos.sql:25</t>
  </si>
  <si>
    <t xml:space="preserve">C0614</t>
  </si>
  <si>
    <t xml:space="preserve">periodo_desde</t>
  </si>
  <si>
    <t xml:space="preserve">hiring-service/src/entities/pago-contrato.entity.ts:49: Periodo que se cobra. Rango y no un mes suelto: los contratos de obra cobran por avance y los de prestación por periodo. | db/migrations/hiring/043_tramite_de_pagos.sql:29: Periodo que se cobra. Va como rango y no como un mes suelto porque los contratos de obra cobran por avance y los de prestación por periodo. | Validación: IsDateString({}, { message: 'El inicio del periodo debe tener el formato YYYY-MM-DD' }), IsOptional</t>
  </si>
  <si>
    <t xml:space="preserve">Fecha de inicio del periodo que se cobra en la cuenta de cobro, expresado como rango con periodo_hasta. No puede ser posterior a periodo_hasta.</t>
  </si>
  <si>
    <t xml:space="preserve">código: hiring-service/src/entities/pago-contrato.entity.ts:49; db/migrations/hiring/043_tramite_de_pagos.sql:29</t>
  </si>
  <si>
    <t xml:space="preserve">C0615</t>
  </si>
  <si>
    <t xml:space="preserve">periodo_hasta</t>
  </si>
  <si>
    <t xml:space="preserve">Mapeada en hiring-service/src/entities/pago-contrato.entity.ts:52 (PagoContrato.periodoHasta) | Validación: IsDateString({}, { message: 'El fin del periodo debe tener el formato YYYY-MM-DD' }), IsOptional</t>
  </si>
  <si>
    <t xml:space="preserve">Fecha de fin del periodo que cubre la cuenta de cobro. No puede ser anterior a periodo_desde.</t>
  </si>
  <si>
    <t xml:space="preserve">nombre + tipo date + CHECK periodo_hasta &gt;= periodo_desde</t>
  </si>
  <si>
    <t xml:space="preserve">C0616</t>
  </si>
  <si>
    <t xml:space="preserve">hiring-service/src/entities/pago-contrato.entity.ts:56: `numeric` llega como string del driver; el transformer lo vuelve número. | Validación: IsNumber({ maxDecimalPlaces: 2 }, { message: 'El salario debe ser un número' }), IsNumber({ maxDecimalPlaces: 2 }, { message: 'El valor debe ser un número' }), IsNumber({}, { message: 'El valor cobrado debe ser un número' }), IsNumber({}, { message: 'El valor comprometido debe ser un número' }), IsNumber({}, { message: 'El valor debe ser un número' }), IsNumber({}, { message: 'El valor del contrato debe ser un número' })</t>
  </si>
  <si>
    <t xml:space="preserve">Valor cobrado en la cuenta de cobro. Debe ser mayor que cero.</t>
  </si>
  <si>
    <t xml:space="preserve">código: hiring-service/src/entities/pago-contrato.entity.ts:56 (solo conversión numérica); validaciones DTO</t>
  </si>
  <si>
    <t xml:space="preserve">C0617</t>
  </si>
  <si>
    <t xml:space="preserve">ANULADO, AVALADO, DEVUELTO, RADICADO, TRAMITADO</t>
  </si>
  <si>
    <t xml:space="preserve">ix_pagos_estado</t>
  </si>
  <si>
    <t xml:space="preserve">Mapeada en hiring-service/src/entities/pago-contrato.entity.ts:74 (PagoContrato.estado)</t>
  </si>
  <si>
    <t xml:space="preserve">Estado del registro de pagos_contrato.</t>
  </si>
  <si>
    <t xml:space="preserve">C0618</t>
  </si>
  <si>
    <t xml:space="preserve">radicado_at</t>
  </si>
  <si>
    <t xml:space="preserve">Mapeada en hiring-service/src/entities/pago-contrato.entity.ts:77 (PagoContrato.radicadoAt)</t>
  </si>
  <si>
    <t xml:space="preserve">Fecha y hora de la radicación.</t>
  </si>
  <si>
    <t xml:space="preserve">C0619</t>
  </si>
  <si>
    <t xml:space="preserve">radicado_por</t>
  </si>
  <si>
    <t xml:space="preserve">Mapeada en hiring-service/src/entities/pago-contrato.entity.ts:80 (PagoContrato.radicadoPor)</t>
  </si>
  <si>
    <t xml:space="preserve">Usuario que realizó la radicación.</t>
  </si>
  <si>
    <t xml:space="preserve">C0620</t>
  </si>
  <si>
    <t xml:space="preserve">avalado_at</t>
  </si>
  <si>
    <t xml:space="preserve">hiring-service/src/entities/pago-contrato.entity.ts:89: Quién avaló, no solo que se avaló. Es la responsabilidad del supervisor la que respalda el pago, y el expediente tiene que poder nombrarla. | db/migrations/hiring/043_tramite_de_pagos.sql:46: El aval del supervisor. Se guarda quién lo dio y no solo que se dio: es su responsabilidad la que respalda el pago.</t>
  </si>
  <si>
    <t xml:space="preserve">Fecha y hora en que el supervisor avaló la cuenta de cobro. Se registra junto con quién dio el aval. Un CHECK la relaciona con el estado TRAMITADO.</t>
  </si>
  <si>
    <t xml:space="preserve">código: hiring-service/src/entities/pago-contrato.entity.ts:89; db/migrations/hiring/043_tramite_de_pagos.sql:46</t>
  </si>
  <si>
    <t xml:space="preserve">¿Debe estar diligenciada cuando el estado es TRAMITADO?</t>
  </si>
  <si>
    <t xml:space="preserve">C0621</t>
  </si>
  <si>
    <t xml:space="preserve">avalado_por</t>
  </si>
  <si>
    <t xml:space="preserve">Mapeada en hiring-service/src/entities/pago-contrato.entity.ts:92 (PagoContrato.avaladoPor)</t>
  </si>
  <si>
    <t xml:space="preserve">Usuario que avaló la cuenta de cobro.</t>
  </si>
  <si>
    <t xml:space="preserve">nombre + varchar(200) + vecina avalado_at</t>
  </si>
  <si>
    <t xml:space="preserve">¿Guarda el nombre, el correo o el identificador del usuario (por ejemplo, el supervisor)?</t>
  </si>
  <si>
    <t xml:space="preserve">C0622</t>
  </si>
  <si>
    <t xml:space="preserve">observacion_aval</t>
  </si>
  <si>
    <t xml:space="preserve">Mapeada en hiring-service/src/entities/pago-contrato.entity.ts:95 (PagoContrato.observacionAval)</t>
  </si>
  <si>
    <t xml:space="preserve">Observación registrada al avalar la cuenta de cobro.</t>
  </si>
  <si>
    <t xml:space="preserve">nombre + text + vecinas avalado_*</t>
  </si>
  <si>
    <t xml:space="preserve">C0623</t>
  </si>
  <si>
    <t xml:space="preserve">devuelto_at</t>
  </si>
  <si>
    <t xml:space="preserve">Mapeada en hiring-service/src/entities/pago-contrato.entity.ts:98 (PagoContrato.devueltoAt)</t>
  </si>
  <si>
    <t xml:space="preserve">Fecha y hora en que se devolvió la cuenta de cobro. Un CHECK la relaciona con el estado DEVUELTO.</t>
  </si>
  <si>
    <t xml:space="preserve">nombre + timestamptz + CHECK con estado DEVUELTO + vecina motivo_devolucion</t>
  </si>
  <si>
    <t xml:space="preserve">C0624</t>
  </si>
  <si>
    <t xml:space="preserve">devuelto_por</t>
  </si>
  <si>
    <t xml:space="preserve">Mapeada en hiring-service/src/entities/pago-contrato.entity.ts:101 (PagoContrato.devueltoPor)</t>
  </si>
  <si>
    <t xml:space="preserve">Usuario que devolvió la cuenta de cobro.</t>
  </si>
  <si>
    <t xml:space="preserve">nombre + varchar(200) + vecina devuelto_at</t>
  </si>
  <si>
    <t xml:space="preserve">C0625</t>
  </si>
  <si>
    <t xml:space="preserve">motivo_devolucion</t>
  </si>
  <si>
    <t xml:space="preserve">Mapeada en hiring-service/src/entities/pago-contrato.entity.ts:104 (PagoContrato.motivoDevolucion)</t>
  </si>
  <si>
    <t xml:space="preserve">Motivo de la devolución.</t>
  </si>
  <si>
    <t xml:space="preserve">C0626</t>
  </si>
  <si>
    <t xml:space="preserve">tramitado_at</t>
  </si>
  <si>
    <t xml:space="preserve">db/migrations/hiring/043_tramite_de_pagos.sql:56: Con qué referencia lo tramitó la Dirección Financiera. Es el número que permite encontrar el pago fuera de la plataforma.</t>
  </si>
  <si>
    <t xml:space="preserve">Fecha y hora en que la Dirección Financiera tramitó el pago de la cuenta de cobro. Un CHECK la relaciona con el estado TRAMITADO.</t>
  </si>
  <si>
    <t xml:space="preserve">código: db/migrations/hiring/043_tramite_de_pagos.sql:56 (el comentario describe la referencia del trámite)</t>
  </si>
  <si>
    <t xml:space="preserve">C0627</t>
  </si>
  <si>
    <t xml:space="preserve">tramitado_por</t>
  </si>
  <si>
    <t xml:space="preserve">Mapeada en hiring-service/src/entities/pago-contrato.entity.ts:110 (PagoContrato.tramitadoPor)</t>
  </si>
  <si>
    <t xml:space="preserve">Usuario que tramitó la cuenta de cobro.</t>
  </si>
  <si>
    <t xml:space="preserve">nombre + varchar(200) + vecina tramitado_at</t>
  </si>
  <si>
    <t xml:space="preserve">C0628</t>
  </si>
  <si>
    <t xml:space="preserve">referencia_pago</t>
  </si>
  <si>
    <t xml:space="preserve">hiring-service/src/entities/pago-contrato.entity.ts:114: Con qué referencia lo tramitó Financiera: es cómo se encuentra fuera. | Validación: IsNotEmpty({ message: 'Registra la referencia con la que se tramitó el pago' }), IsString, MaxLength(120)</t>
  </si>
  <si>
    <t xml:space="preserve">Referencia con la que la Dirección Financiera tramitó el pago; permite ubicar el pago fuera de la plataforma.</t>
  </si>
  <si>
    <t xml:space="preserve">código: hiring-service/src/entities/pago-contrato.entity.ts:114; db/migrations/hiring/043_tramite_de_pagos.sql:56</t>
  </si>
  <si>
    <t xml:space="preserve">C0629</t>
  </si>
  <si>
    <t xml:space="preserve">Mapeada en hiring-service/src/entities/pago-contrato.entity.ts:117 (PagoContrato.anuladoAt)</t>
  </si>
  <si>
    <t xml:space="preserve">C0630</t>
  </si>
  <si>
    <t xml:space="preserve">Mapeada en hiring-service/src/entities/pago-contrato.entity.ts:120 (PagoContrato.anuladoPor)</t>
  </si>
  <si>
    <t xml:space="preserve">C0631</t>
  </si>
  <si>
    <t xml:space="preserve">Mapeada en hiring-service/src/entities/pago-contrato.entity.ts:123 (PagoContrato.motivoAnulacion)</t>
  </si>
  <si>
    <t xml:space="preserve">C0632</t>
  </si>
  <si>
    <t xml:space="preserve">parametros_alerta</t>
  </si>
  <si>
    <t xml:space="preserve">Valor vigente del parámetro de alerta. Debe estar entre minimo y maximo.</t>
  </si>
  <si>
    <t xml:space="preserve">nombre + integer + CHECK con minimo y maximo + descripción de la tabla</t>
  </si>
  <si>
    <t xml:space="preserve">¿La unidad depende de la clave (días para plazos, hora para el aviso diario)?</t>
  </si>
  <si>
    <t xml:space="preserve">C0633</t>
  </si>
  <si>
    <t xml:space="preserve">minimo</t>
  </si>
  <si>
    <t xml:space="preserve">db/migrations/hiring/076_plazos_de_las_alertas.sql:22: Los límites viven en la fila y no en el código: la pantalla los lee para decirle a quien edita qué admite, y el servicio los usa para rechazar.</t>
  </si>
  <si>
    <t xml:space="preserve">Valor mínimo que admite el parámetro de alerta. La pantalla lo muestra a quien edita y el servicio lo usa para rechazar valores fuera del rango.</t>
  </si>
  <si>
    <t xml:space="preserve">código: db/migrations/hiring/076_plazos_de_las_alertas.sql:22</t>
  </si>
  <si>
    <t xml:space="preserve">C0634</t>
  </si>
  <si>
    <t xml:space="preserve">maximo</t>
  </si>
  <si>
    <t xml:space="preserve">Valor máximo permitido para el parámetro.</t>
  </si>
  <si>
    <t xml:space="preserve">nombre + integer + CHECK valor &lt;= maximo</t>
  </si>
  <si>
    <t xml:space="preserve">C0635</t>
  </si>
  <si>
    <t xml:space="preserve">Descripción del registro de parametros_alerta.</t>
  </si>
  <si>
    <t xml:space="preserve">C0636</t>
  </si>
  <si>
    <t xml:space="preserve">parametros_mipyme</t>
  </si>
  <si>
    <t xml:space="preserve">Mapeada en hiring-service/src/entities/parametro-mipyme.entity.ts:26 (ParametroMipyme.valor) | Validación: IsNumber({ maxDecimalPlaces: 2 }, { message: 'El salario debe ser un número' }), IsNumber({ maxDecimalPlaces: 2 }, { message: 'El valor debe ser un número' }), IsNumber({}, { message: 'El valor cobrado debe ser un número' }), IsNumber({}, { message: 'El valor comprometido debe ser un número' }), IsNumber({}, { message: 'El valor debe ser un número' }), IsNumber({}, { message: 'El valor del contrato debe ser un número' })</t>
  </si>
  <si>
    <t xml:space="preserve">Valor de la condición que habilita la limitación a MIPYME, expresado en la unidad indicada. Debe ser mayor que cero.</t>
  </si>
  <si>
    <t xml:space="preserve">nombre + numeric + CHECK valor &gt; 0 + vecina unidad</t>
  </si>
  <si>
    <t xml:space="preserve">C0637</t>
  </si>
  <si>
    <t xml:space="preserve">unidad</t>
  </si>
  <si>
    <t xml:space="preserve">PESOS, SMMLV</t>
  </si>
  <si>
    <t xml:space="preserve">hiring-service/src/entities/parametro-mipyme.entity.ts:30: Nula en el mínimo de manifestaciones, que es un conteo sin unidad. | db/migrations/hiring/017_observaciones_y_mipyme.sql:168: SMMLV o PESOS para el tope; nula para el conteo, que no tiene unidad. | Validación: IsIn(['SMMLV', 'PESOS'], { message: 'La unidad debe ser SMMLV o PESOS' }), IsOptional</t>
  </si>
  <si>
    <t xml:space="preserve">Unidad en que se expresa el valor del parámetro: SMMLV o PESOS para el tope; nula para el mínimo de manifestaciones, que es un conteo.</t>
  </si>
  <si>
    <t xml:space="preserve">código: hiring-service/src/entities/parametro-mipyme.entity.ts:30; db/migrations/hiring/017_observaciones_y_mipyme.sql:168</t>
  </si>
  <si>
    <t xml:space="preserve">C0638</t>
  </si>
  <si>
    <t xml:space="preserve">Mapeada en hiring-service/src/entities/parametro-mipyme.entity.ts:33 (ParametroMipyme.descripcion) | Validación: IsNotEmpty({ message: 'Describe el entregable' }), IsNotEmpty({ message: 'Describe la pieza: una lista de archivos sin decir cuál es cuál no documenta nada' }), IsNotEmpty({ message: 'Describe qué acredita el soporte' }), IsOptional, IsString, MaxLength(1000)</t>
  </si>
  <si>
    <t xml:space="preserve">Descripción del registro de parametros_mipyme.</t>
  </si>
  <si>
    <t xml:space="preserve">C0639</t>
  </si>
  <si>
    <t xml:space="preserve">hiring-service/src/entities/parametro-mipyme.entity.ts:41: De dónde sale la cifra. Importa especialmente en el tope: el decreto lo expresa en dólares y su equivalente aquí es una derivación, no un dato oficial. | Validación: IsOptional, IsString</t>
  </si>
  <si>
    <t xml:space="preserve">Origen de la cifra del parámetro. En el tope, el decreto lo expresa en dólares y el valor registrado es una equivalencia derivada.</t>
  </si>
  <si>
    <t xml:space="preserve">código: hiring-service/src/entities/parametro-mipyme.entity.ts:41</t>
  </si>
  <si>
    <t xml:space="preserve">C0640</t>
  </si>
  <si>
    <t xml:space="preserve">hiring-service/src/entities/parametro-mipyme.entity.ts:45: False mientras la Dirección de Contratación no confirme la cifra. | db/migrations/hiring/017_observaciones_y_mipyme.sql:172: False mientras la Dirección de Contratación no confirme la cifra. | Validación: IsBoolean, IsOptional</t>
  </si>
  <si>
    <t xml:space="preserve">Indica si la Dirección de Contratación confirmó la cifra del parámetro; es falso mientras no se confirme.</t>
  </si>
  <si>
    <t xml:space="preserve">código: hiring-service/src/entities/parametro-mipyme.entity.ts:45; db/migrations/hiring/017_observaciones_y_mipyme.sql:172</t>
  </si>
  <si>
    <t xml:space="preserve">C0641</t>
  </si>
  <si>
    <t xml:space="preserve">participaciones_proceso</t>
  </si>
  <si>
    <t xml:space="preserve">papel</t>
  </si>
  <si>
    <t xml:space="preserve">ABOGADO, CONTRATACION, FINANCIERA</t>
  </si>
  <si>
    <t xml:space="preserve">ix_participaciones_papel_vigente, uq_participacion_vigente</t>
  </si>
  <si>
    <t xml:space="preserve">Mapeada en hiring-service/src/entities/participacion-proceso.entity.ts:46 (ParticipacionProceso.papel)</t>
  </si>
  <si>
    <t xml:space="preserve">Papel de la persona en el proceso. Valores permitidos: ABOGADO, CONTRATACION, FINANCIERA.</t>
  </si>
  <si>
    <t xml:space="preserve">valores permitidos del CHECK + índice uq_participacion_vigente</t>
  </si>
  <si>
    <t xml:space="preserve">C0642</t>
  </si>
  <si>
    <t xml:space="preserve">usuario_id</t>
  </si>
  <si>
    <t xml:space="preserve">hiring-service/src/entities/participacion-proceso.entity.ts:50: `id_user` de auth."user", que es lo que el JWT trae en `sub`. | db/migrations/hiring/064_quien_esta_en_el_proceso.sql:40: `id_user` de auth."user", que es lo que el JWT trae en `sub`. Sin llave foránea a propósito, por el mismo criterio de la 038: ese esquema es de otro equipo y una FK entre esquemas ataría nuestras migraciones a las suyas. | Validación: IsUUID('4', { message: 'El abogado se identifica con el id de su cuenta' })</t>
  </si>
  <si>
    <t xml:space="preserve">Identificador de la cuenta de usuario asignada al proceso (id_user de auth."user", el valor que el token JWT trae en sub). Sin llave foránea declarada, por tratarse de un esquema de otro equipo.</t>
  </si>
  <si>
    <t xml:space="preserve">código: hiring-service/src/entities/participacion-proceso.entity.ts:50; db/migrations/hiring/064_quien_esta_en_el_proceso.sql:40</t>
  </si>
  <si>
    <t xml:space="preserve">C0643</t>
  </si>
  <si>
    <t xml:space="preserve">usuario_nombre</t>
  </si>
  <si>
    <t xml:space="preserve">hiring-service/src/entities/participacion-proceso.entity.ts:60: El `username` de la cuenta. Es el identificador que usan los listados: `procesos.created_by` guarda ese mismo username, así que «los que radiqué o los que me tocan» se responde comparando lo mismo en los dos lados. | db/migrations/hiring/064_quien_esta_en_el_proceso.sql:46: El `username` de la cuenta. Es la columna que de verdad usan los listados: `procesos.created_by` guarda ese mismo username, así que preguntar «los que radiqué o los que me tocan» se responde comparando lo mismo en los dos lados. Se guardan los dos identificadores porque el token trae ambos y ninguno</t>
  </si>
  <si>
    <t xml:space="preserve">Nombre de usuario (username) de la cuenta asignada al proceso. Es el identificador que usan los listados y coincide con el que guarda procesos.created_by.</t>
  </si>
  <si>
    <t xml:space="preserve">código: hiring-service/src/entities/participacion-proceso.entity.ts:60; db/migrations/hiring/064_quien_esta_en_el_proceso.sql:46</t>
  </si>
  <si>
    <t xml:space="preserve">C0644</t>
  </si>
  <si>
    <t xml:space="preserve">hiring-service/src/entities/participacion-proceso.entity.ts:64: `id_person` del directorio; nulo si la cuenta no tiene persona enlazada. | db/migrations/hiring/064_quien_esta_en_el_proceso.sql:50: `id_person` del directorio, para enlazar la cuenta con la persona cuando haga falta mostrar cargo o dependencia. Nulo si la cuenta no tiene persona. | Validación: IsUUID('4', { message: 'Cada miembro se identifica con el id de la persona del directorio' }), IsUUID('4', { message: 'El supervisor se identifica con el id de la persona del directorio' })</t>
  </si>
  <si>
    <t xml:space="preserve">Identificador de la persona en el directorio (id_person) asociada a la cuenta asignada; permite mostrar cargo o dependencia. Nulo si la cuenta no tiene persona enlazada.</t>
  </si>
  <si>
    <t xml:space="preserve">código: hiring-service/src/entities/participacion-proceso.entity.ts:64; db/migrations/hiring/064_quien_esta_en_el_proceso.sql:50</t>
  </si>
  <si>
    <t xml:space="preserve">C0645</t>
  </si>
  <si>
    <t xml:space="preserve">hiring-service/src/entities/participacion-proceso.entity.ts:68: Copia del nombre al entrar: el reparto se hizo sobre esa persona ese día. | db/migrations/hiring/064_quien_esta_en_el_proceso.sql:52: Copia del nombre al entrar: el reparto se hizo sobre esa persona ese día. | Validación: IsNotEmpty, IsNotEmpty({ message: 'Cada miembro necesita el nombre con el que se le designa' }), IsNotEmpty({ message: 'El nombre de la MIPYME es obligatorio' }), IsNotEmpty({ message: 'Indica el nombre o la razón social del oferente' }), IsNotEmpty({ message: 'La tipología necesita un nombre' }), IsNotEmpty({ message: 'Registra el nombre de quien se designa como supervisor' })</t>
  </si>
  <si>
    <t xml:space="preserve">Nombre de la persona asignada al proceso, copiado en el momento de la asignación.</t>
  </si>
  <si>
    <t xml:space="preserve">código: hiring-service/src/entities/participacion-proceso.entity.ts:68; db/migrations/hiring/064_quien_esta_en_el_proceso.sql:52</t>
  </si>
  <si>
    <t xml:space="preserve">C0646</t>
  </si>
  <si>
    <t xml:space="preserve">cargo</t>
  </si>
  <si>
    <t xml:space="preserve">Mapeada en hiring-service/src/entities/participacion-proceso.entity.ts:71 (ParticipacionProceso.cargo) | Validación: IsOptional, IsString, MaxLength(200)</t>
  </si>
  <si>
    <t xml:space="preserve">Cargo de la persona asignada al proceso.</t>
  </si>
  <si>
    <t xml:space="preserve">C0647</t>
  </si>
  <si>
    <t xml:space="preserve">email</t>
  </si>
  <si>
    <t xml:space="preserve">Mapeada en hiring-service/src/entities/participacion-proceso.entity.ts:74 (ParticipacionProceso.email) | Validación: IsEmail({}, { message: 'El correo del supervisor no tiene un formato válido' }), IsOptional, MaxLength(200)</t>
  </si>
  <si>
    <t xml:space="preserve">Correo electrónico.</t>
  </si>
  <si>
    <t xml:space="preserve">C0648</t>
  </si>
  <si>
    <t xml:space="preserve">hiring-service/src/entities/participacion-proceso.entity.ts:83: Quién lo puso ahí. En el papel `CONTRATACION` es la propia persona: el proceso no se lo entrega nadie, lo toma de la bandeja compartida. | db/migrations/hiring/064_quien_esta_en_el_proceso.sql:58: Quién lo puso ahí. En el papel CONTRATACION es la propia persona: el proceso no se lo entrega nadie, lo toma de la bandeja compartida.</t>
  </si>
  <si>
    <t xml:space="preserve">Usuario que asignó a la persona al proceso. En el papel CONTRATACION es la misma persona, que toma el proceso de la bandeja compartida.</t>
  </si>
  <si>
    <t xml:space="preserve">código: hiring-service/src/entities/participacion-proceso.entity.ts:83; db/migrations/hiring/064_quien_esta_en_el_proceso.sql:58</t>
  </si>
  <si>
    <t xml:space="preserve">C0649</t>
  </si>
  <si>
    <t xml:space="preserve">asignado_at</t>
  </si>
  <si>
    <t xml:space="preserve">Mapeada en hiring-service/src/entities/participacion-proceso.entity.ts:86 (ParticipacionProceso.asignadoAt)</t>
  </si>
  <si>
    <t xml:space="preserve">C0650</t>
  </si>
  <si>
    <t xml:space="preserve">RELEVADO, VIGENTE</t>
  </si>
  <si>
    <t xml:space="preserve">Mapeada en hiring-service/src/entities/participacion-proceso.entity.ts:89 (ParticipacionProceso.estado)</t>
  </si>
  <si>
    <t xml:space="preserve">Estado del registro de participaciones_proceso.</t>
  </si>
  <si>
    <t xml:space="preserve">C0651</t>
  </si>
  <si>
    <t xml:space="preserve">relevado_at</t>
  </si>
  <si>
    <t xml:space="preserve">Mapeada en hiring-service/src/entities/participacion-proceso.entity.ts:95 (ParticipacionProceso.relevadoAt)</t>
  </si>
  <si>
    <t xml:space="preserve">Fecha y hora en que la persona fue relevada del proceso. Un CHECK la relaciona con el estado RELEVADO.</t>
  </si>
  <si>
    <t xml:space="preserve">nombre + timestamptz + CHECK con estado RELEVADO + vecina motivo_relevo</t>
  </si>
  <si>
    <t xml:space="preserve">C0652</t>
  </si>
  <si>
    <t xml:space="preserve">relevado_por</t>
  </si>
  <si>
    <t xml:space="preserve">Mapeada en hiring-service/src/entities/participacion-proceso.entity.ts:98 (ParticipacionProceso.relevadoPor)</t>
  </si>
  <si>
    <t xml:space="preserve">Usuario que registró el relevo.</t>
  </si>
  <si>
    <t xml:space="preserve">nombre + varchar(200) + vecina relevado_at</t>
  </si>
  <si>
    <t xml:space="preserve">C0653</t>
  </si>
  <si>
    <t xml:space="preserve">motivo_relevo</t>
  </si>
  <si>
    <t xml:space="preserve">Mapeada en hiring-service/src/entities/participacion-proceso.entity.ts:101 (ParticipacionProceso.motivoRelevo)</t>
  </si>
  <si>
    <t xml:space="preserve">Motivo del relevo.</t>
  </si>
  <si>
    <t xml:space="preserve">C0654</t>
  </si>
  <si>
    <t xml:space="preserve">piezas_audiencia</t>
  </si>
  <si>
    <t xml:space="preserve">ANEXO, GRABACION, OBSERVACION</t>
  </si>
  <si>
    <t xml:space="preserve">db/migrations/hiring/040_adjudicacion.sql:95: GRABACION es el registro audiovisual; OBSERVACION, lo que se planteó en la audiencia y su respuesta; ANEXO, todo lo demás que la entidad quiera dejar. | Validación: IsIn(TIPOS_CAMPO as unknown as string[]), IsIn(TIPOS_LIQUIDACION, {
    message: 'La liquidación es bilateral, de común acuerdo, o unilateral, por acto de la entidad',
  }), IsIn(TIPOS_REGLA as unknown as string[]), IsIn(TIPOS_SOPORTE, {
    message: 'El soporte es seguridad social, RUT, certificación bancaria u otro',
  }), IsIn(['GRABACION', 'OBSERVACION', 'ANEXO'], {
    message: 'Di qué es: una grabación, una observación con su respuesta, o un anexo',
  }), IsIn(['INFORME', 'ACTA', 'SOPORTE'], {
    message: 'El soporte es un informe, un acta u otro documento de la ejecución',
  })</t>
  </si>
  <si>
    <t xml:space="preserve">Tipo de pieza que documenta la audiencia además del acta: GRABACION (registro audiovisual), OBSERVACION (lo planteado en la audiencia y su respuesta) o ANEXO (otro documento que la entidad quiera dejar).</t>
  </si>
  <si>
    <t xml:space="preserve">código: db/migrations/hiring/040_adjudicacion.sql:95</t>
  </si>
  <si>
    <t xml:space="preserve">C0655</t>
  </si>
  <si>
    <t xml:space="preserve">Mapeada en hiring-service/src/entities/audiencia-adjudicacion.entity.ts:89 (PiezaAudiencia.descripcion) | Validación: IsNotEmpty({ message: 'Describe el entregable' }), IsNotEmpty({ message: 'Describe la pieza: una lista de archivos sin decir cuál es cuál no documenta nada' }), IsNotEmpty({ message: 'Describe qué acredita el soporte' }), IsOptional, IsString, MaxLength(1000)</t>
  </si>
  <si>
    <t xml:space="preserve">Descripción del registro de piezas_audiencia.</t>
  </si>
  <si>
    <t xml:space="preserve">C0656</t>
  </si>
  <si>
    <t xml:space="preserve">Mapeada en hiring-service/src/entities/audiencia-adjudicacion.entity.ts:92 (PiezaAudiencia.cargadaPor)</t>
  </si>
  <si>
    <t xml:space="preserve">C0657</t>
  </si>
  <si>
    <t xml:space="preserve">plantillas</t>
  </si>
  <si>
    <t xml:space="preserve">uq_plantilla_codigo_version</t>
  </si>
  <si>
    <t xml:space="preserve">hiring-service/src/entities/plantilla.entity.ts:17: Código del SIG, p. ej. BS-FO-047. | db/migrations/hiring/006_estudio_previo_documental.sql:25: Código del Sistema Integrado de Gestión (Isolución) | Validación: IsNotEmpty, IsNotEmpty({ message: 'La tipología necesita un código' }), IsOptional, IsString, MaxLength(40), MaxLength(60)</t>
  </si>
  <si>
    <t xml:space="preserve">Código del formato en el Sistema Integrado de Gestión (Isolución), por ejemplo BS-FO-047.</t>
  </si>
  <si>
    <t xml:space="preserve">código: hiring-service/src/entities/plantilla.entity.ts:17; db/migrations/hiring/006_estudio_previo_documental.sql:25</t>
  </si>
  <si>
    <t xml:space="preserve">C0658</t>
  </si>
  <si>
    <t xml:space="preserve">character varying(400)</t>
  </si>
  <si>
    <t xml:space="preserve">Mapeada en hiring-service/src/entities/plantilla.entity.ts:20 (Plantilla.nombre) | Validación: IsNotEmpty, IsNotEmpty({ message: 'Cada miembro necesita el nombre con el que se le designa' }), IsNotEmpty({ message: 'El nombre de la MIPYME es obligatorio' }), IsNotEmpty({ message: 'Indica el nombre o la razón social del oferente' }), IsNotEmpty({ message: 'La tipología necesita un nombre' }), IsNotEmpty({ message: 'Registra el nombre de quien se designa como supervisor' })</t>
  </si>
  <si>
    <t xml:space="preserve">Nombre del registro de plantillas.</t>
  </si>
  <si>
    <t xml:space="preserve">C0659</t>
  </si>
  <si>
    <t xml:space="preserve">idx_plantillas_numeral</t>
  </si>
  <si>
    <t xml:space="preserve">Mapeada en hiring-service/src/entities/plantilla.entity.ts:23 (Plantilla.numeral) | Validación: IsNotEmpty, IsOptional, IsString, MaxLength(20)</t>
  </si>
  <si>
    <t xml:space="preserve">Numeral de la actividad del proceso de contratación al que corresponde la plantilla.</t>
  </si>
  <si>
    <t xml:space="preserve">nombre + varchar(20) + índice + uso de numeral en proceso_actividades</t>
  </si>
  <si>
    <t xml:space="preserve">¿El numeral corresponde a la actividad del procedimiento (por ejemplo, 3.7) o al código del formato del SIG?</t>
  </si>
  <si>
    <t xml:space="preserve">C0660</t>
  </si>
  <si>
    <t xml:space="preserve">Mapeada en hiring-service/src/entities/plantilla.entity.ts:26 (Plantilla.version) | Validación: IsInt, IsOptional, Min(1)</t>
  </si>
  <si>
    <t xml:space="preserve">C0661</t>
  </si>
  <si>
    <t xml:space="preserve">fecha_aprobacion</t>
  </si>
  <si>
    <t xml:space="preserve">Mapeada en hiring-service/src/entities/plantilla.entity.ts:29 (Plantilla.fechaAprobacion) | Validación: IsOptional, IsString</t>
  </si>
  <si>
    <t xml:space="preserve">Fecha de aprobación.</t>
  </si>
  <si>
    <t xml:space="preserve">C0662</t>
  </si>
  <si>
    <t xml:space="preserve">hiring-service/src/entities/plantilla.entity.ts:33: Modalidades a las que aplica el formato; vacío = todas. | db/migrations/hiring/006_estudio_previo_documental.sql:31: Modalidades a las que aplica el formato; vacío = todas | Validación: IsArray, IsOptional, IsString({ each: true })</t>
  </si>
  <si>
    <t xml:space="preserve">Modalidades de contratación a las que aplica el formato, en formato JSON (lista). Una lista vacía significa que aplica a todas.</t>
  </si>
  <si>
    <t xml:space="preserve">código: hiring-service/src/entities/plantilla.entity.ts:33; db/migrations/hiring/006_estudio_previo_documental.sql:31</t>
  </si>
  <si>
    <t xml:space="preserve">C0663</t>
  </si>
  <si>
    <t xml:space="preserve">Mapeada en hiring-service/src/entities/plantilla.entity.ts:36 (Plantilla.archivoUrl)</t>
  </si>
  <si>
    <t xml:space="preserve">URL del archivo de la plantilla.</t>
  </si>
  <si>
    <t xml:space="preserve">C0664</t>
  </si>
  <si>
    <t xml:space="preserve">Mapeada en hiring-service/src/entities/plantilla.entity.ts:39 (Plantilla.activo) | Validación: IsBoolean, IsOptional</t>
  </si>
  <si>
    <t xml:space="preserve">C0665</t>
  </si>
  <si>
    <t xml:space="preserve">plazo_publicacion_acta</t>
  </si>
  <si>
    <t xml:space="preserve">dias_habiles</t>
  </si>
  <si>
    <t xml:space="preserve">Mapeada en hiring-service/src/entities/publicacion-acta.entity.ts:78 (PlazoPublicacionActa.diasHabiles) | Validación: IsInt({ message: 'El plazo debe ser un número entero de días' }), Max(365, { message: 'Un plazo de publicidad de más de un año no es plausible' }), Min(1, { message: 'El plazo debe ser de al menos un día hábil' })</t>
  </si>
  <si>
    <t xml:space="preserve">Número de días hábiles.</t>
  </si>
  <si>
    <t xml:space="preserve">C0666</t>
  </si>
  <si>
    <t xml:space="preserve">hiring-service/src/entities/publicacion-acta.entity.ts:82: De dónde sale la cifra: norma o acta que la respalda. | Validación: IsOptional, IsString</t>
  </si>
  <si>
    <t xml:space="preserve">Origen de la cifra del plazo para publicar el acta: norma o acta que la respalda.</t>
  </si>
  <si>
    <t xml:space="preserve">código: hiring-service/src/entities/publicacion-acta.entity.ts:82</t>
  </si>
  <si>
    <t xml:space="preserve">C0667</t>
  </si>
  <si>
    <t xml:space="preserve">hiring-service/src/entities/publicacion-acta.entity.ts:86: False mientras la Dirección de Contratación no valide el número. | Validación: IsBoolean, IsOptional</t>
  </si>
  <si>
    <t xml:space="preserve">Indica si la Dirección de Contratación validó el plazo para publicar el acta; es falso mientras no se valide.</t>
  </si>
  <si>
    <t xml:space="preserve">código: hiring-service/src/entities/publicacion-acta.entity.ts:86</t>
  </si>
  <si>
    <t xml:space="preserve">C0668</t>
  </si>
  <si>
    <t xml:space="preserve">actualizado_at</t>
  </si>
  <si>
    <t xml:space="preserve">Mapeada en hiring-service/src/entities/publicacion-acta.entity.ts:89 (PlazoPublicacionActa.actualizadoAt)</t>
  </si>
  <si>
    <t xml:space="preserve">Fecha y hora de la actualización.</t>
  </si>
  <si>
    <t xml:space="preserve">C0669</t>
  </si>
  <si>
    <t xml:space="preserve">plazo_publicacion_contrato</t>
  </si>
  <si>
    <t xml:space="preserve">Mapeada en hiring-service/src/entities/publicacion-contrato.entity.ts:64 (PlazoPublicacionContrato.diasHabiles) | Validación: IsInt({ message: 'El plazo debe ser un número entero de días' }), Max(365, { message: 'Un plazo de publicidad de más de un año no es plausible' }), Min(1, { message: 'El plazo debe ser de al menos un día hábil' })</t>
  </si>
  <si>
    <t xml:space="preserve">C0670</t>
  </si>
  <si>
    <t xml:space="preserve">hiring-service/src/entities/publicacion-contrato.entity.ts:68: De dónde sale la cifra: norma o acta que la respalda. | Validación: IsOptional, IsString</t>
  </si>
  <si>
    <t xml:space="preserve">Origen de la cifra del plazo para publicar el contrato: norma o acta que la respalda.</t>
  </si>
  <si>
    <t xml:space="preserve">código: hiring-service/src/entities/publicacion-contrato.entity.ts:68</t>
  </si>
  <si>
    <t xml:space="preserve">C0671</t>
  </si>
  <si>
    <t xml:space="preserve">hiring-service/src/entities/publicacion-contrato.entity.ts:72: False mientras la Dirección de Contratación no valide el número. | db/migrations/hiring/040_publicacion_contrato.sql:29: False mientras la Dirección de Contratación no valide el número: un plazo sin confirmar se muestra advertido, no como si fuera cierto. | Validación: IsBoolean, IsOptional</t>
  </si>
  <si>
    <t xml:space="preserve">Indica si la Dirección de Contratación validó el plazo para publicar el contrato; es falso mientras no se valide, y un plazo sin confirmar se muestra con advertencia.</t>
  </si>
  <si>
    <t xml:space="preserve">código: hiring-service/src/entities/publicacion-contrato.entity.ts:72; db/migrations/hiring/040_publicacion_contrato.sql:29</t>
  </si>
  <si>
    <t xml:space="preserve">C0672</t>
  </si>
  <si>
    <t xml:space="preserve">Mapeada en hiring-service/src/entities/publicacion-contrato.entity.ts:75 (PlazoPublicacionContrato.actualizadoAt)</t>
  </si>
  <si>
    <t xml:space="preserve">C0673</t>
  </si>
  <si>
    <t xml:space="preserve">plazos_ofertas</t>
  </si>
  <si>
    <t xml:space="preserve">Mapeada en hiring-service/src/entities/plazo-ofertas.entity.ts:18 (PlazoOfertas.diasHabiles) | Validación: IsInt({ message: 'El plazo debe ser un número entero de días' }), Max(365, { message: 'Un plazo de publicidad de más de un año no es plausible' }), Min(1, { message: 'El plazo debe ser de al menos un día hábil' })</t>
  </si>
  <si>
    <t xml:space="preserve">C0674</t>
  </si>
  <si>
    <t xml:space="preserve">hiring-service/src/entities/plazo-ofertas.entity.ts:22: De dónde sale el número, con el mismo criterio de los plazos de publicidad. | db/migrations/hiring/024_recepcion_de_ofertas.sql:47: De dónde sale el número, con el mismo criterio de la 016. | Validación: IsOptional, IsString</t>
  </si>
  <si>
    <t xml:space="preserve">Origen del número de días del plazo de recepción de ofertas: norma o acta que lo respalda.</t>
  </si>
  <si>
    <t xml:space="preserve">código: hiring-service/src/entities/plazo-ofertas.entity.ts:22; db/migrations/hiring/024_recepcion_de_ofertas.sql:47 (remiten al criterio de los plazos de publicidad)</t>
  </si>
  <si>
    <t xml:space="preserve">C0675</t>
  </si>
  <si>
    <t xml:space="preserve">hiring-service/src/entities/plazo-ofertas.entity.ts:31: False mientras la Dirección de Contratación no confirme el plazo. Todos entran sin confirmar: la historia da por supuesto que el proceso tiene plazo de ofertas vigente, pero no dice de cuánto ni quién lo fija. | db/migrations/hiring/024_recepcion_de_ofertas.sql:49: False mientras la Dirección de Contratación no confirme el plazo. | Validación: IsBoolean, IsOptional</t>
  </si>
  <si>
    <t xml:space="preserve">Indica si la Dirección de Contratación confirmó el plazo de recepción de ofertas; es falso mientras no se confirme, y los plazos se cargan sin confirmar.</t>
  </si>
  <si>
    <t xml:space="preserve">código: hiring-service/src/entities/plazo-ofertas.entity.ts:31; db/migrations/hiring/024_recepcion_de_ofertas.sql:49</t>
  </si>
  <si>
    <t xml:space="preserve">C0676</t>
  </si>
  <si>
    <t xml:space="preserve">plazos_publicacion</t>
  </si>
  <si>
    <t xml:space="preserve">Mapeada en hiring-service/src/entities/plazo-publicacion.entity.ts:16 (PlazoPublicacion.diasHabiles) | Validación: IsInt({ message: 'El plazo debe ser un número entero de días' }), Max(365, { message: 'Un plazo de publicidad de más de un año no es plausible' }), Min(1, { message: 'El plazo debe ser de al menos un día hábil' })</t>
  </si>
  <si>
    <t xml:space="preserve">C0677</t>
  </si>
  <si>
    <t xml:space="preserve">hiring-service/src/entities/plazo-publicacion.entity.ts:23: De dónde sale el número. Sin esto, dentro de un año nadie sabrá si el 5 vino del decreto o de un supuesto del equipo. | db/migrations/hiring/016_publicacion_pliego.sql:53: De dónde sale el número. Sin esto, dentro de un año nadie sabrá si el 5 vino del decreto o de un supuesto del equipo. | Validación: IsOptional, IsString</t>
  </si>
  <si>
    <t xml:space="preserve">Origen del número de días del plazo de publicidad del proyecto de pliego (por ejemplo, el decreto o un supuesto del equipo).</t>
  </si>
  <si>
    <t xml:space="preserve">código: hiring-service/src/entities/plazo-publicacion.entity.ts:23; db/migrations/hiring/016_publicacion_pliego.sql:53</t>
  </si>
  <si>
    <t xml:space="preserve">C0678</t>
  </si>
  <si>
    <t xml:space="preserve">hiring-service/src/entities/plazo-publicacion.entity.ts:27: False mientras la Dirección de Contratación no confirme el plazo. | db/migrations/hiring/016_publicacion_pliego.sql:55: False mientras la Dirección de Contratación no confirme el plazo. | Validación: IsBoolean, IsOptional</t>
  </si>
  <si>
    <t xml:space="preserve">Indica si la Dirección de Contratación confirmó el plazo de publicidad del proyecto de pliego; es falso mientras no se confirme.</t>
  </si>
  <si>
    <t xml:space="preserve">código: hiring-service/src/entities/plazo-publicacion.entity.ts:27; db/migrations/hiring/016_publicacion_pliego.sql:55</t>
  </si>
  <si>
    <t xml:space="preserve">C0679</t>
  </si>
  <si>
    <t xml:space="preserve">plazos_traslado</t>
  </si>
  <si>
    <t xml:space="preserve">Mapeada en hiring-service/src/entities/plazo-traslado.entity.ts:21 (PlazoTraslado.diasHabiles) | Validación: IsInt({ message: 'El plazo debe ser un número entero de días' }), Max(365, { message: 'Un plazo de publicidad de más de un año no es plausible' }), Min(1, { message: 'El plazo debe ser de al menos un día hábil' })</t>
  </si>
  <si>
    <t xml:space="preserve">C0680</t>
  </si>
  <si>
    <t xml:space="preserve">Mapeada en hiring-service/src/entities/plazo-traslado.entity.ts:24 (PlazoTraslado.fundamento) | Validación: IsOptional, IsString</t>
  </si>
  <si>
    <t xml:space="preserve">Fundamento normativo del plazo.</t>
  </si>
  <si>
    <t xml:space="preserve">nombre + text + vecinas dias_habiles y confirmado</t>
  </si>
  <si>
    <t xml:space="preserve">¿Guarda la norma o el texto que sustenta el plazo?</t>
  </si>
  <si>
    <t xml:space="preserve">C0681</t>
  </si>
  <si>
    <t xml:space="preserve">hiring-service/src/entities/plazo-traslado.entity.ts:33: False mientras la Dirección de Contratación no confirme el plazo. Todos entran sin confirmar: RF-PUB-08 dice "traslado con plazos por modalidad" y no cifra ninguno. Ver EFDS-1467. | db/migrations/hiring/039_traslado_y_subsanaciones.sql:37: False mientras la Dirección de Contratación no confirme el plazo. | Validación: IsBoolean, IsOptional</t>
  </si>
  <si>
    <t xml:space="preserve">Indica si la Dirección de Contratación confirmó el plazo de traslado del informe de evaluación; es falso mientras no se confirme, y los plazos se cargan sin confirmar (RF-PUB-08, EFDS-1467).</t>
  </si>
  <si>
    <t xml:space="preserve">código: hiring-service/src/entities/plazo-traslado.entity.ts:33; db/migrations/hiring/039_traslado_y_subsanaciones.sql:37</t>
  </si>
  <si>
    <t xml:space="preserve">C0682</t>
  </si>
  <si>
    <t xml:space="preserve">proceso_actividades</t>
  </si>
  <si>
    <t xml:space="preserve">uq_proceso_numeral</t>
  </si>
  <si>
    <t xml:space="preserve">Mapeada en hiring-service/src/entities/proceso-actividad.entity.ts:36 (ProcesoActividad.numeral) | Validación: IsNotEmpty, IsOptional, IsString, MaxLength(20)</t>
  </si>
  <si>
    <t xml:space="preserve">Numeral de la actividad dentro del procedimiento de contratación. Es único por proceso.</t>
  </si>
  <si>
    <t xml:space="preserve">nombre + varchar(20) + índice uq_proceso_numeral</t>
  </si>
  <si>
    <t xml:space="preserve">C0683</t>
  </si>
  <si>
    <t xml:space="preserve">APROBADO, BORRADOR, DEVUELTO, EN_REVISION, NEGADO, NO_APLICA</t>
  </si>
  <si>
    <t xml:space="preserve">Mapeada en hiring-service/src/entities/proceso-actividad.entity.ts:39 (ProcesoActividad.estado)</t>
  </si>
  <si>
    <t xml:space="preserve">Estado del registro de proceso_actividades.</t>
  </si>
  <si>
    <t xml:space="preserve">C0684</t>
  </si>
  <si>
    <t xml:space="preserve">datos</t>
  </si>
  <si>
    <t xml:space="preserve">hiring-service/src/entities/proceso-actividad.entity.ts:43: Valores del formulario, con la forma que define campos_formulario. | Validación: IsObject, IsOptional</t>
  </si>
  <si>
    <t xml:space="preserve">Valores del formulario diligenciado en la actividad, en formato JSON, con la estructura que define campos_formulario.</t>
  </si>
  <si>
    <t xml:space="preserve">código: hiring-service/src/entities/proceso-actividad.entity.ts:43</t>
  </si>
  <si>
    <t xml:space="preserve">C0685</t>
  </si>
  <si>
    <t xml:space="preserve">hiring-service/src/entities/proceso-actividad.entity.ts:47: Optimistic lock: se incrementa en cada guardado. | db/migrations/hiring/003_estudio_previo.sql:53: Optimistic lock: se incrementa en cada guardado; el cliente manda la versión que leyó y un desfase responde 409 en vez de pisar cambios. | Validación: IsInt, IsOptional, Min(1)</t>
  </si>
  <si>
    <t xml:space="preserve">Versión del registro para control de concurrencia optimista: se incrementa en cada guardado y, si la versión que envía el cliente no coincide, la operación se rechaza (409) en lugar de sobrescribir cambios.</t>
  </si>
  <si>
    <t xml:space="preserve">código: hiring-service/src/entities/proceso-actividad.entity.ts:47; db/migrations/hiring/003_estudio_previo.sql:53</t>
  </si>
  <si>
    <t xml:space="preserve">C0686</t>
  </si>
  <si>
    <t xml:space="preserve">enviado_por</t>
  </si>
  <si>
    <t xml:space="preserve">Mapeada en hiring-service/src/entities/proceso-actividad.entity.ts:50 (ProcesoActividad.enviadoPor)</t>
  </si>
  <si>
    <t xml:space="preserve">Usuario que realizó el envío.</t>
  </si>
  <si>
    <t xml:space="preserve">C0687</t>
  </si>
  <si>
    <t xml:space="preserve">enviado_at</t>
  </si>
  <si>
    <t xml:space="preserve">Mapeada en hiring-service/src/entities/proceso-actividad.entity.ts:66 (ProcesoActividad.enviadoAt)</t>
  </si>
  <si>
    <t xml:space="preserve">Fecha y hora del envío.</t>
  </si>
  <si>
    <t xml:space="preserve">C0688</t>
  </si>
  <si>
    <t xml:space="preserve">Mapeada en hiring-service/src/entities/proceso-actividad.entity.ts:69 (ProcesoActividad.revisadoPor)</t>
  </si>
  <si>
    <t xml:space="preserve">C0689</t>
  </si>
  <si>
    <t xml:space="preserve">revisado_at</t>
  </si>
  <si>
    <t xml:space="preserve">Mapeada en hiring-service/src/entities/proceso-actividad.entity.ts:72 (ProcesoActividad.revisadoAt)</t>
  </si>
  <si>
    <t xml:space="preserve">C0690</t>
  </si>
  <si>
    <t xml:space="preserve">documento_requerido</t>
  </si>
  <si>
    <t xml:space="preserve">Indica si el registro está documento requerido.</t>
  </si>
  <si>
    <t xml:space="preserve">C0691</t>
  </si>
  <si>
    <t xml:space="preserve">procesos</t>
  </si>
  <si>
    <t xml:space="preserve">radicado</t>
  </si>
  <si>
    <t xml:space="preserve">procesos_radicado_key</t>
  </si>
  <si>
    <t xml:space="preserve">Mapeada en hiring-service/src/entities/proceso.entity.ts:22 (Proceso.radicado) | Validación: IsOptional, IsString, MaxLength(120)</t>
  </si>
  <si>
    <t xml:space="preserve">Número de radicado del proceso de contratación. Es único.</t>
  </si>
  <si>
    <t xml:space="preserve">nombre + varchar(60) + restricción única</t>
  </si>
  <si>
    <t xml:space="preserve">C0692</t>
  </si>
  <si>
    <t xml:space="preserve">Mapeada en hiring-service/src/entities/proceso.entity.ts:39 (Proceso.objeto) | Validación: IsNotEmpty({ message: 'Describe qué modifica la adenda' }), IsNotEmpty({ message: 'El objeto del proceso es obligatorio' }), IsOptional, IsString, MaxLength(2000), MaxLength(4000)</t>
  </si>
  <si>
    <t xml:space="preserve">Objeto del proceso de contratación.</t>
  </si>
  <si>
    <t xml:space="preserve">nombre + text not null + contexto de contratación</t>
  </si>
  <si>
    <t xml:space="preserve">C0693</t>
  </si>
  <si>
    <t xml:space="preserve">hiring-service/src/entities/proceso.entity.ts:91: Etapa de la matriz de flujo. Este HU trabaja siempre sobre la 3. | db/migrations/hiring/003_estudio_previo.sql:25: Materializa el "Dado: proceso en etapa de Estudios Previos" del criterio 1</t>
  </si>
  <si>
    <t xml:space="preserve">Etapa del proceso en la matriz de flujo. El valor por defecto 3 corresponde a la etapa de Estudios Previos.</t>
  </si>
  <si>
    <t xml:space="preserve">código: hiring-service/src/entities/proceso.entity.ts:91; db/migrations/hiring/003_estudio_previo.sql:25</t>
  </si>
  <si>
    <t xml:space="preserve">¿Qué representa cada número de etapa de la matriz de flujo?</t>
  </si>
  <si>
    <t xml:space="preserve">C0694</t>
  </si>
  <si>
    <t xml:space="preserve">fecha_radicacion</t>
  </si>
  <si>
    <t xml:space="preserve">Mapeada en hiring-service/src/entities/proceso.entity.ts:104 (Proceso.fechaRadicacion) | Validación: IsISO8601({ strict: true },
    { message: 'La radicación debe llevar fecha y hora en ISO 8601, por ejemplo 2026-09-01T09:35:00-05:00' },)</t>
  </si>
  <si>
    <t xml:space="preserve">Fecha de radicación.</t>
  </si>
  <si>
    <t xml:space="preserve">C0695</t>
  </si>
  <si>
    <t xml:space="preserve">publicaciones_acta</t>
  </si>
  <si>
    <t xml:space="preserve">destino</t>
  </si>
  <si>
    <t xml:space="preserve">SECOP_II, WEB_ESAP</t>
  </si>
  <si>
    <t xml:space="preserve">uq_publicacion_acta_destino</t>
  </si>
  <si>
    <t xml:space="preserve">db/migrations/hiring/047_publicacion_acta_y_archivo.sql:69: Mismo par de destinos que la publicación del contrato y por la misma razón: la historia dice SECOP II y la matriz habla de la página web de la ESAP. | Validación: IsIn(['SECOP_II', 'WEB_ESAP'], {
    message: 'El destino de la publicación es SECOP_II o WEB_ESAP',
  }), IsIn(['SECOP_II', 'WEB_ESAP'], { message: 'El destino debe ser SECOP_II o WEB_ESAP' })</t>
  </si>
  <si>
    <t xml:space="preserve">Medio donde se publica el acta de liquidación: SECOP_II o WEB_ESAP (página web de la ESAP). Se registra el sitio de cada publicación.</t>
  </si>
  <si>
    <t xml:space="preserve">código: db/migrations/hiring/047_publicacion_acta_y_archivo.sql:69</t>
  </si>
  <si>
    <t xml:space="preserve">C0696</t>
  </si>
  <si>
    <t xml:space="preserve">hiring-service/src/entities/publicacion-acta.entity.ts:39: La real, no la del registro: es la que cuenta para el plazo. | db/migrations/hiring/047_publicacion_acta_y_archivo.sql:73: La real, no la del registro: es la que cuenta para el plazo. Alguien puede registrar el lunes lo que publicó el viernes. | Validación: IsDateString({}, { message: 'La fecha de publicación debe tener el formato YYYY-MM-DD' }), IsISO8601({ strict: true }, { message: 'La fecha debe tener formato YYYY-MM-DD' })</t>
  </si>
  <si>
    <t xml:space="preserve">Fecha real de publicación del acta de liquidación, no la de su registro en la plataforma; es la que cuenta para el plazo.</t>
  </si>
  <si>
    <t xml:space="preserve">código: hiring-service/src/entities/publicacion-acta.entity.ts:39; db/migrations/hiring/047_publicacion_acta_y_archivo.sql:73</t>
  </si>
  <si>
    <t xml:space="preserve">C0697</t>
  </si>
  <si>
    <t xml:space="preserve">hiring-service/src/entities/publicacion-acta.entity.ts:43: Congelado al registrar: si mañana cambia el parámetro, esta no se mueve. | db/migrations/hiring/047_publicacion_acta_y_archivo.sql:77: Plazo vigente el día del registro, congelado. Si mañana cambia el parámetro, esta publicación se siguió juzgando con el de su momento.</t>
  </si>
  <si>
    <t xml:space="preserve">Plazo en días hábiles vigente el día del registro, congelado: si después cambia el parámetro, la publicación conserva el plazo con que se juzgó.</t>
  </si>
  <si>
    <t xml:space="preserve">código: hiring-service/src/entities/publicacion-acta.entity.ts:43; db/migrations/hiring/047_publicacion_acta_y_archivo.sql:77</t>
  </si>
  <si>
    <t xml:space="preserve">C0698</t>
  </si>
  <si>
    <t xml:space="preserve">fecha_limite</t>
  </si>
  <si>
    <t xml:space="preserve">Mapeada en hiring-service/src/entities/publicacion-acta.entity.ts:46 (PublicacionActa.fechaLimite)</t>
  </si>
  <si>
    <t xml:space="preserve">Fecha límite.</t>
  </si>
  <si>
    <t xml:space="preserve">C0699</t>
  </si>
  <si>
    <t xml:space="preserve">secop_numero</t>
  </si>
  <si>
    <t xml:space="preserve">Mapeada en hiring-service/src/entities/publicacion-acta.entity.ts:49 (PublicacionActa.secopNumero) | Validación: IsOptional, IsString, MaxLength(60), MaxLength(80)</t>
  </si>
  <si>
    <t xml:space="preserve">Número asignado en SECOP II a la publicación.</t>
  </si>
  <si>
    <t xml:space="preserve">nombre + varchar(80) + vecina secop_url</t>
  </si>
  <si>
    <t xml:space="preserve">¿Es obligatorio cuando el destino es SECOP_II?</t>
  </si>
  <si>
    <t xml:space="preserve">C0700</t>
  </si>
  <si>
    <t xml:space="preserve">Mapeada en hiring-service/src/entities/publicacion-acta.entity.ts:52 (PublicacionActa.secopUrl) | Validación: IsOptional, IsUrl({ protocols: ['http', 'https'], require_protocol: true },
    { message: 'El enlace de SECOP II debe ser una URL válida' },), IsUrl({}, { message: 'El enlace de SECOP II no es una URL válida' }), IsUrl({}, { message: 'El enlace de la publicación debe ser una URL válida' }), IsUrl({}, { message: 'El enlace de la publicación no tiene un formato válido' }), IsUrl({}, { message: 'El enlace debe ser una URL válida' })</t>
  </si>
  <si>
    <t xml:space="preserve">URL de la publicación en SECOP II.</t>
  </si>
  <si>
    <t xml:space="preserve">nombre + tipo text + vecina secop_numero</t>
  </si>
  <si>
    <t xml:space="preserve">C0701</t>
  </si>
  <si>
    <t xml:space="preserve">Mapeada en hiring-service/src/entities/publicacion-acta.entity.ts:59 (PublicacionActa.publicadoPor)</t>
  </si>
  <si>
    <t xml:space="preserve">C0702</t>
  </si>
  <si>
    <t xml:space="preserve">publicaciones_contrato</t>
  </si>
  <si>
    <t xml:space="preserve">uq_publicacion_contrato_destino</t>
  </si>
  <si>
    <t xml:space="preserve">db/migrations/hiring/040_publicacion_contrato.sql:58: Dónde se publicó. La historia dice SECOP II y la matriz dice la página web de la ESAP: se registra el sitio en vez de suponer cuál de las dos manda. | Validación: IsIn(['SECOP_II', 'WEB_ESAP'], {
    message: 'El destino de la publicación es SECOP_II o WEB_ESAP',
  }), IsIn(['SECOP_II', 'WEB_ESAP'], { message: 'El destino debe ser SECOP_II o WEB_ESAP' })</t>
  </si>
  <si>
    <t xml:space="preserve">Medio donde se publica el contrato: SECOP_II o WEB_ESAP (página web de la ESAP).</t>
  </si>
  <si>
    <t xml:space="preserve">código: db/migrations/hiring/040_publicacion_contrato.sql:58</t>
  </si>
  <si>
    <t xml:space="preserve">C0703</t>
  </si>
  <si>
    <t xml:space="preserve">hiring-service/src/entities/publicacion-contrato.entity.ts:25: La real, no la del registro: es la que cuenta para el plazo. | db/migrations/hiring/040_publicacion_contrato.sql:62: Fecha real de la publicación, no la del registro: es la que cuenta para el plazo. Alguien puede registrar el lunes lo que publicó el viernes. | Validación: IsDateString({}, { message: 'La fecha de publicación debe tener el formato YYYY-MM-DD' }), IsISO8601({ strict: true }, { message: 'La fecha debe tener formato YYYY-MM-DD' })</t>
  </si>
  <si>
    <t xml:space="preserve">Fecha real de publicación del contrato, no la de su registro en la plataforma; es la que cuenta para el plazo.</t>
  </si>
  <si>
    <t xml:space="preserve">código: hiring-service/src/entities/publicacion-contrato.entity.ts:25; db/migrations/hiring/040_publicacion_contrato.sql:62</t>
  </si>
  <si>
    <t xml:space="preserve">C0704</t>
  </si>
  <si>
    <t xml:space="preserve">hiring-service/src/entities/publicacion-contrato.entity.ts:29: Congelado al registrar: si mañana cambia el parámetro, esta no se mueve. | db/migrations/hiring/040_publicacion_contrato.sql:66: Plazo vigente el día del registro, congelado. Si mañana cambia el parámetro, esta publicación se siguió juzgando con el de su momento.</t>
  </si>
  <si>
    <t xml:space="preserve">código: hiring-service/src/entities/publicacion-contrato.entity.ts:29; db/migrations/hiring/040_publicacion_contrato.sql:66</t>
  </si>
  <si>
    <t xml:space="preserve">C0705</t>
  </si>
  <si>
    <t xml:space="preserve">Mapeada en hiring-service/src/entities/publicacion-contrato.entity.ts:32 (PublicacionContrato.fechaLimite)</t>
  </si>
  <si>
    <t xml:space="preserve">C0706</t>
  </si>
  <si>
    <t xml:space="preserve">Mapeada en hiring-service/src/entities/publicacion-contrato.entity.ts:35 (PublicacionContrato.secopNumero) | Validación: IsOptional, IsString, MaxLength(60), MaxLength(80)</t>
  </si>
  <si>
    <t xml:space="preserve">C0707</t>
  </si>
  <si>
    <t xml:space="preserve">Mapeada en hiring-service/src/entities/publicacion-contrato.entity.ts:38 (PublicacionContrato.secopUrl) | Validación: IsOptional, IsUrl({ protocols: ['http', 'https'], require_protocol: true },
    { message: 'El enlace de SECOP II debe ser una URL válida' },), IsUrl({}, { message: 'El enlace de SECOP II no es una URL válida' }), IsUrl({}, { message: 'El enlace de la publicación debe ser una URL válida' }), IsUrl({}, { message: 'El enlace de la publicación no tiene un formato válido' }), IsUrl({}, { message: 'El enlace debe ser una URL válida' })</t>
  </si>
  <si>
    <t xml:space="preserve">C0708</t>
  </si>
  <si>
    <t xml:space="preserve">Mapeada en hiring-service/src/entities/publicacion-contrato.entity.ts:45 (PublicacionContrato.publicadoPor)</t>
  </si>
  <si>
    <t xml:space="preserve">C0709</t>
  </si>
  <si>
    <t xml:space="preserve">publicaciones_modificacion</t>
  </si>
  <si>
    <t xml:space="preserve">hiring-service/src/entities/modificacion-contrato.entity.ts:269: La real, no la del registro. | Validación: IsDateString({}, { message: 'La fecha de publicación debe tener el formato YYYY-MM-DD' }), IsISO8601({ strict: true }, { message: 'La fecha debe tener formato YYYY-MM-DD' })</t>
  </si>
  <si>
    <t xml:space="preserve">Fecha real de publicación de la modificación contractual en SECOP II, no la de su registro en la plataforma (RF-MOD-05).</t>
  </si>
  <si>
    <t xml:space="preserve">código: hiring-service/src/entities/modificacion-contrato.entity.ts:269</t>
  </si>
  <si>
    <t xml:space="preserve">C0710</t>
  </si>
  <si>
    <t xml:space="preserve">Mapeada en hiring-service/src/entities/modificacion-contrato.entity.ts:272 (PublicacionModificacion.secopNumero) | Validación: IsOptional, IsString, MaxLength(60), MaxLength(80)</t>
  </si>
  <si>
    <t xml:space="preserve">Número asignado en SECOP II a la publicación de la modificación.</t>
  </si>
  <si>
    <t xml:space="preserve">nombre + varchar(80) + descripción de la tabla</t>
  </si>
  <si>
    <t xml:space="preserve">¿Corresponde al número del proceso o al de la publicación de la modificación en SECOP II?</t>
  </si>
  <si>
    <t xml:space="preserve">C0711</t>
  </si>
  <si>
    <t xml:space="preserve">Mapeada en hiring-service/src/entities/modificacion-contrato.entity.ts:275 (PublicacionModificacion.secopUrl) | Validación: IsOptional, IsUrl({ protocols: ['http', 'https'], require_protocol: true },
    { message: 'El enlace de SECOP II debe ser una URL válida' },), IsUrl({}, { message: 'El enlace de SECOP II no es una URL válida' }), IsUrl({}, { message: 'El enlace de la publicación debe ser una URL válida' }), IsUrl({}, { message: 'El enlace de la publicación no tiene un formato válido' }), IsUrl({}, { message: 'El enlace debe ser una URL válida' })</t>
  </si>
  <si>
    <t xml:space="preserve">URL de la publicación de la modificación en SECOP II.</t>
  </si>
  <si>
    <t xml:space="preserve">nombre + tipo text + descripción de la tabla</t>
  </si>
  <si>
    <t xml:space="preserve">C0712</t>
  </si>
  <si>
    <t xml:space="preserve">Mapeada en hiring-service/src/entities/modificacion-contrato.entity.ts:282 (PublicacionModificacion.publicadaPor)</t>
  </si>
  <si>
    <t xml:space="preserve">C0713</t>
  </si>
  <si>
    <t xml:space="preserve">publicaciones_pliego</t>
  </si>
  <si>
    <t xml:space="preserve">idx_publicacion_vencimiento</t>
  </si>
  <si>
    <t xml:space="preserve">Mapeada en hiring-service/src/entities/publicacion-pliego.entity.ts:40 (PublicacionPliego.fechaVencimiento)</t>
  </si>
  <si>
    <t xml:space="preserve">Fecha de vencimiento.</t>
  </si>
  <si>
    <t xml:space="preserve">C0714</t>
  </si>
  <si>
    <t xml:space="preserve">db/migrations/hiring/016_publicacion_pliego.sql:129: Datos del proceso en SECOP II. Se capturan a mano porque no hay integración; el enlace es lo que permite verificar la publicación desde el expediente sin salir a buscarla. | Validación: IsOptional, IsString, MaxLength(60), MaxLength(80)</t>
  </si>
  <si>
    <t xml:space="preserve">Número del proceso en SECOP II asociado a la publicación del proyecto de pliego; se digita a mano porque no hay integración con SECOP II.</t>
  </si>
  <si>
    <t xml:space="preserve">código: db/migrations/hiring/016_publicacion_pliego.sql:129 (comentario común a los datos del proceso en SECOP II)</t>
  </si>
  <si>
    <t xml:space="preserve">¿Corresponde al número del proceso en SECOP II o a un identificador propio de la publicación?</t>
  </si>
  <si>
    <t xml:space="preserve">C0715</t>
  </si>
  <si>
    <t xml:space="preserve">hiring-service/src/entities/publicacion-pliego.entity.ts:47: Permite verificar la publicación desde el expediente sin ir a buscarla. | Validación: IsOptional, IsUrl({ protocols: ['http', 'https'], require_protocol: true },
    { message: 'El enlace de SECOP II debe ser una URL válida' },), IsUrl({}, { message: 'El enlace de SECOP II no es una URL válida' }), IsUrl({}, { message: 'El enlace de la publicación debe ser una URL válida' }), IsUrl({}, { message: 'El enlace de la publicación no tiene un formato válido' }), IsUrl({}, { message: 'El enlace debe ser una URL válida' })</t>
  </si>
  <si>
    <t xml:space="preserve">URL de la publicación del proyecto de pliego en SECOP II; permite verificar la publicación desde el expediente.</t>
  </si>
  <si>
    <t xml:space="preserve">código: hiring-service/src/entities/publicacion-pliego.entity.ts:47</t>
  </si>
  <si>
    <t xml:space="preserve">C0716</t>
  </si>
  <si>
    <t xml:space="preserve">hiring-service/src/entities/publicacion-pliego.entity.ts:57: La evidencia de que el pliego se publicó, obligatoria. Sin integración con SECOP II el soporte es lo único que sostiene el registro, y el registro arranca un plazo legal. No se admite publicación sin evidencia: corregirla es anularla y volver a registrarla. | db/migrations/hiring/016_publicacion_pliego.sql:139: La evidencia de que el pliego se publicó, obligatoria. Sin integración con SECOP II, la plataforma no puede comprobar por su cuenta que la publicación ocurrió: el soporte es lo único que la sostiene. Un registro sin evidencia sería una afirmación sin respaldo que además arranca un plazo legal, así q</t>
  </si>
  <si>
    <t xml:space="preserve">Referencia al documento que evidencia la publicación del pliego (hiring.documentos.id); relación sin llave foránea declarada. Es obligatoria: no se admite una publicación sin evidencia.</t>
  </si>
  <si>
    <t xml:space="preserve">código: hiring-service/src/entities/publicacion-pliego.entity.ts:57; db/migrations/hiring/016_publicacion_pliego.sql:139</t>
  </si>
  <si>
    <t xml:space="preserve">C0717</t>
  </si>
  <si>
    <t xml:space="preserve">Mapeada en hiring-service/src/entities/publicacion-pliego.entity.ts:60 (PublicacionPliego.publicadoPor)</t>
  </si>
  <si>
    <t xml:space="preserve">C0718</t>
  </si>
  <si>
    <t xml:space="preserve">hiring-service/src/entities/publicacion-pliego.entity.ts:67: Una publicación con la fecha equivocada no se borra: se anula y se registra la correcta. Cada una conserva su evidencia y queda el rastro. | db/migrations/hiring/016_publicacion_pliego.sql:146: Una publicación registrada con la fecha equivocada no se borra: se anula y se registra la correcta. Así cada una conserva su propia evidencia y el expediente guarda el rastro de la corrección.</t>
  </si>
  <si>
    <t xml:space="preserve">Fecha y hora en que se anuló la publicación. Una publicación con datos errados no se borra: se anula y se registra la correcta, y cada una conserva su evidencia.</t>
  </si>
  <si>
    <t xml:space="preserve">código: hiring-service/src/entities/publicacion-pliego.entity.ts:67; db/migrations/hiring/016_publicacion_pliego.sql:146</t>
  </si>
  <si>
    <t xml:space="preserve">C0719</t>
  </si>
  <si>
    <t xml:space="preserve">Mapeada en hiring-service/src/entities/publicacion-pliego.entity.ts:70 (PublicacionPliego.anuladaPor)</t>
  </si>
  <si>
    <t xml:space="preserve">C0720</t>
  </si>
  <si>
    <t xml:space="preserve">Mapeada en hiring-service/src/entities/publicacion-pliego.entity.ts:73 (PublicacionPliego.motivoAnulacion)</t>
  </si>
  <si>
    <t xml:space="preserve">C0721</t>
  </si>
  <si>
    <t xml:space="preserve">recepciones_ofertas</t>
  </si>
  <si>
    <t xml:space="preserve">hiring-service/src/entities/recepcion-ofertas.entity.ts:38: Plazo aplicado, congelado al fijarse. Nulo cuando la modalidad no tiene plazo parametrizado y el vencimiento se fijó a mano en la apertura. | db/migrations/hiring/024_recepcion_de_ofertas.sql:95: Se congelan el plazo aplicado y su vencimiento en vez de recalcularlos en cada consulta, igual que en publicaciones_pliego (016): si mañana se corrige el plazo de la modalidad, los procesos ya abiertos conservan el suyo. Nulo cuando la modalidad no tiene plazo parametrizado y la fecha se fijó a mano</t>
  </si>
  <si>
    <t xml:space="preserve">Plazo en días hábiles aplicado a la recepción de ofertas, congelado al fijarse. Nulo cuando la modalidad no tiene plazo parametrizado y el vencimiento se fijó a mano en la apertura.</t>
  </si>
  <si>
    <t xml:space="preserve">código: hiring-service/src/entities/recepcion-ofertas.entity.ts:38; db/migrations/hiring/024_recepcion_de_ofertas.sql:95</t>
  </si>
  <si>
    <t xml:space="preserve">C0722</t>
  </si>
  <si>
    <t xml:space="preserve">ABIERTA, CERRADA</t>
  </si>
  <si>
    <t xml:space="preserve">Mapeada en hiring-service/src/entities/recepcion-ofertas.entity.ts:41 (RecepcionOfertas.estado)</t>
  </si>
  <si>
    <t xml:space="preserve">Estado del registro de recepciones_ofertas.</t>
  </si>
  <si>
    <t xml:space="preserve">C0723</t>
  </si>
  <si>
    <t xml:space="preserve">cerrada_at</t>
  </si>
  <si>
    <t xml:space="preserve">hiring-service/src/entities/recepcion-ofertas.entity.ts:45: Cuándo se cerró; es la fecha con la que queda publicada la lista.</t>
  </si>
  <si>
    <t xml:space="preserve">Fecha y hora de cierre de la recepción de ofertas; es la fecha con la que se publica la lista de oferentes.</t>
  </si>
  <si>
    <t xml:space="preserve">código: hiring-service/src/entities/recepcion-ofertas.entity.ts:45</t>
  </si>
  <si>
    <t xml:space="preserve">C0724</t>
  </si>
  <si>
    <t xml:space="preserve">Mapeada en hiring-service/src/entities/recepcion-ofertas.entity.ts:48 (RecepcionOfertas.cerradaPor)</t>
  </si>
  <si>
    <t xml:space="preserve">C0725</t>
  </si>
  <si>
    <t xml:space="preserve">registros_actividad</t>
  </si>
  <si>
    <t xml:space="preserve">Mapeada en hiring-service/src/entities/registro-actividad.entity.ts:35 (RegistroActividad.nota) | Validación: IsNotEmpty({ message: 'La nota de trazabilidad es obligatoria' }), IsOptional, IsString, MaxLength(2000), MaxLength(4000), MinLength(10, { message: 'La nota debe explicar qué pasó, no solo dejar constancia' })</t>
  </si>
  <si>
    <t xml:space="preserve">Nota que describe la actividad registrada.</t>
  </si>
  <si>
    <t xml:space="preserve">C0726</t>
  </si>
  <si>
    <t xml:space="preserve">hiring-service/src/entities/registro-actividad.entity.ts:42: Lo propio de cada actividad: el sí/no del sorteo, el radicado de la 3.3. | Validación: IsObject, IsOptional</t>
  </si>
  <si>
    <t xml:space="preserve">Datos propios de cada actividad registrada, en formato JSON (por ejemplo, el resultado sí/no del sorteo o el radicado de la actividad 3.3).</t>
  </si>
  <si>
    <t xml:space="preserve">código: hiring-service/src/entities/registro-actividad.entity.ts:42</t>
  </si>
  <si>
    <t xml:space="preserve">¿Hay un esquema documentado del JSON por numeral de actividad?</t>
  </si>
  <si>
    <t xml:space="preserve">C0727</t>
  </si>
  <si>
    <t xml:space="preserve">Mapeada en hiring-service/src/entities/registro-actividad.entity.ts:45 (RegistroActividad.estado)</t>
  </si>
  <si>
    <t xml:space="preserve">Estado del registro de registros_actividad.</t>
  </si>
  <si>
    <t xml:space="preserve">C0728</t>
  </si>
  <si>
    <t xml:space="preserve">Mapeada en hiring-service/src/entities/registro-actividad.entity.ts:48 (RegistroActividad.registradoPor)</t>
  </si>
  <si>
    <t xml:space="preserve">C0729</t>
  </si>
  <si>
    <t xml:space="preserve">registrado_at</t>
  </si>
  <si>
    <t xml:space="preserve">Mapeada en hiring-service/src/entities/registro-actividad.entity.ts:51 (RegistroActividad.registradoAt)</t>
  </si>
  <si>
    <t xml:space="preserve">C0730</t>
  </si>
  <si>
    <t xml:space="preserve">Mapeada en hiring-service/src/entities/registro-actividad.entity.ts:54 (RegistroActividad.anuladoAt)</t>
  </si>
  <si>
    <t xml:space="preserve">C0731</t>
  </si>
  <si>
    <t xml:space="preserve">Mapeada en hiring-service/src/entities/registro-actividad.entity.ts:57 (RegistroActividad.anuladoPor)</t>
  </si>
  <si>
    <t xml:space="preserve">C0732</t>
  </si>
  <si>
    <t xml:space="preserve">Mapeada en hiring-service/src/entities/registro-actividad.entity.ts:60 (RegistroActividad.motivoAnulacion)</t>
  </si>
  <si>
    <t xml:space="preserve">C0733</t>
  </si>
  <si>
    <t xml:space="preserve">registros_presupuestales</t>
  </si>
  <si>
    <t xml:space="preserve">hiring-service/src/entities/registro-presupuestal.entity.ts:34: Lo asigna la Financiera al expedir; no existe mientras está solicitado. | db/migrations/hiring/039_registro_presupuestal.sql:26: El número lo asigna la Financiera al expedirlo, así que no existe mientras el RP está apenas solicitado. Mismo criterio que el CDP. | Validación: IsNotEmpty({ message: 'El contrato necesita el número con el que la entidad lo identifica' }), IsNotEmpty({ message: 'El número del CDP es obligatorio' }), IsNotEmpty({ message: 'El registro presupuestal necesita su número' }), IsNotEmpty({ message: 'Registra el número de la modificación' }), IsNotEmpty({ message: 'Registra el número de la resolución' }), IsNotEmpty({ message: 'Registra el número' })</t>
  </si>
  <si>
    <t xml:space="preserve">Número del registro presupuestal, que asigna la Dirección Financiera al expedirlo; es nulo mientras el registro está solicitado.</t>
  </si>
  <si>
    <t xml:space="preserve">código: hiring-service/src/entities/registro-presupuestal.entity.ts:34; db/migrations/hiring/039_registro_presupuestal.sql:26</t>
  </si>
  <si>
    <t xml:space="preserve">C0734</t>
  </si>
  <si>
    <t xml:space="preserve">hiring-service/src/entities/registro-presupuestal.entity.ts:41: `numeric` llega como string desde el driver; el transformer lo devuelve como número para que la comparación con el valor del contrato no compare cadenas. | Validación: IsNumber({ maxDecimalPlaces: 2 }, { message: 'El salario debe ser un número' }), IsNumber({ maxDecimalPlaces: 2 }, { message: 'El valor debe ser un número' }), IsNumber({}, { message: 'El valor cobrado debe ser un número' }), IsNumber({}, { message: 'El valor comprometido debe ser un número' }), IsNumber({}, { message: 'El valor debe ser un número' }), IsNumber({}, { message: 'El valor del contrato debe ser un número' })</t>
  </si>
  <si>
    <t xml:space="preserve">Valor del registro presupuestal; se compara con el valor del contrato. Un CHECK lo relaciona con el estado EXPEDIDO.</t>
  </si>
  <si>
    <t xml:space="preserve">código: hiring-service/src/entities/registro-presupuestal.entity.ts:41 (conversión numérica para comparar con el valor del contrato)</t>
  </si>
  <si>
    <t xml:space="preserve">C0735</t>
  </si>
  <si>
    <t xml:space="preserve">rubro</t>
  </si>
  <si>
    <t xml:space="preserve">Mapeada en hiring-service/src/entities/registro-presupuestal.entity.ts:53 (RegistroPresupuestal.rubro) | Validación: IsNotEmpty({ message: 'Registra el rubro presupuestal' }), IsOptional, IsString, MaxLength(160)</t>
  </si>
  <si>
    <t xml:space="preserve">Rubro presupuestal que afecta el registro.</t>
  </si>
  <si>
    <t xml:space="preserve">nombre + varchar(160) + contexto presupuestal</t>
  </si>
  <si>
    <t xml:space="preserve">¿Guarda el código del rubro, su nombre o ambos?</t>
  </si>
  <si>
    <t xml:space="preserve">C0736</t>
  </si>
  <si>
    <t xml:space="preserve">Mapeada en hiring-service/src/entities/registro-presupuestal.entity.ts:56 (RegistroPresupuestal.fechaExpedicion) | Validación: IsDateString({}, { message: 'La fecha de expedición debe tener el formato YYYY-MM-DD' }), IsISO8601({ strict: true }, { message: 'La fecha debe tener formato YYYY-MM-DD' })</t>
  </si>
  <si>
    <t xml:space="preserve">C0737</t>
  </si>
  <si>
    <t xml:space="preserve">hiring-service/src/entities/registro-presupuestal.entity.ts:60: Vigencia fiscal a la que se imputa. Un RP no cruza vigencias. | db/migrations/hiring/039_registro_presupuestal.sql:31: Vigencia fiscal a la que se imputa. Un RP no cruza vigencias. | Validación: IsInt, IsInt({ message: 'La vigencia debe ser un año' }), IsInt({ message: 'La vigencia fiscal es un ano' }), IsInt({ message: 'La vigencia fiscal se expresa en años' }), IsOptional, Max(2100)</t>
  </si>
  <si>
    <t xml:space="preserve">Año de la vigencia fiscal a la que se imputa el registro presupuestal. Un registro presupuestal no cruza vigencias.</t>
  </si>
  <si>
    <t xml:space="preserve">código: hiring-service/src/entities/registro-presupuestal.entity.ts:60; db/migrations/hiring/039_registro_presupuestal.sql:31</t>
  </si>
  <si>
    <t xml:space="preserve">C0738</t>
  </si>
  <si>
    <t xml:space="preserve">db/migrations/hiring/039_registro_presupuestal.sql:36: SOLICITADO → VERIFICADO → EXPEDIDO ↘ RECHAZADO (no hay disponibilidad para comprometer) ANULADO cubre el RP que se deja sin efecto después de expedido.</t>
  </si>
  <si>
    <t xml:space="preserve">Estado del registro presupuestal. Flujo: SOLICITADO → VERIFICADO → EXPEDIDO; RECHAZADO cuando no hay disponibilidad para comprometer; ANULADO cuando se deja sin efecto después de expedido.</t>
  </si>
  <si>
    <t xml:space="preserve">código: db/migrations/hiring/039_registro_presupuestal.sql:36</t>
  </si>
  <si>
    <t xml:space="preserve">C0739</t>
  </si>
  <si>
    <t xml:space="preserve">hiring-service/src/entities/registro-presupuestal.entity.ts:67: Por qué se rechazó. Sin esto, quien solicita no sabe qué corregir. | db/migrations/hiring/039_registro_presupuestal.sql:40: Por qué la Financiera lo rechazó. Sin esto, quien solicita no sabe si corregir el rubro, esperar o revisar el valor. | Validación: IsNotEmpty({ message: 'El motivo del rechazo es obligatorio' }), IsNotEmpty({ message: 'Explica por qué se rechaza el registro presupuestal' }), IsNotEmpty({ message: 'Explica por qué se rechaza' }), IsOptional, IsString, MaxLength(1000)</t>
  </si>
  <si>
    <t xml:space="preserve">Motivo por el que la Dirección Financiera rechazó el registro presupuestal.</t>
  </si>
  <si>
    <t xml:space="preserve">código: hiring-service/src/entities/registro-presupuestal.entity.ts:67; db/migrations/hiring/039_registro_presupuestal.sql:40</t>
  </si>
  <si>
    <t xml:space="preserve">C0740</t>
  </si>
  <si>
    <t xml:space="preserve">Mapeada en hiring-service/src/entities/registro-presupuestal.entity.ts:73 (RegistroPresupuestal.solicitadoPor)</t>
  </si>
  <si>
    <t xml:space="preserve">C0741</t>
  </si>
  <si>
    <t xml:space="preserve">Mapeada en hiring-service/src/entities/registro-presupuestal.entity.ts:76 (RegistroPresupuestal.solicitadoAt)</t>
  </si>
  <si>
    <t xml:space="preserve">C0742</t>
  </si>
  <si>
    <t xml:space="preserve">Mapeada en hiring-service/src/entities/registro-presupuestal.entity.ts:79 (RegistroPresupuestal.expedidoPor)</t>
  </si>
  <si>
    <t xml:space="preserve">Usuario o funcionario que expidió el registro presupuestal.</t>
  </si>
  <si>
    <t xml:space="preserve">nombre + varchar(200) + patrón *_por</t>
  </si>
  <si>
    <t xml:space="preserve">C0743</t>
  </si>
  <si>
    <t xml:space="preserve">reglas_actividad</t>
  </si>
  <si>
    <t xml:space="preserve">BLOQUEA_AVANCE, CAMPO_OBLIGATORIO, DOCUMENTO_REQUERIDO, EXIGE_APROBACION, EXIGE_FIRMA, PLAZO_MINIMO, RANGO_VALOR, REGLA_DERIVADA</t>
  </si>
  <si>
    <t xml:space="preserve">uq_regla_vigente</t>
  </si>
  <si>
    <t xml:space="preserve">Mapeada en hiring-service/src/entities/regla-actividad.entity.ts:60 (ReglaActividad.tipo) | Validación: IsIn(TIPOS_CAMPO as unknown as string[]), IsIn(TIPOS_LIQUIDACION, {
    message: 'La liquidación es bilateral, de común acuerdo, o unilateral, por acto de la entidad',
  }), IsIn(TIPOS_REGLA as unknown as string[]), IsIn(TIPOS_SOPORTE, {
    message: 'El soporte es seguridad social, RUT, certificación bancaria u otro',
  }), IsIn(['GRABACION', 'OBSERVACION', 'ANEXO'], {
    message: 'Di qué es: una grabación, una observación con su respuesta, o un anexo',
  }), IsIn(['INFORME', 'ACTA', 'SOPORTE'], {
    message: 'El soporte es un informe, un acta u otro documento de la ejecución',
  })</t>
  </si>
  <si>
    <t xml:space="preserve">Tipo del registro de reglas_actividad.</t>
  </si>
  <si>
    <t xml:space="preserve">C0744</t>
  </si>
  <si>
    <t xml:space="preserve">config</t>
  </si>
  <si>
    <t xml:space="preserve">hiring-service/src/entities/regla-actividad.entity.ts:67: Detalle de la condición. Su forma depende del tipo: un umbral necesita `max`, un plazo necesita `dias`, un campo obligatorio necesita `codigo`. | Validación: IsObject</t>
  </si>
  <si>
    <t xml:space="preserve">Detalle de la condición de la regla, en formato JSON. Su estructura depende del tipo de regla: un umbral lleva max, un plazo lleva dias y un campo obligatorio lleva codigo.</t>
  </si>
  <si>
    <t xml:space="preserve">código: hiring-service/src/entities/regla-actividad.entity.ts:67</t>
  </si>
  <si>
    <t xml:space="preserve">¿En qué se diferencia config de la columna condiciones?</t>
  </si>
  <si>
    <t xml:space="preserve">C0745</t>
  </si>
  <si>
    <t xml:space="preserve">mensaje</t>
  </si>
  <si>
    <t xml:space="preserve">hiring-service/src/entities/regla-actividad.entity.ts:88: Lo que ve el gestor cuando la regla no se cumple. | db/migrations/hiring/026_reglas_actividad.sql:36: Mensaje que ve el gestor cuando la regla no se cumple. En la tabla y no en el código porque el texto lo redacta Contratación, no desarrollo. | Validación: IsOptional, IsString</t>
  </si>
  <si>
    <t xml:space="preserve">Mensaje que ve el gestor cuando la regla no se cumple. Lo redacta la Dirección de Contratación.</t>
  </si>
  <si>
    <t xml:space="preserve">código: hiring-service/src/entities/regla-actividad.entity.ts:88; db/migrations/hiring/026_reglas_actividad.sql:36</t>
  </si>
  <si>
    <t xml:space="preserve">C0746</t>
  </si>
  <si>
    <t xml:space="preserve">idx_reglas_actividad_vigentes</t>
  </si>
  <si>
    <t xml:space="preserve">db/migrations/hiring/026_reglas_actividad.sql:39: Orden en que se evalúan y se muestran los incumplimientos. | Validación: IsInt, IsOptional, Min(0), Min(1)</t>
  </si>
  <si>
    <t xml:space="preserve">Orden en que se evalúan las reglas y se muestran sus incumplimientos.</t>
  </si>
  <si>
    <t xml:space="preserve">código: db/migrations/hiring/026_reglas_actividad.sql:39</t>
  </si>
  <si>
    <t xml:space="preserve">C0747</t>
  </si>
  <si>
    <t xml:space="preserve">vigente_desde</t>
  </si>
  <si>
    <t xml:space="preserve">db/migrations/hiring/026_reglas_actividad.sql:45: Vigencia: un proceso aprobado en enero debe poder auditarse con las reglas de enero. Sin esto, corregir un umbral reescribiría la historia de lo ya aprobado y una auditoría posterior encontraría incumplimientos que no existían al momento de decidir.</t>
  </si>
  <si>
    <t xml:space="preserve">Fecha y hora desde la cual la regla está vigente; por defecto, la fecha de creación. Permite auditar cada proceso con las reglas vigentes al momento de su aprobación.</t>
  </si>
  <si>
    <t xml:space="preserve">código: db/migrations/hiring/026_reglas_actividad.sql:45</t>
  </si>
  <si>
    <t xml:space="preserve">C0748</t>
  </si>
  <si>
    <t xml:space="preserve">vigente_hasta</t>
  </si>
  <si>
    <t xml:space="preserve">hiring-service/src/entities/regla-actividad.entity.ts:101: Una regla derogada se cierra en vez de borrarse: un proceso aprobado bajo ella debe poder auditarse con las reglas que estaban vigentes entonces.</t>
  </si>
  <si>
    <t xml:space="preserve">Fecha y hora hasta la cual la regla está vigente; vacía si sigue vigente y posterior a vigente_desde. Una regla derogada se cierra con esta fecha en lugar de borrarse.</t>
  </si>
  <si>
    <t xml:space="preserve">código: hiring-service/src/entities/regla-actividad.entity.ts:101</t>
  </si>
  <si>
    <t xml:space="preserve">C0749</t>
  </si>
  <si>
    <t xml:space="preserve">conector</t>
  </si>
  <si>
    <t xml:space="preserve">character varying(3)</t>
  </si>
  <si>
    <t xml:space="preserve">AND, OR</t>
  </si>
  <si>
    <t xml:space="preserve">hiring-service/src/entities/regla-actividad.entity.ts:84: Como se combinan las condiciones entre si. | db/migrations/hiring/029_reglas_condicionales.sql:25: Como se combinan las condiciones. Con una sola condicion da igual, pero guardarlo evita que el evaluador tenga que suponerlo. | Validación: IsIn(['AND', 'OR']), IsOptional</t>
  </si>
  <si>
    <t xml:space="preserve">Operador lógico con que se combinan entre sí las condiciones de la regla: AND u OR. Por defecto, AND.</t>
  </si>
  <si>
    <t xml:space="preserve">código: hiring-service/src/entities/regla-actividad.entity.ts:84; db/migrations/hiring/029_reglas_condicionales.sql:25</t>
  </si>
  <si>
    <t xml:space="preserve">C0750</t>
  </si>
  <si>
    <t xml:space="preserve">resoluciones_sancionatorias</t>
  </si>
  <si>
    <t xml:space="preserve">APERTURA, DECISION</t>
  </si>
  <si>
    <t xml:space="preserve">uq_resolucion_por_tipo_y_caso</t>
  </si>
  <si>
    <t xml:space="preserve">Mapeada en hiring-service/src/entities/actuacion-sancionatoria.entity.ts:105 (ResolucionSancionatoria.tipo) | Validación: IsIn(TIPOS_CAMPO as unknown as string[]), IsIn(TIPOS_LIQUIDACION, {
    message: 'La liquidación es bilateral, de común acuerdo, o unilateral, por acto de la entidad',
  }), IsIn(TIPOS_REGLA as unknown as string[]), IsIn(TIPOS_SOPORTE, {
    message: 'El soporte es seguridad social, RUT, certificación bancaria u otro',
  }), IsIn(['GRABACION', 'OBSERVACION', 'ANEXO'], {
    message: 'Di qué es: una grabación, una observación con su respuesta, o un anexo',
  }), IsIn(['INFORME', 'ACTA', 'SOPORTE'], {
    message: 'El soporte es un informe, un acta u otro documento de la ejecución',
  })</t>
  </si>
  <si>
    <t xml:space="preserve">Tipo del registro de resoluciones_sancionatorias.</t>
  </si>
  <si>
    <t xml:space="preserve">C0751</t>
  </si>
  <si>
    <t xml:space="preserve">Mapeada en hiring-service/src/entities/actuacion-sancionatoria.entity.ts:108 (ResolucionSancionatoria.numero) | Validación: IsNotEmpty({ message: 'El contrato necesita el número con el que la entidad lo identifica' }), IsNotEmpty({ message: 'El número del CDP es obligatorio' }), IsNotEmpty({ message: 'El registro presupuestal necesita su número' }), IsNotEmpty({ message: 'Registra el número de la modificación' }), IsNotEmpty({ message: 'Registra el número de la resolución' }), IsNotEmpty({ message: 'Registra el número' })</t>
  </si>
  <si>
    <t xml:space="preserve">Número asignado al registro.</t>
  </si>
  <si>
    <t xml:space="preserve">C0752</t>
  </si>
  <si>
    <t xml:space="preserve">ix_resoluciones_sancionatorias_caso</t>
  </si>
  <si>
    <t xml:space="preserve">Mapeada en hiring-service/src/entities/actuacion-sancionatoria.entity.ts:111 (ResolucionSancionatoria.fechaExpedicion) | Validación: IsDateString({}, { message: 'La fecha de expedición debe tener el formato YYYY-MM-DD' }), IsISO8601({ strict: true }, { message: 'La fecha debe tener formato YYYY-MM-DD' })</t>
  </si>
  <si>
    <t xml:space="preserve">C0753</t>
  </si>
  <si>
    <t xml:space="preserve">valor_sancion</t>
  </si>
  <si>
    <t xml:space="preserve">hiring-service/src/entities/actuacion-sancionatoria.entity.ts:121: La multa o la cláusula penal, cuando la decisión las impone. | db/migrations/hiring/056_tramite_sancionatorio.sql:133: La multa o la cláusula penal, cuando la decisión las impone. Opcional porque un incumplimiento puede declararse sin sanción pecuniaria. | Validación: IsNumber({}, { message: 'El valor de la sanción debe ser un número' }), IsPositive({ message: 'El valor de la sanción debe ser mayor que cero' })</t>
  </si>
  <si>
    <t xml:space="preserve">Valor de la multa o de la cláusula penal, cuando la decisión las impone. Opcional, porque un incumplimiento puede declararse sin sanción pecuniaria. Un CHECK lo relaciona con el sentido de la decisión (DECLARA_CADUCIDAD, DECLARA_INCUMPLIMIENTO).</t>
  </si>
  <si>
    <t xml:space="preserve">código: hiring-service/src/entities/actuacion-sancionatoria.entity.ts:121; db/migrations/hiring/056_tramite_sancionatorio.sql:133</t>
  </si>
  <si>
    <t xml:space="preserve">C0754</t>
  </si>
  <si>
    <t xml:space="preserve">hiring-service/src/entities/actuacion-sancionatoria.entity.ts:131: A dónde vuelve el contrato si la resolución se revoca. Mismo criterio que la terminación anticipada: revocar devuelve lo guardado y no lo deducido. Solo lo escribe la caducidad, que es la única que mueve el estado del contrato. | db/migrations/hiring/056_tramite_sancionatorio.sql:138: A dónde vuelve el contrato si la resolución se revoca. Mismo criterio que la terminación anticipada (053): revocar devuelve lo guardado y no lo deducido.</t>
  </si>
  <si>
    <t xml:space="preserve">Estado al que vuelve el contrato si se revoca la resolución. Solo lo registra la declaratoria de caducidad, única decisión que cambia el estado del contrato.</t>
  </si>
  <si>
    <t xml:space="preserve">código: hiring-service/src/entities/actuacion-sancionatoria.entity.ts:131; db/migrations/hiring/056_tramite_sancionatorio.sql:138</t>
  </si>
  <si>
    <t xml:space="preserve">¿Qué valores de estado del contrato puede tomar?</t>
  </si>
  <si>
    <t xml:space="preserve">C0755</t>
  </si>
  <si>
    <t xml:space="preserve">notificada_el</t>
  </si>
  <si>
    <t xml:space="preserve">hiring-service/src/entities/actuacion-sancionatoria.entity.ts:141: Hechos posteriores a la expedición. Se registran, no se calculan: ninguna fuente del proyecto dice cuántos días corren entre uno y otro, y contar términos inventados sería peor que no contarlos. | db/migrations/hiring/056_tramite_sancionatorio.sql:142: Hechos posteriores a la expedición. No se calculan términos con ellos: ninguna fuente del proyecto dice cuántos días corren. | Validación: IsDateString({}, { message: 'La fecha de notificación debe tener el formato YYYY-MM-DD' })</t>
  </si>
  <si>
    <t xml:space="preserve">Fecha de notificación de la resolución, posterior a su expedición. Se registra; no se usa para calcular términos.</t>
  </si>
  <si>
    <t xml:space="preserve">código: hiring-service/src/entities/actuacion-sancionatoria.entity.ts:141; db/migrations/hiring/056_tramite_sancionatorio.sql:142</t>
  </si>
  <si>
    <t xml:space="preserve">C0756</t>
  </si>
  <si>
    <t xml:space="preserve">firme_el</t>
  </si>
  <si>
    <t xml:space="preserve">Mapeada en hiring-service/src/entities/actuacion-sancionatoria.entity.ts:144 (ResolucionSancionatoria.firmeEl) | Validación: IsDateString({}, { message: 'La fecha de firmeza debe tener el formato YYYY-MM-DD' }), IsOptional</t>
  </si>
  <si>
    <t xml:space="preserve">Fecha en que la resolución quedó en firme. Requiere fecha de notificación y no puede ser anterior a ella.</t>
  </si>
  <si>
    <t xml:space="preserve">nombre + tipo date + CHECK firme_el &gt;= notificada_el</t>
  </si>
  <si>
    <t xml:space="preserve">C0757</t>
  </si>
  <si>
    <t xml:space="preserve">expedida_por</t>
  </si>
  <si>
    <t xml:space="preserve">Mapeada en hiring-service/src/entities/actuacion-sancionatoria.entity.ts:147 (ResolucionSancionatoria.expedidaPor)</t>
  </si>
  <si>
    <t xml:space="preserve">Usuario o funcionario que expidió la resolución.</t>
  </si>
  <si>
    <t xml:space="preserve">C0758</t>
  </si>
  <si>
    <t xml:space="preserve">Mapeada en hiring-service/src/entities/actuacion-sancionatoria.entity.ts:153 (ResolucionSancionatoria.revocadaAt)</t>
  </si>
  <si>
    <t xml:space="preserve">C0759</t>
  </si>
  <si>
    <t xml:space="preserve">Mapeada en hiring-service/src/entities/actuacion-sancionatoria.entity.ts:156 (ResolucionSancionatoria.revocadaPor)</t>
  </si>
  <si>
    <t xml:space="preserve">C0760</t>
  </si>
  <si>
    <t xml:space="preserve">Mapeada en hiring-service/src/entities/actuacion-sancionatoria.entity.ts:159 (ResolucionSancionatoria.motivoRevocacion)</t>
  </si>
  <si>
    <t xml:space="preserve">C0761</t>
  </si>
  <si>
    <t xml:space="preserve">resultados_evaluacion</t>
  </si>
  <si>
    <t xml:space="preserve">puntaje_obtenido</t>
  </si>
  <si>
    <t xml:space="preserve">numeric(6,2)</t>
  </si>
  <si>
    <t xml:space="preserve">hiring-service/src/entities/resultado-evaluacion.entity.ts:44: La nota de la ganadora y sobre cuánto se dio. Nulas cuando la modalidad no puntúa —en mínima cuantía suele bastar con el menor precio que cumple—, y siempre las dos juntas: un 85 sin saber sobre cuánto no dice nada. | db/migrations/hiring/038_evaluacion_por_fuera.sql:68: La valoración, tal como la reporta el comité. Nulos permitidos porque no toda modalidad puntúa: en mínima cuantía suele bastar con el menor precio que cumple, sin nota. Cuando vienen, vienen los dos: un 85 sin saber sobre cuánto no dice nada. | Validación: IsNumber({ maxDecimalPlaces: 2 }, { message: 'El puntaje obtenido debe ser un número' }), IsOptional, Min(0, { message: 'El puntaje obtenido no puede ser negativo' })</t>
  </si>
  <si>
    <t xml:space="preserve">Puntaje obtenido por la oferta ganadora, tal como lo reporta el comité evaluador. Se registra junto con puntaje_maximo, no puede ser negativo y es nulo cuando la modalidad no asigna puntaje (por ejemplo, mínima cuantía).</t>
  </si>
  <si>
    <t xml:space="preserve">código: hiring-service/src/entities/resultado-evaluacion.entity.ts:44; db/migrations/hiring/038_evaluacion_por_fuera.sql:68</t>
  </si>
  <si>
    <t xml:space="preserve">C0762</t>
  </si>
  <si>
    <t xml:space="preserve">puntaje_maximo</t>
  </si>
  <si>
    <t xml:space="preserve">Mapeada en hiring-service/src/entities/resultado-evaluacion.entity.ts:47 (ResultadoEvaluacion.puntajeMaximo) | Validación: IsNumber({ maxDecimalPlaces: 2 }, { message: 'El puntaje máximo debe ser un número' }), IsOptional, Min(0.01, { message: 'El puntaje máximo tiene que ser mayor que cero' })</t>
  </si>
  <si>
    <t xml:space="preserve">Puntaje máximo posible en la evaluación. Se registra junto con puntaje_obtenido y debe ser mayor que cero.</t>
  </si>
  <si>
    <t xml:space="preserve">nombre + numeric(6,2) + CHECK con puntaje_obtenido</t>
  </si>
  <si>
    <t xml:space="preserve">C0763</t>
  </si>
  <si>
    <t xml:space="preserve">valor_evaluado</t>
  </si>
  <si>
    <t xml:space="preserve">hiring-service/src/entities/resultado-evaluacion.entity.ts:57: El valor por el que se evalúa la ganadora. Aparte del `valorOfertado` de la oferta porque puede no coincidir: una corrección aritmética del comité cambia la cifra que se adjudica sin reescribir lo que el oferente presentó. | db/migrations/hiring/038_evaluacion_por_fuera.sql:75: El valor por el que se evalúa la ganadora. Suele ser el `valor_ofertado` de la oferta, y se guarda aparte porque puede no serlo: una corrección aritmética del comité cambia la cifra que se adjudica sin reescribir lo que el oferente presentó. | Validación: IsNumber({ maxDecimalPlaces: 2 }, { message: 'El valor evaluado debe ser un número' }), IsOptional, Min(0.01, { message: 'El valor evaluado tiene que ser mayor que cero' })</t>
  </si>
  <si>
    <t xml:space="preserve">Valor por el que se evalúa la oferta ganadora; debe ser mayor que cero. Suele coincidir con el valor ofertado, pero puede diferir por una corrección aritmética del comité.</t>
  </si>
  <si>
    <t xml:space="preserve">código: hiring-service/src/entities/resultado-evaluacion.entity.ts:57; db/migrations/hiring/038_evaluacion_por_fuera.sql:75</t>
  </si>
  <si>
    <t xml:space="preserve">C0764</t>
  </si>
  <si>
    <t xml:space="preserve">hiring-service/src/entities/resultado-evaluacion.entity.ts:61: Por qué esa y no otra: es lo que el traslado del informe le muestra a los demás. | db/migrations/hiring/038_evaluacion_por_fuera.sql:79: Por qué esa y no otra. Obligatoria: es lo que el traslado del informe (6.4) le tiene que poder mostrar a los demás oferentes. | Validación: IsNotEmpty({ message: 'Explica por qué el comité eligió esa oferta' }), IsNotEmpty({ message: 'Justifica la adición' }), IsNotEmpty({ message: 'Justifica la modificación' }), IsOptional, IsString, MaxLength(2000)</t>
  </si>
  <si>
    <t xml:space="preserve">Justificación del comité evaluador para elegir la oferta ganadora; se muestra a los demás oferentes en el traslado del informe (actividad 6.4).</t>
  </si>
  <si>
    <t xml:space="preserve">código: hiring-service/src/entities/resultado-evaluacion.entity.ts:61; db/migrations/hiring/038_evaluacion_por_fuera.sql:79</t>
  </si>
  <si>
    <t xml:space="preserve">C0765</t>
  </si>
  <si>
    <t xml:space="preserve">RECTIFICADO, VIGENTE</t>
  </si>
  <si>
    <t xml:space="preserve">Mapeada en hiring-service/src/entities/resultado-evaluacion.entity.ts:64 (ResultadoEvaluacion.estado)</t>
  </si>
  <si>
    <t xml:space="preserve">Estado del registro de resultados_evaluacion.</t>
  </si>
  <si>
    <t xml:space="preserve">C0766</t>
  </si>
  <si>
    <t xml:space="preserve">Mapeada en hiring-service/src/entities/resultado-evaluacion.entity.ts:67 (ResultadoEvaluacion.registradoPor)</t>
  </si>
  <si>
    <t xml:space="preserve">C0767</t>
  </si>
  <si>
    <t xml:space="preserve">Mapeada en hiring-service/src/entities/resultado-evaluacion.entity.ts:70 (ResultadoEvaluacion.registradoAt)</t>
  </si>
  <si>
    <t xml:space="preserve">C0768</t>
  </si>
  <si>
    <t xml:space="preserve">rectificado_at</t>
  </si>
  <si>
    <t xml:space="preserve">Mapeada en hiring-service/src/entities/resultado-evaluacion.entity.ts:73 (ResultadoEvaluacion.rectificadoAt)</t>
  </si>
  <si>
    <t xml:space="preserve">Fecha y hora en que se rectificó el resultado de la evaluación. Un CHECK la relaciona con el estado RECTIFICADO.</t>
  </si>
  <si>
    <t xml:space="preserve">nombre + timestamptz + CHECK con estado RECTIFICADO + vecina motivo_rectificacion</t>
  </si>
  <si>
    <t xml:space="preserve">C0769</t>
  </si>
  <si>
    <t xml:space="preserve">rectificado_por</t>
  </si>
  <si>
    <t xml:space="preserve">Mapeada en hiring-service/src/entities/resultado-evaluacion.entity.ts:76 (ResultadoEvaluacion.rectificadoPor)</t>
  </si>
  <si>
    <t xml:space="preserve">Usuario que rectificó el resultado.</t>
  </si>
  <si>
    <t xml:space="preserve">nombre + varchar(200) + vecina rectificado_at</t>
  </si>
  <si>
    <t xml:space="preserve">C0770</t>
  </si>
  <si>
    <t xml:space="preserve">motivo_rectificacion</t>
  </si>
  <si>
    <t xml:space="preserve">Mapeada en hiring-service/src/entities/resultado-evaluacion.entity.ts:79 (ResultadoEvaluacion.motivoRectificacion)</t>
  </si>
  <si>
    <t xml:space="preserve">Motivo de la rectificación.</t>
  </si>
  <si>
    <t xml:space="preserve">C0771</t>
  </si>
  <si>
    <t xml:space="preserve">revisiones</t>
  </si>
  <si>
    <t xml:space="preserve">decision</t>
  </si>
  <si>
    <t xml:space="preserve">APROBADO, DEVUELTO, NEGADO</t>
  </si>
  <si>
    <t xml:space="preserve">Mapeada en hiring-service/src/entities/revision.entity.ts:26 (Revision.decision) | Validación: IsIn(DECISIONES_COMITE, {
    message: 'El comité aprueba, aprueba con condiciones, observa o rechaza',
  })</t>
  </si>
  <si>
    <t xml:space="preserve">Decisión de la revisión de la actividad. Valores permitidos: APROBADO, DEVUELTO, NEGADO.</t>
  </si>
  <si>
    <t xml:space="preserve">C0772</t>
  </si>
  <si>
    <t xml:space="preserve">hiring-service/src/entities/revision.entity.ts:30: Obligatorio salvo al aprobar: sin motivo nadie sabe qué corregir, ni por qué se negó. | Validación: IsNotEmpty({ message: 'El motivo del rechazo es obligatorio' }), IsNotEmpty({ message: 'Explica por qué se rechaza el registro presupuestal' }), IsNotEmpty({ message: 'Explica por qué se rechaza' }), IsOptional, IsString, MaxLength(1000)</t>
  </si>
  <si>
    <t xml:space="preserve">Motivo de la decisión del revisor sobre la actividad. Obligatorio salvo cuando se aprueba.</t>
  </si>
  <si>
    <t xml:space="preserve">código: hiring-service/src/entities/revision.entity.ts:30</t>
  </si>
  <si>
    <t xml:space="preserve">C0773</t>
  </si>
  <si>
    <t xml:space="preserve">version_revisada</t>
  </si>
  <si>
    <t xml:space="preserve">hiring-service/src/entities/revision.entity.ts:34: Versión sobre la que se pronunció el revisor. | db/migrations/hiring/005_revision_estudio_previo.sql:35: Versión de la actividad revisada: permite saber sobre qué contenido se pronunció el revisor, aunque el gestor lo haya corregido después.</t>
  </si>
  <si>
    <t xml:space="preserve">Número de versión de la actividad sobre la que se pronunció el revisor, aunque el gestor la haya corregido después.</t>
  </si>
  <si>
    <t xml:space="preserve">código: hiring-service/src/entities/revision.entity.ts:34; db/migrations/hiring/005_revision_estudio_previo.sql:35</t>
  </si>
  <si>
    <t xml:space="preserve">C0774</t>
  </si>
  <si>
    <t xml:space="preserve">Mapeada en hiring-service/src/entities/revision.entity.ts:37 (Revision.revisadoPor)</t>
  </si>
  <si>
    <t xml:space="preserve">C0775</t>
  </si>
  <si>
    <t xml:space="preserve">revisado_por_id</t>
  </si>
  <si>
    <t xml:space="preserve">Mapeada en hiring-service/src/entities/revision.entity.ts:40 (Revision.revisadoPorId)</t>
  </si>
  <si>
    <t xml:space="preserve">nombre + varchar(120) + vecina revisado_por</t>
  </si>
  <si>
    <t xml:space="preserve">¿A qué tabla corresponde el identificador (auth."user", Keycloak u otro)?</t>
  </si>
  <si>
    <t xml:space="preserve">C0776</t>
  </si>
  <si>
    <t xml:space="preserve">seguimientos_contrato</t>
  </si>
  <si>
    <t xml:space="preserve">ACTA, INFORME, SOPORTE</t>
  </si>
  <si>
    <t xml:space="preserve">db/migrations/hiring/050_seguimiento_ejecucion.sql:28: Qué clase de soporte es. INFORME y ACTA son los que nombra la historia; SOPORTE recoge el resto —una certificación, una comunicación— sin obligar a inventar una categoría por cada documento que aparezca. | Validación: IsIn(TIPOS_CAMPO as unknown as string[]), IsIn(TIPOS_LIQUIDACION, {
    message: 'La liquidación es bilateral, de común acuerdo, o unilateral, por acto de la entidad',
  }), IsIn(TIPOS_REGLA as unknown as string[]), IsIn(TIPOS_SOPORTE, {
    message: 'El soporte es seguridad social, RUT, certificación bancaria u otro',
  }), IsIn(['GRABACION', 'OBSERVACION', 'ANEXO'], {
    message: 'Di qué es: una grabación, una observación con su respuesta, o un anexo',
  }), IsIn(['INFORME', 'ACTA', 'SOPORTE'], {
    message: 'El soporte es un informe, un acta u otro documento de la ejecución',
  })</t>
  </si>
  <si>
    <t xml:space="preserve">Clase de soporte del seguimiento a la ejecución: INFORME, ACTA o SOPORTE (otros documentos, como certificaciones o comunicaciones).</t>
  </si>
  <si>
    <t xml:space="preserve">código: db/migrations/hiring/050_seguimiento_ejecucion.sql:28</t>
  </si>
  <si>
    <t xml:space="preserve">C0777</t>
  </si>
  <si>
    <t xml:space="preserve">hiring-service/src/entities/seguimiento-contrato.entity.ts:32: Qué acredita: un archivo sin explicación obliga a abrirlo para saberlo. | db/migrations/hiring/050_seguimiento_ejecucion.sql:32: Qué acredita. Se pide siempre: un archivo sin explicación obliga a abrirlo para saber si es el que se busca. | Validación: IsNotEmpty({ message: 'Describe el entregable' }), IsNotEmpty({ message: 'Describe la pieza: una lista de archivos sin decir cuál es cuál no documenta nada' }), IsNotEmpty({ message: 'Describe qué acredita el soporte' }), IsOptional, IsString, MaxLength(1000)</t>
  </si>
  <si>
    <t xml:space="preserve">Descripción de lo que acredita el soporte del seguimiento. Es obligatoria.</t>
  </si>
  <si>
    <t xml:space="preserve">código: hiring-service/src/entities/seguimiento-contrato.entity.ts:32; db/migrations/hiring/050_seguimiento_ejecucion.sql:32</t>
  </si>
  <si>
    <t xml:space="preserve">C0778</t>
  </si>
  <si>
    <t xml:space="preserve">hiring-service/src/entities/seguimiento-contrato.entity.ts:36: Qué lapso cubre. Nulo cuando el soporte es de un hecho puntual. | db/migrations/hiring/050_seguimiento_ejecucion.sql:36: Qué periodo de la ejecución cubre. Nulo cuando el soporte no cubre un lapso sino un hecho puntual. | Validación: IsDateString({}, { message: 'El inicio del periodo debe tener el formato YYYY-MM-DD' }), IsOptional</t>
  </si>
  <si>
    <t xml:space="preserve">Fecha de inicio del periodo de la ejecución que cubre el soporte. Se registra junto con periodo_hasta, no puede ser posterior a ella y es nula cuando el soporte corresponde a un hecho puntual.</t>
  </si>
  <si>
    <t xml:space="preserve">código: hiring-service/src/entities/seguimiento-contrato.entity.ts:36; db/migrations/hiring/050_seguimiento_ejecucion.sql:36</t>
  </si>
  <si>
    <t xml:space="preserve">C0779</t>
  </si>
  <si>
    <t xml:space="preserve">Mapeada en hiring-service/src/entities/seguimiento-contrato.entity.ts:39 (SeguimientoContrato.periodoHasta) | Validación: IsDateString({}, { message: 'El fin del periodo debe tener el formato YYYY-MM-DD' }), IsOptional</t>
  </si>
  <si>
    <t xml:space="preserve">Fecha de fin del periodo que cubre el seguimiento. Se registra junto con periodo_desde.</t>
  </si>
  <si>
    <t xml:space="preserve">nombre + tipo date + CHECK con periodo_desde</t>
  </si>
  <si>
    <t xml:space="preserve">C0780</t>
  </si>
  <si>
    <t xml:space="preserve">fecha_soporte</t>
  </si>
  <si>
    <t xml:space="preserve">ix_seguimientos_contrato</t>
  </si>
  <si>
    <t xml:space="preserve">hiring-service/src/entities/seguimiento-contrato.entity.ts:46: La del soporte, no la del registro: un informe de enero se puede cargar en febrero y sigue siendo de enero. | db/migrations/hiring/050_seguimiento_ejecucion.sql:41: La fecha del soporte, no la del registro: un informe de enero se puede cargar en febrero y sigue siendo de enero. | Validación: IsDateString({}, { message: 'La fecha del soporte debe tener el formato YYYY-MM-DD' })</t>
  </si>
  <si>
    <t xml:space="preserve">Fecha del soporte, no la de su registro en la plataforma (un informe de enero cargado en febrero conserva la fecha de enero).</t>
  </si>
  <si>
    <t xml:space="preserve">código: hiring-service/src/entities/seguimiento-contrato.entity.ts:46; db/migrations/hiring/050_seguimiento_ejecucion.sql:41</t>
  </si>
  <si>
    <t xml:space="preserve">C0781</t>
  </si>
  <si>
    <t xml:space="preserve">db/migrations/hiring/050_seguimiento_ejecucion.sql:48: Quién lo cargó y en calidad de qué: el supervisor de entonces puede no ser el de ahora, y el expediente tiene que decir quién respondía ese día.</t>
  </si>
  <si>
    <t xml:space="preserve">Usuario que cargó el soporte del seguimiento; el expediente conserva quién respondía ese día.</t>
  </si>
  <si>
    <t xml:space="preserve">código: db/migrations/hiring/050_seguimiento_ejecucion.sql:48</t>
  </si>
  <si>
    <t xml:space="preserve">¿En qué columna se guarda la calidad en que actuó quien cargó el soporte?</t>
  </si>
  <si>
    <t xml:space="preserve">C0782</t>
  </si>
  <si>
    <t xml:space="preserve">sesiones_comite_contratacion</t>
  </si>
  <si>
    <t xml:space="preserve">fecha</t>
  </si>
  <si>
    <t xml:space="preserve">ix_sesiones_comite_proceso</t>
  </si>
  <si>
    <t xml:space="preserve">hiring-service/src/entities/comite-contratacion.entity.ts:77: La de la sesión, que no es la de la transcripción. | db/migrations/hiring/071_comite_de_contratacion.sql:69: La fecha de la sesión, que no es la de la transcripción: el comité sesiona en la Dirección y esto se registra después. | Validación: IsISO8601({ strict: true }, { message: 'La fecha de la sesión no es válida' }), IsISO8601({ strict: true }, { message: 'La fecha va en formato AAAA-MM-DD' })</t>
  </si>
  <si>
    <t xml:space="preserve">Fecha de la sesión del comité de contratación, no la de su registro en la plataforma.</t>
  </si>
  <si>
    <t xml:space="preserve">código: hiring-service/src/entities/comite-contratacion.entity.ts:77; db/migrations/hiring/071_comite_de_contratacion.sql:69</t>
  </si>
  <si>
    <t xml:space="preserve">C0783</t>
  </si>
  <si>
    <t xml:space="preserve">APROBADO, APROBADO_CON_CONDICIONES, OBSERVADO, RECHAZADO</t>
  </si>
  <si>
    <t xml:space="preserve">Mapeada en hiring-service/src/entities/comite-contratacion.entity.ts:80 (SesionComiteContratacion.decision) | Validación: IsIn(DECISIONES_COMITE, {
    message: 'El comité aprueba, aprueba con condiciones, observa o rechaza',
  })</t>
  </si>
  <si>
    <t xml:space="preserve">Decisión del comité en la sesión. Valores permitidos: APROBADO, APROBADO_CON_CONDICIONES, OBSERVADO, RECHAZADO.</t>
  </si>
  <si>
    <t xml:space="preserve">C0784</t>
  </si>
  <si>
    <t xml:space="preserve">condiciones</t>
  </si>
  <si>
    <t xml:space="preserve">hiring-service/src/entities/comite-contratacion.entity.ts:84: A qué queda sujeta la aprobación condicionada. | db/migrations/hiring/071_comite_de_contratacion.sql:72: A qué queda sujeta la aprobación condicionada. | Validación: IsArray, IsOptional, IsString, MaxLength(2000), MinLength(10, { message: 'Di a que queda condicionada la aprobación' })</t>
  </si>
  <si>
    <t xml:space="preserve">Condiciones a las que queda sujeta la aprobación condicionada del comité. Un CHECK la relaciona con la decisión APROBADO_CON_CONDICIONES.</t>
  </si>
  <si>
    <t xml:space="preserve">código: hiring-service/src/entities/comite-contratacion.entity.ts:84; db/migrations/hiring/071_comite_de_contratacion.sql:72</t>
  </si>
  <si>
    <t xml:space="preserve">C0785</t>
  </si>
  <si>
    <t xml:space="preserve">Mapeada en hiring-service/src/entities/comite-contratacion.entity.ts:101 (SesionComiteContratacion.registradoPor)</t>
  </si>
  <si>
    <t xml:space="preserve">C0786</t>
  </si>
  <si>
    <t xml:space="preserve">registrado_por_id</t>
  </si>
  <si>
    <t xml:space="preserve">Mapeada en hiring-service/src/entities/comite-contratacion.entity.ts:104 (SesionComiteContratacion.registradoPorId)</t>
  </si>
  <si>
    <t xml:space="preserve">Identificador del usuario que registró la sesión.</t>
  </si>
  <si>
    <t xml:space="preserve">nombre + varchar(120) + vecina registrado_por</t>
  </si>
  <si>
    <t xml:space="preserve">C0787</t>
  </si>
  <si>
    <t xml:space="preserve">smmlv</t>
  </si>
  <si>
    <t xml:space="preserve">Mapeada en hiring-service/src/entities/smmlv.entity.ts:21 (Smmlv.valor) | Validación: IsNumber({ maxDecimalPlaces: 2 }, { message: 'El salario debe ser un número' }), IsNumber({ maxDecimalPlaces: 2 }, { message: 'El valor debe ser un número' }), IsNumber({}, { message: 'El valor cobrado debe ser un número' }), IsNumber({}, { message: 'El valor comprometido debe ser un número' }), IsNumber({}, { message: 'El valor debe ser un número' }), IsNumber({}, { message: 'El valor del contrato debe ser un número' })</t>
  </si>
  <si>
    <t xml:space="preserve">Valor del salario mínimo mensual legal vigente del año, en pesos colombianos. Debe ser mayor que cero.</t>
  </si>
  <si>
    <t xml:space="preserve">nombre + numeric + CHECK &gt; 0 + descripción de la tabla</t>
  </si>
  <si>
    <t xml:space="preserve">C0788</t>
  </si>
  <si>
    <t xml:space="preserve">hiring-service/src/entities/smmlv.entity.ts:25: Mientras sea false, el valor es un supuesto y no un dato verificado. | db/migrations/hiring/009_umbrales_modalidad.sql:33: Mientras esté en false, el valor es un supuesto del equipo de desarrollo. | Validación: IsBoolean, IsOptional</t>
  </si>
  <si>
    <t xml:space="preserve">Indica si el valor del salario mínimo está verificado; mientras sea falso, el valor es un supuesto del equipo de desarrollo.</t>
  </si>
  <si>
    <t xml:space="preserve">código: hiring-service/src/entities/smmlv.entity.ts:25; db/migrations/hiring/009_umbrales_modalidad.sql:33</t>
  </si>
  <si>
    <t xml:space="preserve">C0789</t>
  </si>
  <si>
    <t xml:space="preserve">sobres_economicos</t>
  </si>
  <si>
    <t xml:space="preserve">valor_ofertado</t>
  </si>
  <si>
    <t xml:space="preserve">hiring-service/src/entities/sobre-economico.entity.ts:30: Lo que traía el sobre. Se guarda aquí y no se pisa `oferentes.valor_ofertado` porque son dos hechos distintos: lo que el oferente declaró al presentarse y lo que resultó al abrir el sobre. Que coincidan es lo normal; que no coincidan es justamente lo que hay que poder ver. | db/migrations/hiring/040_adjudicacion.sql:127: Lo que traía el sobre. Se guarda aquí y no se pisa `oferentes.valor_ofertado` porque son dos hechos distintos: lo que el oferente declaró al presentarse y lo que resultó al abrir el sobre en audiencia. Que coincidan es lo normal; que no coincidan es justamente lo que hay que poder ver. | Validación: IsNumber({ maxDecimalPlaces: 2 }, { message: 'El valor de la oferta debe ser un número' }), IsNumber({ maxDecimalPlaces: 2 }, { message: 'El valor del sobre debe ser un número' }), Min(0, { message: 'El valor de la oferta no puede ser negativo' }), Min(0.01, { message: 'El valor del sobre tiene que ser mayor que cero' })</t>
  </si>
  <si>
    <t xml:space="preserve">Valor que traía el sobre económico al abrirse en audiencia; debe ser mayor que cero. Se guarda aparte del valor declarado en oferentes.valor_ofertado para poder comparar ambos.</t>
  </si>
  <si>
    <t xml:space="preserve">código: hiring-service/src/entities/sobre-economico.entity.ts:30; db/migrations/hiring/040_adjudicacion.sql:127</t>
  </si>
  <si>
    <t xml:space="preserve">C0790</t>
  </si>
  <si>
    <t xml:space="preserve">Mapeada en hiring-service/src/entities/sobre-economico.entity.ts:37 (SobreEconomico.observacion) | Validación: IsOptional, IsString, MaxLength(1000), MaxLength(2000), MaxLength(2000, { message: 'La observación del informe no puede pasar de 2000 caracteres' })</t>
  </si>
  <si>
    <t xml:space="preserve">C0791</t>
  </si>
  <si>
    <t xml:space="preserve">Mapeada en hiring-service/src/entities/sobre-economico.entity.ts:40 (SobreEconomico.abiertoPor)</t>
  </si>
  <si>
    <t xml:space="preserve">Usuario que abrió el sobre económico en la audiencia.</t>
  </si>
  <si>
    <t xml:space="preserve">nombre + varchar(200) + vecina abierto_at</t>
  </si>
  <si>
    <t xml:space="preserve">C0792</t>
  </si>
  <si>
    <t xml:space="preserve">abierto_at</t>
  </si>
  <si>
    <t xml:space="preserve">Mapeada en hiring-service/src/entities/sobre-economico.entity.ts:43 (SobreEconomico.abiertoAt)</t>
  </si>
  <si>
    <t xml:space="preserve">Fecha y hora de apertura del sobre económico. Por defecto, la fecha del registro.</t>
  </si>
  <si>
    <t xml:space="preserve">C0793</t>
  </si>
  <si>
    <t xml:space="preserve">soportes_pago</t>
  </si>
  <si>
    <t xml:space="preserve">CERTIFICACION_BANCARIA, OTRO, RUT, SEGURIDAD_SOCIAL</t>
  </si>
  <si>
    <t xml:space="preserve">db/migrations/hiring/043_tramite_de_pagos.sql:111: Qué es lo que se adjunta. Los dos primeros son los que Click evitaría pedir; mientras no exista, se piden y quedan registrados como lo que son. | Validación: IsIn(TIPOS_CAMPO as unknown as string[]), IsIn(TIPOS_LIQUIDACION, {
    message: 'La liquidación es bilateral, de común acuerdo, o unilateral, por acto de la entidad',
  }), IsIn(TIPOS_REGLA as unknown as string[]), IsIn(TIPOS_SOPORTE, {
    message: 'El soporte es seguridad social, RUT, certificación bancaria u otro',
  }), IsIn(['GRABACION', 'OBSERVACION', 'ANEXO'], {
    message: 'Di qué es: una grabación, una observación con su respuesta, o un anexo',
  }), IsIn(['INFORME', 'ACTA', 'SOPORTE'], {
    message: 'El soporte es un informe, un acta u otro documento de la ejecución',
  })</t>
  </si>
  <si>
    <t xml:space="preserve">Tipo de documento que acompaña la cuenta de cobro: SEGURIDAD_SOCIAL, RUT, CERTIFICACION_BANCARIA u OTRO.</t>
  </si>
  <si>
    <t xml:space="preserve">código: db/migrations/hiring/043_tramite_de_pagos.sql:111; validaciones DTO</t>
  </si>
  <si>
    <t xml:space="preserve">C0794</t>
  </si>
  <si>
    <t xml:space="preserve">Mapeada en hiring-service/src/entities/pago-contrato.entity.ts:165 (SoportePago.descripcion) | Validación: IsNotEmpty({ message: 'Describe el entregable' }), IsNotEmpty({ message: 'Describe la pieza: una lista de archivos sin decir cuál es cuál no documenta nada' }), IsNotEmpty({ message: 'Describe qué acredita el soporte' }), IsOptional, IsString, MaxLength(1000)</t>
  </si>
  <si>
    <t xml:space="preserve">Descripción del registro de soportes_pago.</t>
  </si>
  <si>
    <t xml:space="preserve">C0795</t>
  </si>
  <si>
    <t xml:space="preserve">Mapeada en hiring-service/src/entities/pago-contrato.entity.ts:168 (SoportePago.cargadoPor)</t>
  </si>
  <si>
    <t xml:space="preserve">C0796</t>
  </si>
  <si>
    <t xml:space="preserve">subsanaciones</t>
  </si>
  <si>
    <t xml:space="preserve">OBSERVACION, SUBSANACION</t>
  </si>
  <si>
    <t xml:space="preserve">db/migrations/hiring/039_traslado_y_subsanaciones.sql:178: SUBSANACION aporta lo que faltaba y puede cambiar la habilitación; OBSERVACION cuestiona la evaluación, propia o de otro. No son lo mismo y no se responden igual: guardarlas en una sola etiqueta obligaría a adivinar. | Validación: IsIn(TIPOS_CAMPO as unknown as string[]), IsIn(TIPOS_LIQUIDACION, {
    message: 'La liquidación es bilateral, de común acuerdo, o unilateral, por acto de la entidad',
  }), IsIn(TIPOS_REGLA as unknown as string[]), IsIn(TIPOS_SOPORTE, {
    message: 'El soporte es seguridad social, RUT, certificación bancaria u otro',
  }), IsIn(['GRABACION', 'OBSERVACION', 'ANEXO'], {
    message: 'Di qué es: una grabación, una observación con su respuesta, o un anexo',
  }), IsIn(['INFORME', 'ACTA', 'SOPORTE'], {
    message: 'El soporte es un informe, un acta u otro documento de la ejecución',
  })</t>
  </si>
  <si>
    <t xml:space="preserve">Tipo de lo presentado por el oferente durante el traslado del informe: SUBSANACION (aporta lo que faltaba y puede cambiar la habilitación) u OBSERVACION (cuestiona la evaluación, propia o de otro oferente).</t>
  </si>
  <si>
    <t xml:space="preserve">código: db/migrations/hiring/039_traslado_y_subsanaciones.sql:178</t>
  </si>
  <si>
    <t xml:space="preserve">C0797</t>
  </si>
  <si>
    <t xml:space="preserve">Mapeada en hiring-service/src/entities/subsanacion.entity.ts:37 (Subsanacion.presentadoPor) | Validación: IsNotEmpty({ message: 'Di quién presenta el escrito' }), IsNotEmpty({ message: 'Indica quién presentó la observación' }), IsString, MaxLength(200)</t>
  </si>
  <si>
    <t xml:space="preserve">Nombre de quien presenta la subsanación u observación.</t>
  </si>
  <si>
    <t xml:space="preserve">nombre + varchar(200) + descripción de la tabla</t>
  </si>
  <si>
    <t xml:space="preserve">C0798</t>
  </si>
  <si>
    <t xml:space="preserve">Mapeada en hiring-service/src/entities/subsanacion.entity.ts:40 (Subsanacion.identificacion) | Validación: IsNotEmpty({ message: 'Indica el NIT o documento del oferente' }), IsNotEmpty({ message: 'La identificación es obligatoria para no contar dos veces la misma' }), IsOptional, IsString, MaxLength(40), MaxLength(60)</t>
  </si>
  <si>
    <t xml:space="preserve">C0799</t>
  </si>
  <si>
    <t xml:space="preserve">hiring-service/src/entities/subsanacion.entity.ts:47: Cuándo lo presentó el oferente, no cuándo se registró: es la que decide si llegó en término, y el gestor puede transcribirlo días después. | db/migrations/hiring/039_traslado_y_subsanaciones.sql:185: La fecha en que el oferente lo presentó, no la del registro: es la que decide si llegó en término, y el gestor puede transcribirlo días después. | Validación: IsISO8601({ strict: true }, { message: 'La fecha de presentación va como YYYY-MM-DD' }), IsISO8601({ strict: true }, { message: 'La fecha debe tener formato YYYY-MM-DD' })</t>
  </si>
  <si>
    <t xml:space="preserve">Fecha en que el oferente presentó la subsanación u observación, no la de su registro; determina si llegó en término.</t>
  </si>
  <si>
    <t xml:space="preserve">código: hiring-service/src/entities/subsanacion.entity.ts:47; db/migrations/hiring/039_traslado_y_subsanaciones.sql:185</t>
  </si>
  <si>
    <t xml:space="preserve">C0800</t>
  </si>
  <si>
    <t xml:space="preserve">extemporanea</t>
  </si>
  <si>
    <t xml:space="preserve">hiring-service/src/entities/subsanacion.entity.ts:57: Resuelto al registrar y no calculado al consultar, por la misma razón que el vencimiento se congela. Extemporáneo **no** significa rechazado: quien decide si lo acepta es la entidad, y el sistema no puede borrar el hecho de que el oferente presentó. | db/migrations/hiring/039_traslado_y_subsanaciones.sql:193: Se guarda resuelto y no se calcula al consultar, por la misma razón que el vencimiento se congela: si el plazo del informe se corrige, lo que ya se calificó de extemporáneo no puede cambiar de estado solo. Extemporáneo NO significa rechazado: la entidad decide si lo acepta, y el sistema no puede bor</t>
  </si>
  <si>
    <t xml:space="preserve">Indica si la subsanación u observación se presentó fuera de término. Se calcula al registrar y queda fija. No implica rechazo: la entidad decide si la acepta.</t>
  </si>
  <si>
    <t xml:space="preserve">código: hiring-service/src/entities/subsanacion.entity.ts:57; db/migrations/hiring/039_traslado_y_subsanaciones.sql:193</t>
  </si>
  <si>
    <t xml:space="preserve">C0801</t>
  </si>
  <si>
    <t xml:space="preserve">Mapeada en hiring-service/src/entities/subsanacion.entity.ts:60 (Subsanacion.asunto) | Validación: IsNotEmpty({ message: 'El asunto es obligatorio' }), IsNotEmpty({ message: 'Ponle un asunto: es lo que se lee en la lista' }), IsString, MaxLength(300)</t>
  </si>
  <si>
    <t xml:space="preserve">Asunto de la subsanación u observación.</t>
  </si>
  <si>
    <t xml:space="preserve">C0802</t>
  </si>
  <si>
    <t xml:space="preserve">Mapeada en hiring-service/src/entities/subsanacion.entity.ts:63 (Subsanacion.contenido) | Validación: IsNotEmpty({ message: 'El contenido de la observación es obligatorio' }), IsNotEmpty({ message: 'Transcribe lo que presentó el oferente' }), IsString, MinLength(10, { message: 'El contenido tiene que decir qué presentó el oferente' })</t>
  </si>
  <si>
    <t xml:space="preserve">Texto de la subsanación u observación presentada por el oferente.</t>
  </si>
  <si>
    <t xml:space="preserve">C0803</t>
  </si>
  <si>
    <t xml:space="preserve">db/migrations/hiring/039_traslado_y_subsanaciones.sql:201: La respuesta de la entidad. La matriz pide documento por dimensión —jurídico, financiero y técnico—, así que la respuesta puede traer el suyo. | Validación: IsNotEmpty({ message: 'Escribe la respuesta: es la que se le notifica al oferente' }), IsNotEmpty({ message: 'La respuesta no puede ir vacía' }), IsString, MinLength(10, { message: 'La respuesta tiene que sustentarse, no basta con aceptar o negar' })</t>
  </si>
  <si>
    <t xml:space="preserve">Respuesta de la entidad a la subsanación u observación, que se notifica al oferente. Es obligatoria cuando se registra la decisión (aceptada) y la fecha de respuesta.</t>
  </si>
  <si>
    <t xml:space="preserve">código: db/migrations/hiring/039_traslado_y_subsanaciones.sql:201; validaciones DTO</t>
  </si>
  <si>
    <t xml:space="preserve">C0804</t>
  </si>
  <si>
    <t xml:space="preserve">aceptada</t>
  </si>
  <si>
    <t xml:space="preserve">hiring-service/src/entities/subsanacion.entity.ts:80: Nulo mientras no se responde. True: se aceptó, y el comité puede corregir su juicio con lo aportado. | db/migrations/hiring/039_traslado_y_subsanaciones.sql:205: Nulo mientras no se responde. True: se aceptó, y el comité puede corregir su juicio con lo aportado. | Validación: IsBoolean({ message: 'Di si se acepta o no lo presentado' })</t>
  </si>
  <si>
    <t xml:space="preserve">Decisión de la entidad sobre lo presentado: nulo mientras no se responde; verdadero si se aceptó, caso en que el comité puede corregir su evaluación con lo aportado.</t>
  </si>
  <si>
    <t xml:space="preserve">código: hiring-service/src/entities/subsanacion.entity.ts:80; db/migrations/hiring/039_traslado_y_subsanaciones.sql:205</t>
  </si>
  <si>
    <t xml:space="preserve">C0805</t>
  </si>
  <si>
    <t xml:space="preserve">Mapeada en hiring-service/src/entities/subsanacion.entity.ts:83 (Subsanacion.respondidaPor)</t>
  </si>
  <si>
    <t xml:space="preserve">Usuario que registró la respuesta.</t>
  </si>
  <si>
    <t xml:space="preserve">nombre + varchar(120) + vecina respondida_at</t>
  </si>
  <si>
    <t xml:space="preserve">C0806</t>
  </si>
  <si>
    <t xml:space="preserve">Mapeada en hiring-service/src/entities/subsanacion.entity.ts:86 (Subsanacion.respondidaAt)</t>
  </si>
  <si>
    <t xml:space="preserve">Fecha y hora de la respuesta. Se registra junto con aceptada.</t>
  </si>
  <si>
    <t xml:space="preserve">nombre + timestamptz + CHECK con aceptada</t>
  </si>
  <si>
    <t xml:space="preserve">C0807</t>
  </si>
  <si>
    <t xml:space="preserve">Mapeada en hiring-service/src/entities/subsanacion.entity.ts:89 (Subsanacion.registradoPor)</t>
  </si>
  <si>
    <t xml:space="preserve">C0808</t>
  </si>
  <si>
    <t xml:space="preserve">supervisiones_contrato</t>
  </si>
  <si>
    <t xml:space="preserve">hiring-service/src/entities/supervision-contrato.entity.ts:32: La del acto, no la del registro: es cuando la entidad designó. | db/migrations/hiring/038_designacion_supervisor.sql:24: La del acto, no la del registro: es cuando la entidad designó. | Validación: IsDateString({}, { message: 'La fecha de designación debe tener el formato YYYY-MM-DD' })</t>
  </si>
  <si>
    <t xml:space="preserve">Fecha del acto administrativo de designación del supervisor, no la de su registro.</t>
  </si>
  <si>
    <t xml:space="preserve">código: hiring-service/src/entities/supervision-contrato.entity.ts:32; db/migrations/hiring/038_designacion_supervisor.sql:24</t>
  </si>
  <si>
    <t xml:space="preserve">C0809</t>
  </si>
  <si>
    <t xml:space="preserve">ix_supervisiones_persona</t>
  </si>
  <si>
    <t xml:space="preserve">hiring-service/src/entities/supervision-contrato.entity.ts:36: `id_person` de auth.personas; sin FK porque ese esquema es de otro equipo. | db/migrations/hiring/038_designacion_supervisor.sql:29: `id_person` de auth.personas, SIN llave foránea a propósito: ese esquema es de otro equipo y una FK entre esquemas ataría nuestras migraciones a las suyas. Se guarda para poder enlazar después la cuenta con la persona. | Validación: IsUUID('4', { message: 'Cada miembro se identifica con el id de la persona del directorio' }), IsUUID('4', { message: 'El supervisor se identifica con el id de la persona del directorio' })</t>
  </si>
  <si>
    <t xml:space="preserve">Identificador de la persona designada como supervisora (id_person de auth.personas). Sin llave foránea declarada, por tratarse de un esquema de otro equipo.</t>
  </si>
  <si>
    <t xml:space="preserve">código: hiring-service/src/entities/supervision-contrato.entity.ts:36; db/migrations/hiring/038_designacion_supervisor.sql:29</t>
  </si>
  <si>
    <t xml:space="preserve">C0810</t>
  </si>
  <si>
    <t xml:space="preserve">hiring-service/src/entities/supervision-contrato.entity.ts:40: Copia del nombre al designar: el acto nombró a esa persona ese día. | db/migrations/hiring/038_designacion_supervisor.sql:33: Copia del nombre al designar. El acto nombró a esa persona ese día: si mañana el directorio corrige el nombre, el expediente debe seguir diciendo lo que el acto dijo. | Validación: IsNotEmpty, IsNotEmpty({ message: 'Cada miembro necesita el nombre con el que se le designa' }), IsNotEmpty({ message: 'El nombre de la MIPYME es obligatorio' }), IsNotEmpty({ message: 'Indica el nombre o la razón social del oferente' }), IsNotEmpty({ message: 'La tipología necesita un nombre' }), IsNotEmpty({ message: 'Registra el nombre de quien se designa como supervisor' })</t>
  </si>
  <si>
    <t xml:space="preserve">Nombre del supervisor, copiado al momento de la designación; conserva el nombre que registró el acto aunque luego cambie en el directorio.</t>
  </si>
  <si>
    <t xml:space="preserve">código: hiring-service/src/entities/supervision-contrato.entity.ts:40; db/migrations/hiring/038_designacion_supervisor.sql:33</t>
  </si>
  <si>
    <t xml:space="preserve">C0811</t>
  </si>
  <si>
    <t xml:space="preserve">Mapeada en hiring-service/src/entities/supervision-contrato.entity.ts:43 (SupervisionContrato.cargo) | Validación: IsOptional, IsString, MaxLength(200)</t>
  </si>
  <si>
    <t xml:space="preserve">Cargo del supervisor designado.</t>
  </si>
  <si>
    <t xml:space="preserve">C0812</t>
  </si>
  <si>
    <t xml:space="preserve">Mapeada en hiring-service/src/entities/supervision-contrato.entity.ts:46 (SupervisionContrato.email) | Validación: IsEmail({}, { message: 'El correo del supervisor no tiene un formato válido' }), IsOptional, MaxLength(200)</t>
  </si>
  <si>
    <t xml:space="preserve">C0813</t>
  </si>
  <si>
    <t xml:space="preserve">Mapeada en hiring-service/src/entities/supervision-contrato.entity.ts:49 (SupervisionContrato.designadoPor)</t>
  </si>
  <si>
    <t xml:space="preserve">Usuario o funcionario que designó al supervisor.</t>
  </si>
  <si>
    <t xml:space="preserve">¿Guarda el nombre del ordenador del gasto, el usuario que registró la designación u otro?</t>
  </si>
  <si>
    <t xml:space="preserve">C0814</t>
  </si>
  <si>
    <t xml:space="preserve">Mapeada en hiring-service/src/entities/supervision-contrato.entity.ts:52 (SupervisionContrato.estado)</t>
  </si>
  <si>
    <t xml:space="preserve">Estado del registro de supervisiones_contrato.</t>
  </si>
  <si>
    <t xml:space="preserve">C0815</t>
  </si>
  <si>
    <t xml:space="preserve">alerta_enviada_at</t>
  </si>
  <si>
    <t xml:space="preserve">hiring-service/src/entities/supervision-contrato.entity.ts:65: Cuándo se le avisó de su designación. Nulo mientras el aviso siga pendiente. El módulo no envía correos todavía, y marcarlo como enviado sin haberlo enviado dejaría al supervisor sin enterarse y al expediente afirmando lo contrario. | db/migrations/hiring/038_designacion_supervisor.sql:48: «Y que se le alerte al supervisor», dice la matriz en 8.2. El módulo de contratación no envía correos todavía, así que se registra que el aviso está pendiente en vez de darlo por hecho: cuando exista notificaciones, esta columna dice a quién falta avisar. Marcarlo como enviado sin haberlo enviado de</t>
  </si>
  <si>
    <t xml:space="preserve">Fecha y hora en que se avisó al supervisor de su designación (matriz, actividad 8.2). Es nula mientras el aviso esté pendiente; a la fecha del código el módulo no envía correos.</t>
  </si>
  <si>
    <t xml:space="preserve">código: hiring-service/src/entities/supervision-contrato.entity.ts:65; db/migrations/hiring/038_designacion_supervisor.sql:48</t>
  </si>
  <si>
    <t xml:space="preserve">C0816</t>
  </si>
  <si>
    <t xml:space="preserve">Mapeada en hiring-service/src/entities/supervision-contrato.entity.ts:68 (SupervisionContrato.relevadoAt)</t>
  </si>
  <si>
    <t xml:space="preserve">Fecha y hora en que el supervisor fue relevado. Un CHECK la relaciona con el estado RELEVADO.</t>
  </si>
  <si>
    <t xml:space="preserve">C0817</t>
  </si>
  <si>
    <t xml:space="preserve">Mapeada en hiring-service/src/entities/supervision-contrato.entity.ts:71 (SupervisionContrato.relevadoPor)</t>
  </si>
  <si>
    <t xml:space="preserve">Usuario que registró el relevo del supervisor.</t>
  </si>
  <si>
    <t xml:space="preserve">C0818</t>
  </si>
  <si>
    <t xml:space="preserve">Mapeada en hiring-service/src/entities/supervision-contrato.entity.ts:74 (SupervisionContrato.motivoRelevo)</t>
  </si>
  <si>
    <t xml:space="preserve">C0819</t>
  </si>
  <si>
    <t xml:space="preserve">suscripciones_acta_inicio</t>
  </si>
  <si>
    <t xml:space="preserve">hiring-service/src/entities/suscripcion-acta-inicio.entity.ts:24: Cuándo firmaron las dos partes, que no es cuándo se cargó. | hiring-service/db/migrations/089_acta_de_inicio_separada_de_la_reunion.sql:28: Cuándo firmaron las dos partes, que no es cuándo se cargó. | Validación: IsDateString({}, { message: 'La fecha de suscripción debe tener el formato YYYY-MM-DD' })</t>
  </si>
  <si>
    <t xml:space="preserve">Fecha en que las dos partes firmaron el acta de inicio, no la fecha en que se cargó.</t>
  </si>
  <si>
    <t xml:space="preserve">código: hiring-service/src/entities/suscripcion-acta-inicio.entity.ts:24; hiring-service/db/migrations/089_acta_de_inicio_separada_de_la_reunion.sql:28</t>
  </si>
  <si>
    <t xml:space="preserve">C0820</t>
  </si>
  <si>
    <t xml:space="preserve">Mapeada en hiring-service/src/entities/suscripcion-acta-inicio.entity.ts:30 (SuscripcionActaInicio.registradoPor)</t>
  </si>
  <si>
    <t xml:space="preserve">C0821</t>
  </si>
  <si>
    <t xml:space="preserve">tipologias_contrato</t>
  </si>
  <si>
    <t xml:space="preserve">Mapeada en hiring-service/src/entities/tipologia-contrato.entity.ts:15 (TipologiaContrato.nombre) | Validación: IsNotEmpty, IsNotEmpty({ message: 'Cada miembro necesita el nombre con el que se le designa' }), IsNotEmpty({ message: 'El nombre de la MIPYME es obligatorio' }), IsNotEmpty({ message: 'Indica el nombre o la razón social del oferente' }), IsNotEmpty({ message: 'La tipología necesita un nombre' }), IsNotEmpty({ message: 'Registra el nombre de quien se designa como supervisor' })</t>
  </si>
  <si>
    <t xml:space="preserve">Nombre del registro de tipologias_contrato.</t>
  </si>
  <si>
    <t xml:space="preserve">C0822</t>
  </si>
  <si>
    <t xml:space="preserve">Mapeada en hiring-service/src/entities/tipologia-contrato.entity.ts:18 (TipologiaContrato.descripcion) | Validación: IsNotEmpty({ message: 'Describe el entregable' }), IsNotEmpty({ message: 'Describe la pieza: una lista de archivos sin decir cuál es cuál no documenta nada' }), IsNotEmpty({ message: 'Describe qué acredita el soporte' }), IsOptional, IsString, MaxLength(1000)</t>
  </si>
  <si>
    <t xml:space="preserve">Descripción del registro de tipologias_contrato.</t>
  </si>
  <si>
    <t xml:space="preserve">C0823</t>
  </si>
  <si>
    <t xml:space="preserve">numeral_formato</t>
  </si>
  <si>
    <t xml:space="preserve">hiring-service/src/entities/tipologia-contrato.entity.ts:22: Numeral de la matriz cuyo formato del SIG hace de minuta. | db/migrations/hiring/035_contrato_electronico.sql:38: Numeral de la matriz cuyo formato del SIG sirve de minuta. Sin llave foránea a hiring.plantillas: el formato puede no estar cargado todavía y eso no debe impedir que la tipología exista.</t>
  </si>
  <si>
    <t xml:space="preserve">Numeral de la matriz cuyo formato del SIG sirve de minuta para la tipología de contrato; por defecto, 8.1. Remite a la biblioteca de formatos (hiring.plantillas) sin llave foránea declarada, porque el formato puede no estar cargado aún.</t>
  </si>
  <si>
    <t xml:space="preserve">código: hiring-service/src/entities/tipologia-contrato.entity.ts:22; db/migrations/hiring/035_contrato_electronico.sql:38</t>
  </si>
  <si>
    <t xml:space="preserve">C0824</t>
  </si>
  <si>
    <t xml:space="preserve">exige_garantias</t>
  </si>
  <si>
    <t xml:space="preserve">hiring-service/src/entities/tipologia-contrato.entity.ts:26: Si la tipología exige garantías. Lo consume la legalización (EFDS-1164). | db/migrations/hiring/035_contrato_electronico.sql:42: Si la tipología exige garantías. Lo consumirá EFDS-1164; se declara aquí porque es un atributo de la tipología, no de la legalización. | Validación: IsBoolean, IsOptional</t>
  </si>
  <si>
    <t xml:space="preserve">Indica si la tipología de contrato exige garantías; lo usa la legalización del contrato (EFDS-1164).</t>
  </si>
  <si>
    <t xml:space="preserve">código: hiring-service/src/entities/tipologia-contrato.entity.ts:26; db/migrations/hiring/035_contrato_electronico.sql:42</t>
  </si>
  <si>
    <t xml:space="preserve">C0825</t>
  </si>
  <si>
    <t xml:space="preserve">Mapeada en hiring-service/src/entities/tipologia-contrato.entity.ts:29 (TipologiaContrato.activo) | Validación: IsBoolean, IsOptional</t>
  </si>
  <si>
    <t xml:space="preserve">C0826</t>
  </si>
  <si>
    <t xml:space="preserve">Mapeada en hiring-service/src/entities/tipologia-contrato.entity.ts:32 (TipologiaContrato.orden) | Validación: IsInt, IsOptional, Min(0), Min(1)</t>
  </si>
  <si>
    <t xml:space="preserve">C0827</t>
  </si>
  <si>
    <t xml:space="preserve">tipos_amparo</t>
  </si>
  <si>
    <t xml:space="preserve">Mapeada en hiring-service/src/entities/amparo.entity.ts:51 (TipoAmparo.nombre) | Validación: IsNotEmpty, IsNotEmpty({ message: 'Cada miembro necesita el nombre con el que se le designa' }), IsNotEmpty({ message: 'El nombre de la MIPYME es obligatorio' }), IsNotEmpty({ message: 'Indica el nombre o la razón social del oferente' }), IsNotEmpty({ message: 'La tipología necesita un nombre' }), IsNotEmpty({ message: 'Registra el nombre de quien se designa como supervisor' })</t>
  </si>
  <si>
    <t xml:space="preserve">Nombre del registro de tipos_amparo.</t>
  </si>
  <si>
    <t xml:space="preserve">C0828</t>
  </si>
  <si>
    <t xml:space="preserve">Mapeada en hiring-service/src/entities/amparo.entity.ts:54 (TipoAmparo.descripcion) | Validación: IsNotEmpty({ message: 'Describe el entregable' }), IsNotEmpty({ message: 'Describe la pieza: una lista de archivos sin decir cuál es cuál no documenta nada' }), IsNotEmpty({ message: 'Describe qué acredita el soporte' }), IsOptional, IsString, MaxLength(1000)</t>
  </si>
  <si>
    <t xml:space="preserve">Descripción del registro de tipos_amparo.</t>
  </si>
  <si>
    <t xml:space="preserve">C0829</t>
  </si>
  <si>
    <t xml:space="preserve">Mapeada en hiring-service/src/entities/amparo.entity.ts:57 (TipoAmparo.activo) | Validación: IsBoolean, IsOptional</t>
  </si>
  <si>
    <t xml:space="preserve">C0830</t>
  </si>
  <si>
    <t xml:space="preserve">Mapeada en hiring-service/src/entities/amparo.entity.ts:60 (TipoAmparo.orden) | Validación: IsInt, IsOptional, Min(0), Min(1)</t>
  </si>
  <si>
    <t xml:space="preserve">C0831</t>
  </si>
  <si>
    <t xml:space="preserve">tope_adicion</t>
  </si>
  <si>
    <t xml:space="preserve">porcentaje</t>
  </si>
  <si>
    <t xml:space="preserve">Mapeada en hiring-service/src/entities/modificacion-contrato.entity.ts:240 (TopeAdicion.porcentaje)</t>
  </si>
  <si>
    <t xml:space="preserve">Porcentaje máximo de adición sobre el valor inicial del contrato. Mayor que 0 y hasta 100.</t>
  </si>
  <si>
    <t xml:space="preserve">nombre + numeric(5,2) + CHECK 0 &lt; porcentaje &lt;= 100 + descripción de la tabla</t>
  </si>
  <si>
    <t xml:space="preserve">C0832</t>
  </si>
  <si>
    <t xml:space="preserve">Mapeada en hiring-service/src/entities/modificacion-contrato.entity.ts:243 (TopeAdicion.fundamento) | Validación: IsOptional, IsString</t>
  </si>
  <si>
    <t xml:space="preserve">Fundamento normativo del tope de adición.</t>
  </si>
  <si>
    <t xml:space="preserve">nombre + text + vecina confirmado</t>
  </si>
  <si>
    <t xml:space="preserve">¿Guarda la norma o el texto que sustenta el tope?</t>
  </si>
  <si>
    <t xml:space="preserve">C0833</t>
  </si>
  <si>
    <t xml:space="preserve">hiring-service/src/entities/modificacion-contrato.entity.ts:247: False mientras la Dirección de Contratación no ratifique la cifra. | db/migrations/hiring/049_modificaciones_contractuales.sql:40: False mientras la Dirección de Contratación no lo ratifique: la cifra sale de la ley, pero ninguna fuente del proyecto la menciona. | Validación: IsBoolean, IsOptional</t>
  </si>
  <si>
    <t xml:space="preserve">Indica si la Dirección de Contratación ratificó la cifra del tope legal de la adición; es falso mientras no se ratifique.</t>
  </si>
  <si>
    <t xml:space="preserve">código: hiring-service/src/entities/modificacion-contrato.entity.ts:247; db/migrations/hiring/049_modificaciones_contractuales.sql:40</t>
  </si>
  <si>
    <t xml:space="preserve">C0834</t>
  </si>
  <si>
    <t xml:space="preserve">Mapeada en hiring-service/src/entities/modificacion-contrato.entity.ts:250 (TopeAdicion.actualizadoAt)</t>
  </si>
  <si>
    <t xml:space="preserve">C0835</t>
  </si>
  <si>
    <t xml:space="preserve">trazabilidad</t>
  </si>
  <si>
    <t xml:space="preserve">entidad</t>
  </si>
  <si>
    <t xml:space="preserve">Mapeada en hiring-service/src/entities/trazabilidad.entity.ts:89 (Trazabilidad.entidad)</t>
  </si>
  <si>
    <t xml:space="preserve">Nombre del tipo de registro afectado por la acción (por ejemplo, la tabla o el objeto del proceso).</t>
  </si>
  <si>
    <t xml:space="preserve">nombre + varchar(80) + vecina entidad_id + tabla de trazabilidad</t>
  </si>
  <si>
    <t xml:space="preserve">¿Guarda el nombre de la tabla o un nombre funcional del objeto?</t>
  </si>
  <si>
    <t xml:space="preserve">C0836</t>
  </si>
  <si>
    <t xml:space="preserve">entidad_id</t>
  </si>
  <si>
    <t xml:space="preserve">Mapeada en hiring-service/src/entities/trazabilidad.entity.ts:92 (Trazabilidad.entidadId)</t>
  </si>
  <si>
    <t xml:space="preserve">Identificador del registro afectado por la acción.</t>
  </si>
  <si>
    <t xml:space="preserve">nombre + uuid + vecina entidad</t>
  </si>
  <si>
    <t xml:space="preserve">C0837</t>
  </si>
  <si>
    <t xml:space="preserve">Mapeada en hiring-service/src/entities/trazabilidad.entity.ts:95 (Trazabilidad.accion) | Validación: IsIn(ACCIONES as unknown as string[], { message: 'La acción es ver, editar, aprobar o decidir' })</t>
  </si>
  <si>
    <t xml:space="preserve">Acción realizada sobre el registro.</t>
  </si>
  <si>
    <t xml:space="preserve">nombre + varchar(60)</t>
  </si>
  <si>
    <t xml:space="preserve">¿Qué valores toma (por ejemplo, CREAR, ENVIAR, APROBAR)?</t>
  </si>
  <si>
    <t xml:space="preserve">C0838</t>
  </si>
  <si>
    <t xml:space="preserve">detalle</t>
  </si>
  <si>
    <t xml:space="preserve">Mapeada en hiring-service/src/entities/trazabilidad.entity.ts:98 (Trazabilidad.detalle)</t>
  </si>
  <si>
    <t xml:space="preserve">Detalle de la acción, en formato JSON.</t>
  </si>
  <si>
    <t xml:space="preserve">nombre + jsonb</t>
  </si>
  <si>
    <t xml:space="preserve">¿Qué estructura tiene (por ejemplo, valores antes y después)?</t>
  </si>
  <si>
    <t xml:space="preserve">C0839</t>
  </si>
  <si>
    <t xml:space="preserve">Mapeada en hiring-service/src/entities/trazabilidad.entity.ts:101 (Trazabilidad.usuarioId) | Validación: IsUUID('4', { message: 'El abogado se identifica con el id de su cuenta' })</t>
  </si>
  <si>
    <t xml:space="preserve">Identificador del usuario que hizo la acción.</t>
  </si>
  <si>
    <t xml:space="preserve">nombre + varchar(120) + vecina usuario_nombre</t>
  </si>
  <si>
    <t xml:space="preserve">C0840</t>
  </si>
  <si>
    <t xml:space="preserve">Mapeada en hiring-service/src/entities/trazabilidad.entity.ts:104 (Trazabilidad.usuarioNombre)</t>
  </si>
  <si>
    <t xml:space="preserve">Nombre del usuario que hizo la acción.</t>
  </si>
  <si>
    <t xml:space="preserve">nombre + varchar(200) + vecina usuario_id</t>
  </si>
  <si>
    <t xml:space="preserve">C0841</t>
  </si>
  <si>
    <t xml:space="preserve">umbrales_comite_contratacion</t>
  </si>
  <si>
    <t xml:space="preserve">db/migrations/hiring/071_comite_de_contratacion.sql:35: Por encima de este valor el proceso pasa por comité; por debajo, no. | Validación: IsNumber({ maxDecimalPlaces: 2 }, { message: 'El salario debe ser un número' }), IsNumber({ maxDecimalPlaces: 2 }, { message: 'El valor debe ser un número' }), IsNumber({}, { message: 'El valor cobrado debe ser un número' }), IsNumber({}, { message: 'El valor comprometido debe ser un número' }), IsNumber({}, { message: 'El valor debe ser un número' }), IsNumber({}, { message: 'El valor del contrato debe ser un número' })</t>
  </si>
  <si>
    <t xml:space="preserve">Cuantía por encima de la cual el proceso pasa por el comité de contratación, expresada en la unidad indicada; por debajo no pasa. Debe ser mayor que cero.</t>
  </si>
  <si>
    <t xml:space="preserve">código: db/migrations/hiring/071_comite_de_contratacion.sql:35</t>
  </si>
  <si>
    <t xml:space="preserve">¿Un valor exactamente igual al umbral pasa por el comité («mayor que» o «mayor o igual que»)?</t>
  </si>
  <si>
    <t xml:space="preserve">C0842</t>
  </si>
  <si>
    <t xml:space="preserve">hiring-service/src/entities/comite-contratacion.entity.ts:49: En SMMLV, como los umbrales de modalidad: el salario cambia cada año por decreto y una cifra en pesos quedaría vieja en enero. | Validación: IsIn(['SMMLV', 'PESOS'], { message: 'La unidad debe ser SMMLV o PESOS' }), IsOptional</t>
  </si>
  <si>
    <t xml:space="preserve">Unidad en que se expresa el valor del umbral: SMMLV o PESOS. Por defecto, SMMLV, para que el umbral siga el salario mínimo de cada año.</t>
  </si>
  <si>
    <t xml:space="preserve">código: hiring-service/src/entities/comite-contratacion.entity.ts:49</t>
  </si>
  <si>
    <t xml:space="preserve">C0843</t>
  </si>
  <si>
    <t xml:space="preserve">hiring-service/src/entities/comite-contratacion.entity.ts:53: De dónde sale la cifra, para poder leerla junto al número al validarla. | db/migrations/hiring/071_comite_de_contratacion.sql:39: De dónde sale la cifra, como en `parametros_mipyme`: importa poder leer el fundamento junto al número cuando alguien venga a validarlo. | Validación: IsOptional, IsString</t>
  </si>
  <si>
    <t xml:space="preserve">Origen de la cifra del umbral, para leerlo junto al valor al validarlo.</t>
  </si>
  <si>
    <t xml:space="preserve">código: hiring-service/src/entities/comite-contratacion.entity.ts:53; db/migrations/hiring/071_comite_de_contratacion.sql:39</t>
  </si>
  <si>
    <t xml:space="preserve">C0844</t>
  </si>
  <si>
    <t xml:space="preserve">hiring-service/src/entities/comite-contratacion.entity.ts:57: False mientras la Dirección de Contratación no confirme la cifra. | Validación: IsBoolean, IsOptional</t>
  </si>
  <si>
    <t xml:space="preserve">Indica si la Dirección de Contratación confirmó la cifra del umbral; es falso mientras no se confirme.</t>
  </si>
  <si>
    <t xml:space="preserve">código: hiring-service/src/entities/comite-contratacion.entity.ts:57</t>
  </si>
  <si>
    <t xml:space="preserve">C0845</t>
  </si>
  <si>
    <t xml:space="preserve">umbrales_modalidad</t>
  </si>
  <si>
    <t xml:space="preserve">limite_inferior</t>
  </si>
  <si>
    <t xml:space="preserve">db/migrations/hiring/009_umbrales_modalidad.sql:72: Intervalo semiabierto [inferior, superior): el límite superior pertenece al tramo siguiente. Así dos umbrales contiguos no se solapan en el valor exacto de la frontera, que es el borde que más se equivoca. NULL en inferior = sin piso; NULL en superior = sin techo. | Validación: IsNumber({ maxDecimalPlaces: 2 }, { message: 'El límite inferior debe ser un número' }), Min(0, { message: 'El límite inferior no puede ser negativo' })</t>
  </si>
  <si>
    <t xml:space="preserve">Límite inferior del rango de cuantía de la modalidad, en la unidad indicada. El intervalo es semiabierto [inferior, superior): el límite inferior está incluido y el superior pertenece al tramo siguiente. Nulo significa sin piso; debe registrarse al menos uno de los dos límites.</t>
  </si>
  <si>
    <t xml:space="preserve">código: db/migrations/hiring/009_umbrales_modalidad.sql:72</t>
  </si>
  <si>
    <t xml:space="preserve">C0846</t>
  </si>
  <si>
    <t xml:space="preserve">limite_superior</t>
  </si>
  <si>
    <t xml:space="preserve">Mapeada en hiring-service/src/entities/umbral-modalidad.entity.ts:45 (UmbralModalidad.limiteSuperior) | Validación: IsNumber({ maxDecimalPlaces: 2 }, { message: 'El límite superior debe ser un número' }), Min(0, { message: 'El límite superior no puede ser negativo' })</t>
  </si>
  <si>
    <t xml:space="preserve">Límite superior del rango de cuantía de la modalidad, en la unidad indicada. Vacío si el rango no tiene tope.</t>
  </si>
  <si>
    <t xml:space="preserve">nombre + numeric + CHECK con limite_inferior</t>
  </si>
  <si>
    <t xml:space="preserve">¿El límite superior es inclusivo o exclusivo?</t>
  </si>
  <si>
    <t xml:space="preserve">C0847</t>
  </si>
  <si>
    <t xml:space="preserve">hiring-service/src/entities/umbral-modalidad.entity.ts:59: SMMLV para lo que la ley define en salarios (Ley 1150 de 2007), PESOS para los topes que la entidad fije en cifra cerrada. | Validación: IsIn(['SMMLV', 'PESOS'], { message: 'La unidad debe ser SMMLV o PESOS' }), IsOptional</t>
  </si>
  <si>
    <t xml:space="preserve">Unidad en que se expresan los límites: SMMLV para lo que la ley define en salarios (Ley 1150 de 2007) o PESOS para topes que la entidad fije en cifra cerrada. Por defecto, SMMLV.</t>
  </si>
  <si>
    <t xml:space="preserve">código: hiring-service/src/entities/umbral-modalidad.entity.ts:59</t>
  </si>
  <si>
    <t xml:space="preserve">C0848</t>
  </si>
  <si>
    <t xml:space="preserve">idx_umbral_vigencia</t>
  </si>
  <si>
    <t xml:space="preserve">db/migrations/hiring/009_umbrales_modalidad.sql:80: Un umbral no se edita: se cierra y se abre otro. Los procesos ya creados deben poder explicarse con las reglas que estaban vigentes ese día. | Validación: IsDateString({}, { message: 'La vigencia debe tener el formato YYYY-MM-DD' }), IsISO8601({ strict: true }, { message: 'La vigencia debe tener formato YYYY-MM-DD' }), IsOptional</t>
  </si>
  <si>
    <t xml:space="preserve">Fecha desde la cual rige el umbral; por defecto, la fecha del registro. Los umbrales no se editan: se cierra el vigente y se abre otro.</t>
  </si>
  <si>
    <t xml:space="preserve">código: db/migrations/hiring/009_umbrales_modalidad.sql:80</t>
  </si>
  <si>
    <t xml:space="preserve">C0849</t>
  </si>
  <si>
    <t xml:space="preserve">hiring-service/src/entities/umbral-modalidad.entity.ts:66: Null mientras el umbral esté vigente. | Validación: IsDateString({}, { message: 'La vigencia debe tener el formato YYYY-MM-DD' })</t>
  </si>
  <si>
    <t xml:space="preserve">Fecha hasta la cual rige el umbral. Nula mientras esté vigente; no puede ser anterior a vigencia_desde.</t>
  </si>
  <si>
    <t xml:space="preserve">código: hiring-service/src/entities/umbral-modalidad.entity.ts:66</t>
  </si>
  <si>
    <t xml:space="preserve">C0850</t>
  </si>
  <si>
    <t xml:space="preserve">hiring-service/src/entities/umbral-modalidad.entity.ts:70: False mientras la Dirección de Contratación no confirme la cifra. | db/migrations/hiring/009_umbrales_modalidad.sql:84: False mientras la Dirección de Contratación no confirme la cifra. | Validación: IsBoolean, IsOptional</t>
  </si>
  <si>
    <t xml:space="preserve">código: hiring-service/src/entities/umbral-modalidad.entity.ts:70; db/migrations/hiring/009_umbrales_modalidad.sql:84</t>
  </si>
  <si>
    <t xml:space="preserve">C0851</t>
  </si>
  <si>
    <t xml:space="preserve">bloque_edificio</t>
  </si>
  <si>
    <t xml:space="preserve">uq_sede_bloque</t>
  </si>
  <si>
    <t xml:space="preserve">Mapeada en infrastructure-management-service/src/sedes/bloque.entity.ts:22 (BloqueEdificio.codigo) | Validación: IsNotEmpty, IsString, MaxLength(50, { message: 'Codigo maximo 50 caracteres.' })</t>
  </si>
  <si>
    <t xml:space="preserve">Código del registro de bloque_edificio.</t>
  </si>
  <si>
    <t xml:space="preserve">C0852</t>
  </si>
  <si>
    <t xml:space="preserve">Mapeada en infrastructure-management-service/src/sedes/bloque.entity.ts:25 (BloqueEdificio.nombre) | Validación: IsNotEmpty, IsString, MaxLength(150), MinLength(2)</t>
  </si>
  <si>
    <t xml:space="preserve">Nombre del registro de bloque_edificio.</t>
  </si>
  <si>
    <t xml:space="preserve">C0853</t>
  </si>
  <si>
    <t xml:space="preserve">pisos</t>
  </si>
  <si>
    <t xml:space="preserve">Mapeada en infrastructure-management-service/src/sedes/bloque.entity.ts:28 (BloqueEdificio.pisos) | Validación: IsInt, IsOptional, Min(1)</t>
  </si>
  <si>
    <t xml:space="preserve">Número de pisos del bloque o edificio. Por defecto, 1.</t>
  </si>
  <si>
    <t xml:space="preserve">nombre + integer con defecto 1</t>
  </si>
  <si>
    <t xml:space="preserve">C0854</t>
  </si>
  <si>
    <t xml:space="preserve">Mapeada en infrastructure-management-service/src/sedes/bloque.entity.ts:31 (BloqueEdificio.descripcion) | Validación: IsNotEmpty, IsOptional, IsString, MinLength(10)</t>
  </si>
  <si>
    <t xml:space="preserve">Descripción del registro de bloque_edificio.</t>
  </si>
  <si>
    <t xml:space="preserve">C0855</t>
  </si>
  <si>
    <t xml:space="preserve">is_activo</t>
  </si>
  <si>
    <t xml:space="preserve">Mapeada en infrastructure-management-service/src/sedes/bloque.entity.ts:34 (BloqueEdificio.isActivo) | Validación: IsBoolean, IsOptional</t>
  </si>
  <si>
    <t xml:space="preserve">C0856</t>
  </si>
  <si>
    <t xml:space="preserve">catalogo_item</t>
  </si>
  <si>
    <t xml:space="preserve">Mapeada en infrastructure-management-service/src/mantenimiento/catalogo-item.entity.ts:16 (CatalogoItem.nombre) | Validación: IsNotEmpty, IsString, MaxLength(150), MinLength(2)</t>
  </si>
  <si>
    <t xml:space="preserve">Nombre del registro de catalogo_item.</t>
  </si>
  <si>
    <t xml:space="preserve">C0857</t>
  </si>
  <si>
    <t xml:space="preserve">Mapeada en infrastructure-management-service/src/mantenimiento/catalogo-item.entity.ts:19 (CatalogoItem.descripcion) | Validación: IsNotEmpty, IsOptional, IsString, MinLength(10)</t>
  </si>
  <si>
    <t xml:space="preserve">Descripción del registro de catalogo_item.</t>
  </si>
  <si>
    <t xml:space="preserve">C0858</t>
  </si>
  <si>
    <t xml:space="preserve">Mapeada en infrastructure-management-service/src/mantenimiento/catalogo-item.entity.ts:22 (CatalogoItem.orden)</t>
  </si>
  <si>
    <t xml:space="preserve">C0859</t>
  </si>
  <si>
    <t xml:space="preserve">idx_catalogo_item_catalogo_activo</t>
  </si>
  <si>
    <t xml:space="preserve">Mapeada en infrastructure-management-service/src/mantenimiento/catalogo-item.entity.ts:25 (CatalogoItem.isActivo) | Validación: IsBoolean, IsOptional</t>
  </si>
  <si>
    <t xml:space="preserve">C0860</t>
  </si>
  <si>
    <t xml:space="preserve">espacio_fisico</t>
  </si>
  <si>
    <t xml:space="preserve">uq_bloque_espacio</t>
  </si>
  <si>
    <t xml:space="preserve">Mapeada en infrastructure-management-service/src/espacios/espacio.entity.ts:20 (EspacioFisico.codigo) | Validación: IsNotEmpty, IsString, MaxLength(50, { message: 'Codigo maximo 50 caracteres.' })</t>
  </si>
  <si>
    <t xml:space="preserve">Código del registro de espacio_fisico.</t>
  </si>
  <si>
    <t xml:space="preserve">C0861</t>
  </si>
  <si>
    <t xml:space="preserve">Mapeada en infrastructure-management-service/src/espacios/espacio.entity.ts:23 (EspacioFisico.nombre) | Validación: IsNotEmpty, IsString, MaxLength(150), MinLength(2)</t>
  </si>
  <si>
    <t xml:space="preserve">Nombre del registro de espacio_fisico.</t>
  </si>
  <si>
    <t xml:space="preserve">C0862</t>
  </si>
  <si>
    <t xml:space="preserve">infrastructure-management-service/src/espacios/espacio.entity.ts:26: AULA, AUDITORIO, LABORATORIO, OFICINA, BIBLIOTECA, SALA_CONSEJO | infrastructure-management-service/db/migrations/001_create_infrastructure_management_schema.sql:46: AULA, AUDITORIO, LABORATORIO, OFICINA, BIBLIOTECA, SALA_CONSEJO | Validación: IsNotEmpty, IsOptional, IsString</t>
  </si>
  <si>
    <t xml:space="preserve">Tipo de espacio físico, por ejemplo AULA, AUDITORIO, LABORATORIO, OFICINA, BIBLIOTECA o SALA_CONSEJO.</t>
  </si>
  <si>
    <t xml:space="preserve">código: infrastructure-management-service/src/espacios/espacio.entity.ts:26</t>
  </si>
  <si>
    <t xml:space="preserve">C0863</t>
  </si>
  <si>
    <t xml:space="preserve">Mapeada en infrastructure-management-service/src/espacios/espacio.entity.ts:29 (EspacioFisico.capacidad) | Validación: IsNumber({}, { message: 'Capacidad debe ser un número entero.' }), IsOptional, Min(1, { message: 'Capacidad minima 1 puesto.' })</t>
  </si>
  <si>
    <t xml:space="preserve">Número de puestos del espacio físico; mínimo 1, por defecto 30.</t>
  </si>
  <si>
    <t xml:space="preserve">nombre + tipo + validaciones</t>
  </si>
  <si>
    <t xml:space="preserve">C0864</t>
  </si>
  <si>
    <t xml:space="preserve">Mapeada en infrastructure-management-service/src/espacios/espacio.entity.ts:32 (EspacioFisico.piso) | Validación: IsNotEmpty, IsNumber({}, { message: 'Piso debe ser un número entero.' }), IsOptional, IsString, MaxLength(20)</t>
  </si>
  <si>
    <t xml:space="preserve">Piso del bloque en que está el espacio. Por defecto, 1.</t>
  </si>
  <si>
    <t xml:space="preserve">nombre + integer + tabla bloque_edificio.pisos</t>
  </si>
  <si>
    <t xml:space="preserve">C0865</t>
  </si>
  <si>
    <t xml:space="preserve">area_m2</t>
  </si>
  <si>
    <t xml:space="preserve">numeric(8,2)</t>
  </si>
  <si>
    <t xml:space="preserve">Mapeada en infrastructure-management-service/src/espacios/espacio.entity.ts:35 (EspacioFisico.areaM2) | Validación: IsNumber({}, { message: 'Area M2 debe ser un número.' }), IsOptional</t>
  </si>
  <si>
    <t xml:space="preserve">Área del espacio en metros cuadrados.</t>
  </si>
  <si>
    <t xml:space="preserve">nombre con sufijo m2 + numeric(8,2)</t>
  </si>
  <si>
    <t xml:space="preserve">C0866</t>
  </si>
  <si>
    <t xml:space="preserve">tiene_aire_acondicionado</t>
  </si>
  <si>
    <t xml:space="preserve">Mapeada en infrastructure-management-service/src/espacios/espacio.entity.ts:38 (EspacioFisico.tieneAireAcondicionado) | Validación: IsBoolean, IsOptional</t>
  </si>
  <si>
    <t xml:space="preserve">Indica si el registro está aire acondicionado.</t>
  </si>
  <si>
    <t xml:space="preserve">C0867</t>
  </si>
  <si>
    <t xml:space="preserve">tiene_videobeam</t>
  </si>
  <si>
    <t xml:space="preserve">Mapeada en infrastructure-management-service/src/espacios/espacio.entity.ts:41 (EspacioFisico.tieneVideobeam) | Validación: IsBoolean, IsOptional</t>
  </si>
  <si>
    <t xml:space="preserve">Indica si aplica: videobeam.</t>
  </si>
  <si>
    <t xml:space="preserve">C0868</t>
  </si>
  <si>
    <t xml:space="preserve">tiene_computadores</t>
  </si>
  <si>
    <t xml:space="preserve">Mapeada en infrastructure-management-service/src/espacios/espacio.entity.ts:44 (EspacioFisico.tieneComputadores) | Validación: IsBoolean, IsOptional</t>
  </si>
  <si>
    <t xml:space="preserve">Indica si aplica: computadores.</t>
  </si>
  <si>
    <t xml:space="preserve">C0869</t>
  </si>
  <si>
    <t xml:space="preserve">infrastructure-management-service/src/espacios/espacio.entity.ts:47: DISPONIBLE, MANTENIMIENTO, INACTIVO, RESERVADO | infrastructure-management-service/db/migrations/001_create_infrastructure_management_schema.sql:53: DISPONIBLE, MANTENIMIENTO, INACTIVO, RESERVADO | Validación: IsNotEmpty, IsOptional, IsString</t>
  </si>
  <si>
    <t xml:space="preserve">Estado del espacio físico: DISPONIBLE, MANTENIMIENTO, INACTIVO o RESERVADO; por defecto DISPONIBLE.</t>
  </si>
  <si>
    <t xml:space="preserve">código: infrastructure-management-service/src/espacios/espacio.entity.ts:47</t>
  </si>
  <si>
    <t xml:space="preserve">C0870</t>
  </si>
  <si>
    <t xml:space="preserve">Mapeada en infrastructure-management-service/src/espacios/espacio.entity.ts:50 (EspacioFisico.isActivo) | Validación: IsBoolean, IsOptional</t>
  </si>
  <si>
    <t xml:space="preserve">C0871</t>
  </si>
  <si>
    <t xml:space="preserve">sede_codigo_key</t>
  </si>
  <si>
    <t xml:space="preserve">Mapeada en infrastructure-management-service/src/sedes/sede.entity.ts:16 (Sede.codigo) | Validación: IsNotEmpty, IsString, MaxLength(50, { message: 'Codigo maximo 50 caracteres.' })</t>
  </si>
  <si>
    <t xml:space="preserve">Código del registro de sede. Único en la tabla.</t>
  </si>
  <si>
    <t xml:space="preserve">C0872</t>
  </si>
  <si>
    <t xml:space="preserve">Mapeada en infrastructure-management-service/src/sedes/sede.entity.ts:19 (Sede.nombre) | Validación: IsNotEmpty, IsString, MaxLength(150), MinLength(2)</t>
  </si>
  <si>
    <t xml:space="preserve">Nombre del registro de sede.</t>
  </si>
  <si>
    <t xml:space="preserve">C0873</t>
  </si>
  <si>
    <t xml:space="preserve">infrastructure-management-service/db/migrations/001_create_infrastructure_management_schema.sql:15: SEDE_CENTRAL, TERRITORIAL, CETAP | Validación: IsNotEmpty, IsOptional, IsString</t>
  </si>
  <si>
    <t xml:space="preserve">Tipo de sede: SEDE_CENTRAL, TERRITORIAL o CETAP.</t>
  </si>
  <si>
    <t xml:space="preserve">código: infrastructure-management-service/db/migrations/001_create_infrastructure_management_schema.sql:15</t>
  </si>
  <si>
    <t xml:space="preserve">C0874</t>
  </si>
  <si>
    <t xml:space="preserve">departamento</t>
  </si>
  <si>
    <t xml:space="preserve">Mapeada en infrastructure-management-service/src/sedes/sede.entity.ts:25 (Sede.departamento) | Validación: IsNotEmpty, IsString</t>
  </si>
  <si>
    <t xml:space="preserve">Departamento donde está la sede.</t>
  </si>
  <si>
    <t xml:space="preserve">nombre + varchar(100) + vecina municipio</t>
  </si>
  <si>
    <t xml:space="preserve">C0875</t>
  </si>
  <si>
    <t xml:space="preserve">municipio</t>
  </si>
  <si>
    <t xml:space="preserve">Mapeada en infrastructure-management-service/src/sedes/sede.entity.ts:28 (Sede.municipio) | Validación: IsNotEmpty, IsString</t>
  </si>
  <si>
    <t xml:space="preserve">Municipio donde está la sede.</t>
  </si>
  <si>
    <t xml:space="preserve">C0876</t>
  </si>
  <si>
    <t xml:space="preserve">direccion</t>
  </si>
  <si>
    <t xml:space="preserve">Mapeada en infrastructure-management-service/src/sedes/sede.entity.ts:31 (Sede.direccion) | Validación: IsNotEmpty, IsString</t>
  </si>
  <si>
    <t xml:space="preserve">Dirección de la sede.</t>
  </si>
  <si>
    <t xml:space="preserve">nombre + varchar(255)</t>
  </si>
  <si>
    <t xml:space="preserve">C0877</t>
  </si>
  <si>
    <t xml:space="preserve">telefono</t>
  </si>
  <si>
    <t xml:space="preserve">Mapeada en infrastructure-management-service/src/sedes/sede.entity.ts:34 (Sede.telefono) | Validación: IsOptional, IsString</t>
  </si>
  <si>
    <t xml:space="preserve">Número de teléfono.</t>
  </si>
  <si>
    <t xml:space="preserve">C0878</t>
  </si>
  <si>
    <t xml:space="preserve">email_contacto</t>
  </si>
  <si>
    <t xml:space="preserve">Mapeada en infrastructure-management-service/src/sedes/sede.entity.ts:37 (Sede.emailContacto) | Validación: IsOptional, IsString</t>
  </si>
  <si>
    <t xml:space="preserve">Correo electrónico de contacto de la sede.</t>
  </si>
  <si>
    <t xml:space="preserve">C0879</t>
  </si>
  <si>
    <t xml:space="preserve">idx_sede_alcance_umi</t>
  </si>
  <si>
    <t xml:space="preserve">Mapeada en infrastructure-management-service/src/sedes/sede.entity.ts:40 (Sede.isActivo) | Validación: IsBoolean, IsOptional</t>
  </si>
  <si>
    <t xml:space="preserve">C0880</t>
  </si>
  <si>
    <t xml:space="preserve">solicitud_evidencia</t>
  </si>
  <si>
    <t xml:space="preserve">nombre_original</t>
  </si>
  <si>
    <t xml:space="preserve">Mapeada en infrastructure-management-service/src/mantenimiento/solicitud-evidencia.entity.ts:30 (SolicitudEvidencia.nombreOriginal)</t>
  </si>
  <si>
    <t xml:space="preserve">Nombre original del archivo subido por el usuario.</t>
  </si>
  <si>
    <t xml:space="preserve">nombre + varchar(255) + descripción de la tabla</t>
  </si>
  <si>
    <t xml:space="preserve">C0881</t>
  </si>
  <si>
    <t xml:space="preserve">nombre_almacenado</t>
  </si>
  <si>
    <t xml:space="preserve">Mapeada en infrastructure-management-service/src/mantenimiento/solicitud-evidencia.entity.ts:33 (SolicitudEvidencia.nombreAlmacenado)</t>
  </si>
  <si>
    <t xml:space="preserve">Nombre con que se guardó el archivo en el almacenamiento de objetos.</t>
  </si>
  <si>
    <t xml:space="preserve">nombre + vecina nombre_original + descripción de la tabla (MinIO)</t>
  </si>
  <si>
    <t xml:space="preserve">C0882</t>
  </si>
  <si>
    <t xml:space="preserve">bucket</t>
  </si>
  <si>
    <t xml:space="preserve">uq_solicitud_evidencia_ruta_objeto</t>
  </si>
  <si>
    <t xml:space="preserve">Mapeada en infrastructure-management-service/src/mantenimiento/solicitud-evidencia.entity.ts:39 (SolicitudEvidencia.bucket) | Validación: IsOptional, IsString</t>
  </si>
  <si>
    <t xml:space="preserve">Bucket de MinIO donde se guarda el archivo. Por defecto, infraestructura-evidencias.</t>
  </si>
  <si>
    <t xml:space="preserve">nombre + defecto + descripción de la tabla (MinIO)</t>
  </si>
  <si>
    <t xml:space="preserve">C0883</t>
  </si>
  <si>
    <t xml:space="preserve">url_publica</t>
  </si>
  <si>
    <t xml:space="preserve">Mapeada en infrastructure-management-service/src/mantenimiento/solicitud-evidencia.entity.ts:42 (SolicitudEvidencia.urlPublica)</t>
  </si>
  <si>
    <t xml:space="preserve">URL pública del archivo.</t>
  </si>
  <si>
    <t xml:space="preserve">nombre + text + vecina url_presigned</t>
  </si>
  <si>
    <t xml:space="preserve">¿El bucket permite acceso público o esta URL solo se usa internamente?</t>
  </si>
  <si>
    <t xml:space="preserve">C0884</t>
  </si>
  <si>
    <t xml:space="preserve">url_presigned</t>
  </si>
  <si>
    <t xml:space="preserve">Mapeada en infrastructure-management-service/src/mantenimiento/solicitud-evidencia.entity.ts:45 (SolicitudEvidencia.urlPresigned)</t>
  </si>
  <si>
    <t xml:space="preserve">URL prefirmada de acceso temporal al archivo; vence en la fecha de vencimiento_presigned.</t>
  </si>
  <si>
    <t xml:space="preserve">nombre + text + vecina vencimiento_presigned</t>
  </si>
  <si>
    <t xml:space="preserve">C0885</t>
  </si>
  <si>
    <t xml:space="preserve">Mapeada en infrastructure-management-service/src/mantenimiento/solicitud-evidencia.entity.ts:51 (SolicitudEvidencia.mimeType)</t>
  </si>
  <si>
    <t xml:space="preserve">C0886</t>
  </si>
  <si>
    <t xml:space="preserve">Mapeada en infrastructure-management-service/src/mantenimiento/solicitud-evidencia.entity.ts:54 (SolicitudEvidencia.tamanoBytes)</t>
  </si>
  <si>
    <t xml:space="preserve">C0887</t>
  </si>
  <si>
    <t xml:space="preserve">usuario_que_subio_id</t>
  </si>
  <si>
    <t xml:space="preserve">Mapeada en infrastructure-management-service/src/mantenimiento/solicitud-evidencia.entity.ts:57 (SolicitudEvidencia.usuarioQueSubioId)</t>
  </si>
  <si>
    <t xml:space="preserve">Identificador del usuario que subió el archivo.</t>
  </si>
  <si>
    <t xml:space="preserve">nombre + uuid + vecina usuario_que_subio_email</t>
  </si>
  <si>
    <t xml:space="preserve">¿Corresponde a auth."user"?</t>
  </si>
  <si>
    <t xml:space="preserve">C0888</t>
  </si>
  <si>
    <t xml:space="preserve">usuario_que_subio_email</t>
  </si>
  <si>
    <t xml:space="preserve">character varying(180)</t>
  </si>
  <si>
    <t xml:space="preserve">Mapeada en infrastructure-management-service/src/mantenimiento/solicitud-evidencia.entity.ts:60 (SolicitudEvidencia.usuarioQueSubioEmail)</t>
  </si>
  <si>
    <t xml:space="preserve">Correo electrónico del usuario que subió el archivo.</t>
  </si>
  <si>
    <t xml:space="preserve">nombre + varchar(180)</t>
  </si>
  <si>
    <t xml:space="preserve">C0889</t>
  </si>
  <si>
    <t xml:space="preserve">idx_solicitud_evidencia_solicitud</t>
  </si>
  <si>
    <t xml:space="preserve">Mapeada en infrastructure-management-service/src/mantenimiento/solicitud-evidencia.entity.ts:63 (SolicitudEvidencia.orden)</t>
  </si>
  <si>
    <t xml:space="preserve">C0890</t>
  </si>
  <si>
    <t xml:space="preserve">notas</t>
  </si>
  <si>
    <t xml:space="preserve">Mapeada en infrastructure-management-service/src/mantenimiento/solicitud-evidencia.entity.ts:66 (SolicitudEvidencia.notas)</t>
  </si>
  <si>
    <t xml:space="preserve">Notas sobre la evidencia.</t>
  </si>
  <si>
    <t xml:space="preserve">C0891</t>
  </si>
  <si>
    <t xml:space="preserve">fecha_subida</t>
  </si>
  <si>
    <t xml:space="preserve">Mapeada en infrastructure-management-service/src/mantenimiento/solicitud-evidencia.entity.ts:69 (SolicitudEvidencia.fechaSubida)</t>
  </si>
  <si>
    <t xml:space="preserve">Fecha de la carga.</t>
  </si>
  <si>
    <t xml:space="preserve">C0892</t>
  </si>
  <si>
    <t xml:space="preserve">solicitud_mantenimiento</t>
  </si>
  <si>
    <t xml:space="preserve">consecutivo</t>
  </si>
  <si>
    <t xml:space="preserve">solicitud_mantenimiento_consecutivo_key</t>
  </si>
  <si>
    <t xml:space="preserve">Mapeada en infrastructure-management-service/src/mantenimiento/mantenimiento.entity.ts:21 (SolicitudMantenimiento.consecutivo)</t>
  </si>
  <si>
    <t xml:space="preserve">Consecutivo único de la solicitud de mantenimiento.</t>
  </si>
  <si>
    <t xml:space="preserve">nombre + varchar(50) + restricción única</t>
  </si>
  <si>
    <t xml:space="preserve">C0893</t>
  </si>
  <si>
    <t xml:space="preserve">tipo_mantenimiento</t>
  </si>
  <si>
    <t xml:space="preserve">infrastructure-management-service/db/migrations/001_create_infrastructure_management_schema.sql:65: PREVENTIVO, CORRECTIVO, LOCATIVO, TECNOLOGICO | Validación: IsNotEmpty, IsString, MaxLength(50)</t>
  </si>
  <si>
    <t xml:space="preserve">Tipo de mantenimiento solicitado: PREVENTIVO, CORRECTIVO, LOCATIVO o TECNOLOGICO.</t>
  </si>
  <si>
    <t xml:space="preserve">código: infrastructure-management-service/db/migrations/001_create_infrastructure_management_schema.sql:65</t>
  </si>
  <si>
    <t xml:space="preserve">C0894</t>
  </si>
  <si>
    <t xml:space="preserve">prioridad</t>
  </si>
  <si>
    <t xml:space="preserve">infrastructure-management-service/db/migrations/001_create_infrastructure_management_schema.sql:66: BAJA, MEDIA, ALTA, URGENTE | Validación: IsOptional, IsString</t>
  </si>
  <si>
    <t xml:space="preserve">Prioridad de la solicitud de mantenimiento: BAJA, MEDIA, ALTA o URGENTE. Por defecto, MEDIA.</t>
  </si>
  <si>
    <t xml:space="preserve">código: infrastructure-management-service/db/migrations/001_create_infrastructure_management_schema.sql:66</t>
  </si>
  <si>
    <t xml:space="preserve">C0895</t>
  </si>
  <si>
    <t xml:space="preserve">Mapeada en infrastructure-management-service/src/mantenimiento/mantenimiento.entity.ts:36 (SolicitudMantenimiento.descripcion) | Validación: IsNotEmpty, IsOptional, IsString, MinLength(10)</t>
  </si>
  <si>
    <t xml:space="preserve">Descripción del registro de solicitud_mantenimiento.</t>
  </si>
  <si>
    <t xml:space="preserve">C0896</t>
  </si>
  <si>
    <t xml:space="preserve">solicitante_email</t>
  </si>
  <si>
    <t xml:space="preserve">Mapeada en infrastructure-management-service/src/mantenimiento/mantenimiento.entity.ts:39 (SolicitudMantenimiento.solicitanteEmail)</t>
  </si>
  <si>
    <t xml:space="preserve">Correo electrónico de quien solicita el mantenimiento.</t>
  </si>
  <si>
    <t xml:space="preserve">nombre + varchar(150)</t>
  </si>
  <si>
    <t xml:space="preserve">C0897</t>
  </si>
  <si>
    <t xml:space="preserve">solicitante_nombre</t>
  </si>
  <si>
    <t xml:space="preserve">Mapeada en infrastructure-management-service/src/mantenimiento/mantenimiento.entity.ts:42 (SolicitudMantenimiento.solicitanteNombre)</t>
  </si>
  <si>
    <t xml:space="preserve">Nombre de quien solicita el mantenimiento.</t>
  </si>
  <si>
    <t xml:space="preserve">C0898</t>
  </si>
  <si>
    <t xml:space="preserve">responsable_asignado</t>
  </si>
  <si>
    <t xml:space="preserve">idx_solicitud_responsable_asignado_estado</t>
  </si>
  <si>
    <t xml:space="preserve">Mapeada en infrastructure-management-service/src/mantenimiento/mantenimiento.entity.ts:45 (SolicitudMantenimiento.responsableAsignado) | Validación: IsOptional, IsString</t>
  </si>
  <si>
    <t xml:space="preserve">Responsable asignado para atender la solicitud.</t>
  </si>
  <si>
    <t xml:space="preserve">nombre + varchar(150) + índice con estado + vecina id_tecnico_asignado</t>
  </si>
  <si>
    <t xml:space="preserve">¿Guarda el nombre o el correo del responsable?</t>
  </si>
  <si>
    <t xml:space="preserve">C0899</t>
  </si>
  <si>
    <t xml:space="preserve">fecha_programada</t>
  </si>
  <si>
    <t xml:space="preserve">Mapeada en infrastructure-management-service/src/mantenimiento/mantenimiento.entity.ts:58 (SolicitudMantenimiento.fechaProgramada)</t>
  </si>
  <si>
    <t xml:space="preserve">Fecha programada.</t>
  </si>
  <si>
    <t xml:space="preserve">C0900</t>
  </si>
  <si>
    <t xml:space="preserve">fecha_ejecucion</t>
  </si>
  <si>
    <t xml:space="preserve">Mapeada en infrastructure-management-service/src/mantenimiento/mantenimiento.entity.ts:61 (SolicitudMantenimiento.fechaEjecucion) | Validación: IsOptional, IsString</t>
  </si>
  <si>
    <t xml:space="preserve">Fecha de ejecución.</t>
  </si>
  <si>
    <t xml:space="preserve">C0901</t>
  </si>
  <si>
    <t xml:space="preserve">Mapeada en infrastructure-management-service/src/mantenimiento/mantenimiento.entity.ts:67 (SolicitudMantenimiento.observaciones) | Validación: IsOptional, IsString</t>
  </si>
  <si>
    <t xml:space="preserve">C0902</t>
  </si>
  <si>
    <t xml:space="preserve">costo_estimado</t>
  </si>
  <si>
    <t xml:space="preserve">numeric(14,2)</t>
  </si>
  <si>
    <t xml:space="preserve">Mapeada en infrastructure-management-service/src/mantenimiento/mantenimiento.entity.ts:70 (SolicitudMantenimiento.costoEstimado)</t>
  </si>
  <si>
    <t xml:space="preserve">Costo estimado de la atención de la solicitud. Por defecto, 0.</t>
  </si>
  <si>
    <t xml:space="preserve">nombre + numeric(14,2) con defecto 0 + vecina total_estimado_insumos_cop</t>
  </si>
  <si>
    <t xml:space="preserve">¿Está en pesos colombianos y en qué se diferencia de total_estimado_insumos_cop?</t>
  </si>
  <si>
    <t xml:space="preserve">C0903</t>
  </si>
  <si>
    <t xml:space="preserve">fecha_inicio_valoracion</t>
  </si>
  <si>
    <t xml:space="preserve">Mapeada en infrastructure-management-service/src/mantenimiento/mantenimiento.entity.ts:133 (SolicitudMantenimiento.fechaInicioValoracion)</t>
  </si>
  <si>
    <t xml:space="preserve">Fecha de inicio valoración.</t>
  </si>
  <si>
    <t xml:space="preserve">C0904</t>
  </si>
  <si>
    <t xml:space="preserve">fecha_fin_valoracion</t>
  </si>
  <si>
    <t xml:space="preserve">Mapeada en infrastructure-management-service/src/mantenimiento/mantenimiento.entity.ts:136 (SolicitudMantenimiento.fechaFinValoracion)</t>
  </si>
  <si>
    <t xml:space="preserve">Fecha de fin valoración.</t>
  </si>
  <si>
    <t xml:space="preserve">C0905</t>
  </si>
  <si>
    <t xml:space="preserve">riesgo_valoracion</t>
  </si>
  <si>
    <t xml:space="preserve">ALTO, BAJO, MEDIO</t>
  </si>
  <si>
    <t xml:space="preserve">Mapeada en infrastructure-management-service/src/mantenimiento/mantenimiento.entity.ts:139 (SolicitudMantenimiento.riesgoValoracion)</t>
  </si>
  <si>
    <t xml:space="preserve">Nivel de riesgo identificado en la valoración técnica. Valores permitidos: ALTO, BAJO, MEDIO.</t>
  </si>
  <si>
    <t xml:space="preserve">valores permitidos del CHECK + vecinas *_valoracion</t>
  </si>
  <si>
    <t xml:space="preserve">C0906</t>
  </si>
  <si>
    <t xml:space="preserve">requiere_apagado_electrico</t>
  </si>
  <si>
    <t xml:space="preserve">Mapeada en infrastructure-management-service/src/mantenimiento/mantenimiento.entity.ts:142 (SolicitudMantenimiento.requiereApagadoElectrico) | Validación: IsOptional</t>
  </si>
  <si>
    <t xml:space="preserve">Indica si requiere apagado eléctrico.</t>
  </si>
  <si>
    <t xml:space="preserve">C0907</t>
  </si>
  <si>
    <t xml:space="preserve">total_estimado_insumos_cop</t>
  </si>
  <si>
    <t xml:space="preserve">numeric(15,2)</t>
  </si>
  <si>
    <t xml:space="preserve">Mapeada en infrastructure-management-service/src/mantenimiento/mantenimiento.entity.ts:149 (SolicitudMantenimiento.totalEstimadoInsumosCop)</t>
  </si>
  <si>
    <t xml:space="preserve">Valor total estimado de los insumos, en pesos colombianos. Por defecto, 0.</t>
  </si>
  <si>
    <t xml:space="preserve">nombre con sufijo cop + numeric(15,2)</t>
  </si>
  <si>
    <t xml:space="preserve">¿Se calcula a partir de un detalle de insumos o se digita?</t>
  </si>
  <si>
    <t xml:space="preserve">C0908</t>
  </si>
  <si>
    <t xml:space="preserve">espera_insumos_flag</t>
  </si>
  <si>
    <t xml:space="preserve">Mapeada en infrastructure-management-service/src/mantenimiento/mantenimiento.entity.ts:158 (SolicitudMantenimiento.esperaInsumosFlag)</t>
  </si>
  <si>
    <t xml:space="preserve">Indica si aplica: espera insumos flag.</t>
  </si>
  <si>
    <t xml:space="preserve">C0909</t>
  </si>
  <si>
    <t xml:space="preserve">fecha_limite_original_antes_extension</t>
  </si>
  <si>
    <t xml:space="preserve">Mapeada en infrastructure-management-service/src/mantenimiento/mantenimiento.entity.ts:161 (SolicitudMantenimiento.fechaLimiteOriginalAntesExtension)</t>
  </si>
  <si>
    <t xml:space="preserve">Fecha límite original antes extensión.</t>
  </si>
  <si>
    <t xml:space="preserve">C0910</t>
  </si>
  <si>
    <t xml:space="preserve">dias_extendidos_por_insumos</t>
  </si>
  <si>
    <t xml:space="preserve">Mapeada en infrastructure-management-service/src/mantenimiento/mantenimiento.entity.ts:168 (SolicitudMantenimiento.diasExtendidosPorInsumos)</t>
  </si>
  <si>
    <t xml:space="preserve">Días en que se extendió el plazo de atención por espera de insumos. Por defecto, 0.</t>
  </si>
  <si>
    <t xml:space="preserve">nombre + smallint + vecinas espera_insumos_flag y fecha_limite_original_antes_extension</t>
  </si>
  <si>
    <t xml:space="preserve">C0911</t>
  </si>
  <si>
    <t xml:space="preserve">usuario_cierre_tecnico_id</t>
  </si>
  <si>
    <t xml:space="preserve">Mapeada en infrastructure-management-service/src/mantenimiento/mantenimiento.entity.ts:179 (SolicitudMantenimiento.usuarioCierreTecnicoId)</t>
  </si>
  <si>
    <t xml:space="preserve">Identificador del usuario que hizo el cierre técnico de la solicitud.</t>
  </si>
  <si>
    <t xml:space="preserve">nombre + uuid + vecina fecha_cierre_tecnico</t>
  </si>
  <si>
    <t xml:space="preserve">C0912</t>
  </si>
  <si>
    <t xml:space="preserve">responsable_cierre_display</t>
  </si>
  <si>
    <t xml:space="preserve">Mapeada en infrastructure-management-service/src/mantenimiento/mantenimiento.entity.ts:182 (SolicitudMantenimiento.responsableCierreDisplay)</t>
  </si>
  <si>
    <t xml:space="preserve">Nombre del responsable del cierre técnico, tal como se muestra en pantalla.</t>
  </si>
  <si>
    <t xml:space="preserve">nombre con sufijo display + text</t>
  </si>
  <si>
    <t xml:space="preserve">¿Se copia del usuario al cerrar o se digita?</t>
  </si>
  <si>
    <t xml:space="preserve">C0913</t>
  </si>
  <si>
    <t xml:space="preserve">observaciones_cierre</t>
  </si>
  <si>
    <t xml:space="preserve">Mapeada en infrastructure-management-service/src/mantenimiento/mantenimiento.entity.ts:209 (SolicitudMantenimiento.observacionesCierre)</t>
  </si>
  <si>
    <t xml:space="preserve">Observaciones registradas en el cierre de la solicitud.</t>
  </si>
  <si>
    <t xml:space="preserve">C0914</t>
  </si>
  <si>
    <t xml:space="preserve">solicitud_valoracion</t>
  </si>
  <si>
    <t xml:space="preserve">id_tecnico_valorador</t>
  </si>
  <si>
    <t xml:space="preserve">idx_solicitud_valoracion_tecnico</t>
  </si>
  <si>
    <t xml:space="preserve">Mapeada en infrastructure-management-service/src/mantenimiento/solicitud-valoracion.entity.ts:30 (SolicitudValoracion.idTecnicoValorador)</t>
  </si>
  <si>
    <t xml:space="preserve">Identificador del técnico que hizo la visita de valoración.</t>
  </si>
  <si>
    <t xml:space="preserve">nombre + uuid + índice + vecinas tecnico_*</t>
  </si>
  <si>
    <t xml:space="preserve">¿A qué tabla corresponde el identificador (auth."user", técnicos u otra)?</t>
  </si>
  <si>
    <t xml:space="preserve">C0915</t>
  </si>
  <si>
    <t xml:space="preserve">tecnico_codigo</t>
  </si>
  <si>
    <t xml:space="preserve">Mapeada en infrastructure-management-service/src/mantenimiento/solicitud-valoracion.entity.ts:33 (SolicitudValoracion.tecnicoCodigo)</t>
  </si>
  <si>
    <t xml:space="preserve">Código del técnico que hizo la valoración.</t>
  </si>
  <si>
    <t xml:space="preserve">nombre + varchar(20)</t>
  </si>
  <si>
    <t xml:space="preserve">¿Qué código es (código interno del técnico, documento u otro)?</t>
  </si>
  <si>
    <t xml:space="preserve">C0916</t>
  </si>
  <si>
    <t xml:space="preserve">tecnico_nombre</t>
  </si>
  <si>
    <t xml:space="preserve">Mapeada en infrastructure-management-service/src/mantenimiento/solicitud-valoracion.entity.ts:36 (SolicitudValoracion.tecnicoNombre)</t>
  </si>
  <si>
    <t xml:space="preserve">Nombre del técnico que hizo la valoración.</t>
  </si>
  <si>
    <t xml:space="preserve">C0917</t>
  </si>
  <si>
    <t xml:space="preserve">estado_al_finalizar</t>
  </si>
  <si>
    <t xml:space="preserve">EN_ESPERA_DE_INSUMOS, EN_PROGRESO</t>
  </si>
  <si>
    <t xml:space="preserve">Mapeada en infrastructure-management-service/src/mantenimiento/solicitud-valoracion.entity.ts:39 (SolicitudValoracion.estadoAlFinalizar)</t>
  </si>
  <si>
    <t xml:space="preserve">Estado en que queda la solicitud al terminar la valoración. Valores permitidos: EN_ESPERA_DE_INSUMOS, EN_PROGRESO.</t>
  </si>
  <si>
    <t xml:space="preserve">C0918</t>
  </si>
  <si>
    <t xml:space="preserve">diagnostico</t>
  </si>
  <si>
    <t xml:space="preserve">Mapeada en infrastructure-management-service/src/mantenimiento/solicitud-valoracion.entity.ts:42 (SolicitudValoracion.diagnostico) | Validación: IsNotEmpty, IsString, MinLength(10)</t>
  </si>
  <si>
    <t xml:space="preserve">Diagnóstico técnico de la visita de valoración. Mínimo 10 caracteres.</t>
  </si>
  <si>
    <t xml:space="preserve">nombre + CHECK char_length &gt;= 10</t>
  </si>
  <si>
    <t xml:space="preserve">C0919</t>
  </si>
  <si>
    <t xml:space="preserve">alcance_identificado</t>
  </si>
  <si>
    <t xml:space="preserve">Mapeada en infrastructure-management-service/src/mantenimiento/solicitud-valoracion.entity.ts:45 (SolicitudValoracion.alcanceIdentificado) | Validación: IsNotEmpty, IsString, MinLength(10)</t>
  </si>
  <si>
    <t xml:space="preserve">Alcance del trabajo identificado en la valoración. Mínimo 10 caracteres.</t>
  </si>
  <si>
    <t xml:space="preserve">C0920</t>
  </si>
  <si>
    <t xml:space="preserve">tiempo_estimado_horas</t>
  </si>
  <si>
    <t xml:space="preserve">Mapeada en infrastructure-management-service/src/mantenimiento/solicitud-valoracion.entity.ts:48 (SolicitudValoracion.tiempoEstimadoHoras) | Validación: IsNumber</t>
  </si>
  <si>
    <t xml:space="preserve">Tiempo estimado del trabajo, en horas. Entre 0,25 y 240.</t>
  </si>
  <si>
    <t xml:space="preserve">nombre con sufijo horas + CHECK 0.25–240</t>
  </si>
  <si>
    <t xml:space="preserve">C0921</t>
  </si>
  <si>
    <t xml:space="preserve">nivel_riesgo</t>
  </si>
  <si>
    <t xml:space="preserve">Mapeada en infrastructure-management-service/src/mantenimiento/solicitud-valoracion.entity.ts:56 (SolicitudValoracion.nivelRiesgo) | Validación: IsIn(['BAJO', 'MEDIO', 'ALTO']), IsString</t>
  </si>
  <si>
    <t xml:space="preserve">Nivel de riesgo identificado en la valoración. Valores permitidos: ALTO, BAJO, MEDIO.</t>
  </si>
  <si>
    <t xml:space="preserve">C0922</t>
  </si>
  <si>
    <t xml:space="preserve">Mapeada en infrastructure-management-service/src/mantenimiento/solicitud-valoracion.entity.ts:59 (SolicitudValoracion.requiereApagadoElectrico) | Validación: IsOptional</t>
  </si>
  <si>
    <t xml:space="preserve">C0923</t>
  </si>
  <si>
    <t xml:space="preserve">Mapeada en infrastructure-management-service/src/mantenimiento/solicitud-valoracion.entity.ts:66 (SolicitudValoracion.observaciones) | Validación: IsOptional, IsString</t>
  </si>
  <si>
    <t xml:space="preserve">C0924</t>
  </si>
  <si>
    <t xml:space="preserve">Mapeada en infrastructure-management-service/src/mantenimiento/solicitud-valoracion.entity.ts:72 (SolicitudValoracion.fechaInicioValoracion)</t>
  </si>
  <si>
    <t xml:space="preserve">C0925</t>
  </si>
  <si>
    <t xml:space="preserve">Mapeada en infrastructure-management-service/src/mantenimiento/solicitud-valoracion.entity.ts:75 (SolicitudValoracion.fechaFinValoracion)</t>
  </si>
  <si>
    <t xml:space="preserve">C0926</t>
  </si>
  <si>
    <t xml:space="preserve">es_version_corregida_por_encargado</t>
  </si>
  <si>
    <t xml:space="preserve">Mapeada en infrastructure-management-service/src/mantenimiento/solicitud-valoracion.entity.ts:78 (SolicitudValoracion.esVersionCorregidaPorEncargado)</t>
  </si>
  <si>
    <t xml:space="preserve">Indica si el registro está versión corregida por encargado.</t>
  </si>
  <si>
    <t xml:space="preserve">C0927</t>
  </si>
  <si>
    <t xml:space="preserve">id_usuario_corrector</t>
  </si>
  <si>
    <t xml:space="preserve">Mapeada en infrastructure-management-service/src/mantenimiento/solicitud-valoracion.entity.ts:85 (SolicitudValoracion.idUsuarioCorrector)</t>
  </si>
  <si>
    <t xml:space="preserve">Identificador del usuario que corrigió la valoración.</t>
  </si>
  <si>
    <t xml:space="preserve">nombre + uuid + vecina es_version_corregida_por_encargado</t>
  </si>
  <si>
    <t xml:space="preserve">¿Corresponde al encargado que corrige la valoración del técnico y a qué tabla apunta?</t>
  </si>
  <si>
    <t xml:space="preserve">C0928</t>
  </si>
  <si>
    <t xml:space="preserve">solicitud_valoracion_insumo</t>
  </si>
  <si>
    <t xml:space="preserve">codigo_insumo</t>
  </si>
  <si>
    <t xml:space="preserve">Mapeada en infrastructure-management-service/src/mantenimiento/solicitud-valoracion-insumo.entity.ts:27 (SolicitudValoracionInsumo.codigoInsumo) | Validación: IsOptional, IsString</t>
  </si>
  <si>
    <t xml:space="preserve">Código del material o repuesto en el catálogo de insumos.</t>
  </si>
  <si>
    <t xml:space="preserve">nombre + columna vecina nombre + descripción de la tabla</t>
  </si>
  <si>
    <t xml:space="preserve">¿El código proviene de un catálogo o sistema de inventario? ¿Cuál?</t>
  </si>
  <si>
    <t xml:space="preserve">C0929</t>
  </si>
  <si>
    <t xml:space="preserve">Mapeada en infrastructure-management-service/src/mantenimiento/solicitud-valoracion-insumo.entity.ts:30 (SolicitudValoracionInsumo.nombre) | Validación: IsNotEmpty, IsString, MaxLength(150), MinLength(2)</t>
  </si>
  <si>
    <t xml:space="preserve">Nombre del registro de solicitud_valoracion_insumo.</t>
  </si>
  <si>
    <t xml:space="preserve">C0930</t>
  </si>
  <si>
    <t xml:space="preserve">cantidad</t>
  </si>
  <si>
    <t xml:space="preserve">numeric(12,3)</t>
  </si>
  <si>
    <t xml:space="preserve">Mapeada en infrastructure-management-service/src/mantenimiento/solicitud-valoracion-insumo.entity.ts:33 (SolicitudValoracionInsumo.cantidad) | Validación: IsNotEmpty, IsNumber</t>
  </si>
  <si>
    <t xml:space="preserve">Cantidad requerida del insumo, expresada en la unidad de medida de la fila. Debe ser mayor que cero.</t>
  </si>
  <si>
    <t xml:space="preserve">nombre + tipo numeric(12,3) + CHECK cantidad &gt; 0 + columna unidad_medida</t>
  </si>
  <si>
    <t xml:space="preserve">C0931</t>
  </si>
  <si>
    <t xml:space="preserve">unidad_medida</t>
  </si>
  <si>
    <t xml:space="preserve">character varying(4)</t>
  </si>
  <si>
    <t xml:space="preserve">L, cj, glb, kg, m, m2, otro, paq, rol, un</t>
  </si>
  <si>
    <t xml:space="preserve">Mapeada en infrastructure-management-service/src/mantenimiento/solicitud-valoracion-insumo.entity.ts:36 (SolicitudValoracionInsumo.unidadMedida) | Validación: IsIn(['un', 'm', 'm2', 'kg', 'L', 'cj', 'paq', 'rol', 'glb', 'otro']), IsString</t>
  </si>
  <si>
    <t xml:space="preserve">Unidad de medida del insumo. Valores permitidos: L, cj, glb, kg, m, m2, otro, paq, rol, un.</t>
  </si>
  <si>
    <t xml:space="preserve">valores permitidos</t>
  </si>
  <si>
    <t xml:space="preserve">C0932</t>
  </si>
  <si>
    <t xml:space="preserve">costo_unitario_cop</t>
  </si>
  <si>
    <t xml:space="preserve">Mapeada en infrastructure-management-service/src/mantenimiento/solicitud-valoracion-insumo.entity.ts:39 (SolicitudValoracionInsumo.costoUnitarioCop) | Validación: IsNumber, IsOptional</t>
  </si>
  <si>
    <t xml:space="preserve">Costo por unidad del insumo, en pesos colombianos. No puede ser negativo.</t>
  </si>
  <si>
    <t xml:space="preserve">sufijo _cop + tipo numeric + CHECK &gt;= 0</t>
  </si>
  <si>
    <t xml:space="preserve">C0933</t>
  </si>
  <si>
    <t xml:space="preserve">subtotal_cop</t>
  </si>
  <si>
    <t xml:space="preserve">Subtotal del insumo en pesos colombianos: cantidad por costo unitario.</t>
  </si>
  <si>
    <t xml:space="preserve">defecto cantidad * costo_unitario_cop + sufijo _cop</t>
  </si>
  <si>
    <t xml:space="preserve">C0934</t>
  </si>
  <si>
    <t xml:space="preserve">disponibilidad</t>
  </si>
  <si>
    <t xml:space="preserve">DISPONIBLE_EN_BODEGA, NO_DISPONIBLE_A_SOLICITAR</t>
  </si>
  <si>
    <t xml:space="preserve">Mapeada en infrastructure-management-service/src/mantenimiento/solicitud-valoracion-insumo.entity.ts:48 (SolicitudValoracionInsumo.disponibilidad) | Validación: IsIn(['DISPONIBLE_EN_BODEGA', 'NO_DISPONIBLE_A_SOLICITAR']), IsString</t>
  </si>
  <si>
    <t xml:space="preserve">Disponibilidad del insumo para la visita. Valores permitidos: DISPONIBLE_EN_BODEGA, NO_DISPONIBLE_A_SOLICITAR.</t>
  </si>
  <si>
    <t xml:space="preserve">valores permitidos + descripción de la tabla</t>
  </si>
  <si>
    <t xml:space="preserve">C0935</t>
  </si>
  <si>
    <t xml:space="preserve">tiempo_adquisicion_dias</t>
  </si>
  <si>
    <t xml:space="preserve">Mapeada en infrastructure-management-service/src/mantenimiento/solicitud-valoracion-insumo.entity.ts:51 (SolicitudValoracionInsumo.tiempoAdquisicionDias) | Validación: IsNumber, IsOptional</t>
  </si>
  <si>
    <t xml:space="preserve">Tiempo estimado para adquirir el insumo, en días. Es obligatorio cuando la disponibilidad es NO_DISPONIBLE_A_SOLICITAR.</t>
  </si>
  <si>
    <t xml:space="preserve">nombre + tipo smallint + restricción chk_tiempo_adquisicion_si_no_disponible de la descripción de la tabla (los valores permitidos listados son los de disponibilidad)</t>
  </si>
  <si>
    <t xml:space="preserve">C0936</t>
  </si>
  <si>
    <t xml:space="preserve">orden_item</t>
  </si>
  <si>
    <t xml:space="preserve">Mapeada en infrastructure-management-service/src/mantenimiento/solicitud-valoracion-insumo.entity.ts:58 (SolicitudValoracionInsumo.ordenItem)</t>
  </si>
  <si>
    <t xml:space="preserve">Posición del insumo en el listado de la valoración.</t>
  </si>
  <si>
    <t xml:space="preserve">nombre + tipo smallint + defecto 1</t>
  </si>
  <si>
    <t xml:space="preserve">C0937</t>
  </si>
  <si>
    <t xml:space="preserve">analistas_viaticos</t>
  </si>
  <si>
    <t xml:space="preserve">Mapeada en travel-expenses-service/src/entities/analista.entity.ts:45 (AnalistaEntity.email) | Validación: IsEmail, IsString, Length(1, 150)</t>
  </si>
  <si>
    <t xml:space="preserve">C0938</t>
  </si>
  <si>
    <t xml:space="preserve">Mapeada en travel-expenses-service/src/entities/analista.entity.ts:48 (AnalistaEntity.telefono)</t>
  </si>
  <si>
    <t xml:space="preserve">C0939</t>
  </si>
  <si>
    <t xml:space="preserve">Mapeada en travel-expenses-service/src/entities/analista.entity.ts:51 (AnalistaEntity.cargo) | Validación: IsOptional, IsString</t>
  </si>
  <si>
    <t xml:space="preserve">Cargo del analista del Grupo de Viáticos.</t>
  </si>
  <si>
    <t xml:space="preserve">¿Es texto libre o viene del catálogo de cargos de talento humano?</t>
  </si>
  <si>
    <t xml:space="preserve">C0940</t>
  </si>
  <si>
    <t xml:space="preserve">comisionados</t>
  </si>
  <si>
    <t xml:space="preserve">numero_documento</t>
  </si>
  <si>
    <t xml:space="preserve">comisionados_numero_documento_key, idx_comisionados_numero_documento</t>
  </si>
  <si>
    <t xml:space="preserve">Mapeada en travel-expenses-service/src/entities/comisionado.entity.ts:16 (ComisionadoEntity.numeroDocumento) | Validación: IsString, Length(1, 20)</t>
  </si>
  <si>
    <t xml:space="preserve">Número del documento de identidad del comisionado. Es único.</t>
  </si>
  <si>
    <t xml:space="preserve">nombre + índice único</t>
  </si>
  <si>
    <t xml:space="preserve">C0941</t>
  </si>
  <si>
    <t xml:space="preserve">primer_nombre</t>
  </si>
  <si>
    <t xml:space="preserve">Mapeada en travel-expenses-service/src/entities/comisionado.entity.ts:25 (ComisionadoEntity.primerNombre) | Validación: IsString, Length(1, 100)</t>
  </si>
  <si>
    <t xml:space="preserve">Primer nombre del comisionado.</t>
  </si>
  <si>
    <t xml:space="preserve">C0942</t>
  </si>
  <si>
    <t xml:space="preserve">segundo_nombre</t>
  </si>
  <si>
    <t xml:space="preserve">Mapeada en travel-expenses-service/src/entities/comisionado.entity.ts:28 (ComisionadoEntity.segundoNombre) | Validación: IsOptional, IsString, Length(1, 100)</t>
  </si>
  <si>
    <t xml:space="preserve">Segundo nombre del comisionado.</t>
  </si>
  <si>
    <t xml:space="preserve">C0943</t>
  </si>
  <si>
    <t xml:space="preserve">primer_apellido</t>
  </si>
  <si>
    <t xml:space="preserve">Mapeada en travel-expenses-service/src/entities/comisionado.entity.ts:36 (ComisionadoEntity.primerApellido) | Validación: IsString, Length(1, 100)</t>
  </si>
  <si>
    <t xml:space="preserve">Primer apellido del comisionado.</t>
  </si>
  <si>
    <t xml:space="preserve">C0944</t>
  </si>
  <si>
    <t xml:space="preserve">segundo_apellido</t>
  </si>
  <si>
    <t xml:space="preserve">Mapeada en travel-expenses-service/src/entities/comisionado.entity.ts:39 (ComisionadoEntity.segundoApellido) | Validación: IsOptional, IsString, Length(1, 100)</t>
  </si>
  <si>
    <t xml:space="preserve">Segundo apellido del comisionado.</t>
  </si>
  <si>
    <t xml:space="preserve">C0945</t>
  </si>
  <si>
    <t xml:space="preserve">Mapeada en travel-expenses-service/src/entities/comisionado.entity.ts:47 (ComisionadoEntity.email) | Validación: IsEmail, IsString, Length(1, 150)</t>
  </si>
  <si>
    <t xml:space="preserve">C0946</t>
  </si>
  <si>
    <t xml:space="preserve">telefono_contacto</t>
  </si>
  <si>
    <t xml:space="preserve">Mapeada en travel-expenses-service/src/entities/comisionado.entity.ts:50 (ComisionadoEntity.telefonoContacto) | Validación: IsString, Length(1, 150)</t>
  </si>
  <si>
    <t xml:space="preserve">Teléfono de contacto del comisionado.</t>
  </si>
  <si>
    <t xml:space="preserve">nombre + longitud 150</t>
  </si>
  <si>
    <t xml:space="preserve">¿Puede contener varios números en el mismo campo? ¿Con qué separador?</t>
  </si>
  <si>
    <t xml:space="preserve">C0947</t>
  </si>
  <si>
    <t xml:space="preserve">tipo_comisionado</t>
  </si>
  <si>
    <t xml:space="preserve">CONTRATISTA, DOCENTE, ESTUDIANTE, FUNCIONARIO, INVESTIGADOR</t>
  </si>
  <si>
    <t xml:space="preserve">Mapeada en travel-expenses-service/src/entities/comisionado.entity.ts:53 (ComisionadoEntity.tipoComisionado) | Validación: IsEnum(TipoComisionadoLiquidacion), IsIn(['FUNCIONARIO', 'CONTRATISTA', 'DOCENTE', 'ESTUDIANTE', 'INVESTIGADOR']), IsString, Length(1, 50)</t>
  </si>
  <si>
    <t xml:space="preserve">Tipo de vinculación del comisionado con la ESAP. Valores permitidos: CONTRATISTA, DOCENTE, ESTUDIANTE, FUNCIONARIO, INVESTIGADOR.</t>
  </si>
  <si>
    <t xml:space="preserve">C0948</t>
  </si>
  <si>
    <t xml:space="preserve">origen_datos</t>
  </si>
  <si>
    <t xml:space="preserve">ESAP, HUMANO, SECOP</t>
  </si>
  <si>
    <t xml:space="preserve">Mapeada en travel-expenses-service/src/entities/comisionado.entity.ts:63 (ComisionadoEntity.origenDatos) | Validación: IsIn(['HUMANO', 'SECOP', 'ESAP']), IsString</t>
  </si>
  <si>
    <t xml:space="preserve">Fuente de la que se obtuvieron los datos del comisionado. Valores permitidos: ESAP, HUMANO, SECOP.</t>
  </si>
  <si>
    <t xml:space="preserve">valores permitidos + nombre</t>
  </si>
  <si>
    <t xml:space="preserve">¿HUMANO corresponde al sistema de talento humano o a registro manual?</t>
  </si>
  <si>
    <t xml:space="preserve">C0949</t>
  </si>
  <si>
    <t xml:space="preserve">autorizacion_habeas_data</t>
  </si>
  <si>
    <t xml:space="preserve">Mapeada en travel-expenses-service/src/entities/comisionado.entity.ts:66 (ComisionadoEntity.autorizacionHabeasData) | Validación: IsBoolean, IsOptional</t>
  </si>
  <si>
    <t xml:space="preserve">Indica si aplica: autorización habeas data.</t>
  </si>
  <si>
    <t xml:space="preserve">C0950</t>
  </si>
  <si>
    <t xml:space="preserve">fecha_autorizacion_habeas_data</t>
  </si>
  <si>
    <t xml:space="preserve">Mapeada en travel-expenses-service/src/entities/comisionado.entity.ts:69 (ComisionadoEntity.fechaAutorizacionHabeasData)</t>
  </si>
  <si>
    <t xml:space="preserve">Fecha de autorización habeas data.</t>
  </si>
  <si>
    <t xml:space="preserve">C0951</t>
  </si>
  <si>
    <t xml:space="preserve">ip_registro_habeas_data</t>
  </si>
  <si>
    <t xml:space="preserve">character varying(45)</t>
  </si>
  <si>
    <t xml:space="preserve">Mapeada en travel-expenses-service/src/entities/comisionado.entity.ts:76 (ComisionadoEntity.ipRegistroHabeasData) | Validación: IsOptional, IsString</t>
  </si>
  <si>
    <t xml:space="preserve">Dirección IP desde la que se registró la autorización de tratamiento de datos personales (habeas data). Admite IPv4 e IPv6.</t>
  </si>
  <si>
    <t xml:space="preserve">nombre + longitud 45 + columnas vecinas autorizacion_habeas_data, fecha_autorizacion_habeas_data</t>
  </si>
  <si>
    <t xml:space="preserve">C0952</t>
  </si>
  <si>
    <t xml:space="preserve">config_campos_formulario</t>
  </si>
  <si>
    <t xml:space="preserve">clave</t>
  </si>
  <si>
    <t xml:space="preserve">config_campos_formulario_clave_key, idx_config_campos_clave</t>
  </si>
  <si>
    <t xml:space="preserve">Mapeada en travel-expenses-service/src/entities/config/campo-formulario.entity.ts:35 (CampoFormularioEntity.clave) | Validación: IsString, Length(1, 100)</t>
  </si>
  <si>
    <t xml:space="preserve">Identificador único del campo del formulario.</t>
  </si>
  <si>
    <t xml:space="preserve">nombre + índice único + tabla de configuración de campos</t>
  </si>
  <si>
    <t xml:space="preserve">C0953</t>
  </si>
  <si>
    <t xml:space="preserve">Mapeada en travel-expenses-service/src/entities/config/campo-formulario.entity.ts:38 (CampoFormularioEntity.etiqueta) | Validación: IsOptional, IsString, Length(1, 200)</t>
  </si>
  <si>
    <t xml:space="preserve">Texto que se muestra como rótulo del campo en el formulario.</t>
  </si>
  <si>
    <t xml:space="preserve">nombre + tabla de configuración de formulario</t>
  </si>
  <si>
    <t xml:space="preserve">C0954</t>
  </si>
  <si>
    <t xml:space="preserve">tipo_campo</t>
  </si>
  <si>
    <t xml:space="preserve">Mapeada en travel-expenses-service/src/entities/config/campo-formulario.entity.ts:41 (CampoFormularioEntity.tipoCampo)</t>
  </si>
  <si>
    <t xml:space="preserve">Tipo de control del campo en el formulario (por ejemplo, texto, fecha o lista).</t>
  </si>
  <si>
    <t xml:space="preserve">¿Qué valores admite (text, date, select…)?</t>
  </si>
  <si>
    <t xml:space="preserve">C0955</t>
  </si>
  <si>
    <t xml:space="preserve">placeholder</t>
  </si>
  <si>
    <t xml:space="preserve">Mapeada en travel-expenses-service/src/entities/config/campo-formulario.entity.ts:44 (CampoFormularioEntity.placeholder) | Validación: IsOptional, IsString, Length(0, 200)</t>
  </si>
  <si>
    <t xml:space="preserve">Texto de ayuda que se muestra dentro del campo vacío.</t>
  </si>
  <si>
    <t xml:space="preserve">C0956</t>
  </si>
  <si>
    <t xml:space="preserve">Mapeada en travel-expenses-service/src/entities/config/campo-formulario.entity.ts:47 (CampoFormularioEntity.opciones)</t>
  </si>
  <si>
    <t xml:space="preserve">Opciones disponibles para campos de selección, en formato JSON.</t>
  </si>
  <si>
    <t xml:space="preserve">¿Cuál es la estructura del JSON (lista de valores, pares valor-etiqueta)?</t>
  </si>
  <si>
    <t xml:space="preserve">C0957</t>
  </si>
  <si>
    <t xml:space="preserve">idx_config_campos_grupo_orden</t>
  </si>
  <si>
    <t xml:space="preserve">Mapeada en travel-expenses-service/src/entities/config/campo-formulario.entity.ts:50 (CampoFormularioEntity.grupo)</t>
  </si>
  <si>
    <t xml:space="preserve">Grupo o sección del formulario a la que pertenece el campo.</t>
  </si>
  <si>
    <t xml:space="preserve">nombre + índice con orden</t>
  </si>
  <si>
    <t xml:space="preserve">¿Qué grupos existen y cómo se muestran?</t>
  </si>
  <si>
    <t xml:space="preserve">C0958</t>
  </si>
  <si>
    <t xml:space="preserve">Mapeada en travel-expenses-service/src/entities/config/campo-formulario.entity.ts:53 (CampoFormularioEntity.orden) | Validación: IsInt, IsOptional, Max(1000), Min(0)</t>
  </si>
  <si>
    <t xml:space="preserve">C0959</t>
  </si>
  <si>
    <t xml:space="preserve">Mapeada en travel-expenses-service/src/entities/config/campo-formulario.entity.ts:56 (CampoFormularioEntity.activo) | Validación: IsBoolean, IsOptional</t>
  </si>
  <si>
    <t xml:space="preserve">C0960</t>
  </si>
  <si>
    <t xml:space="preserve">config_jornada_laboral</t>
  </si>
  <si>
    <t xml:space="preserve">config_jornada_laboral_codigo_key, idx_config_jornada_laboral_codigo</t>
  </si>
  <si>
    <t xml:space="preserve">Mapeada en travel-expenses-service/src/entities/config/config-jornada-laboral.entity.ts:17 (ConfigJornadaLaboralEntity.codigo) | Validación: IsNotEmpty, IsString</t>
  </si>
  <si>
    <t xml:space="preserve">Código del registro de config_jornada_laboral. Único en la tabla.</t>
  </si>
  <si>
    <t xml:space="preserve">C0961</t>
  </si>
  <si>
    <t xml:space="preserve">Mapeada en travel-expenses-service/src/entities/config/config-jornada-laboral.entity.ts:26 (ConfigJornadaLaboralEntity.nombre) | Validación: IsNotEmpty, IsOptional, IsString, Length(2, 100)</t>
  </si>
  <si>
    <t xml:space="preserve">Nombre del registro de config_jornada_laboral.</t>
  </si>
  <si>
    <t xml:space="preserve">C0962</t>
  </si>
  <si>
    <t xml:space="preserve">character varying(5)</t>
  </si>
  <si>
    <t xml:space="preserve">Mapeada en travel-expenses-service/src/entities/config/config-jornada-laboral.entity.ts:34 (ConfigJornadaLaboralEntity.horaInicio)</t>
  </si>
  <si>
    <t xml:space="preserve">Hora de inicio de la jornada laboral, en formato HH:MM.</t>
  </si>
  <si>
    <t xml:space="preserve">nombre + varchar(5) + defecto '08:00'</t>
  </si>
  <si>
    <t xml:space="preserve">C0963</t>
  </si>
  <si>
    <t xml:space="preserve">Mapeada en travel-expenses-service/src/entities/config/config-jornada-laboral.entity.ts:42 (ConfigJornadaLaboralEntity.horaFin)</t>
  </si>
  <si>
    <t xml:space="preserve">Hora de fin de la jornada laboral, en formato HH:MM.</t>
  </si>
  <si>
    <t xml:space="preserve">nombre + varchar(5) + defecto '16:30'</t>
  </si>
  <si>
    <t xml:space="preserve">C0964</t>
  </si>
  <si>
    <t xml:space="preserve">dias_laborales</t>
  </si>
  <si>
    <t xml:space="preserve">travel-expenses-service/src/entities/config/config-jornada-laboral.entity.ts:55: Días hábiles o laborales de la semana: 0 = Domingo, 1 = Lunes, 2 = Martes, 3 = Miércoles, 4 = Jueves, 5 = Viernes, 6 = Sábado Por defecto: [1, 2, 3, 4, 5] (Lunes a Viernes) | Validación: IsArray, IsOptional</t>
  </si>
  <si>
    <t xml:space="preserve">Días hábiles de la semana, en formato JSON (lista de números: 0 = domingo, 1 = lunes … 6 = sábado). Por defecto, [1, 2, 3, 4, 5] (lunes a viernes).</t>
  </si>
  <si>
    <t xml:space="preserve">código: travel-expenses-service/src/entities/config/config-jornada-laboral.entity.ts:55 (corrige la numeración de la propuesta anterior)</t>
  </si>
  <si>
    <t xml:space="preserve">C0965</t>
  </si>
  <si>
    <t xml:space="preserve">dias_anticipacion_minima</t>
  </si>
  <si>
    <t xml:space="preserve">travel-expenses-service/src/entities/config/config-jornada-laboral.entity.ts:66: Días hábiles mínimos requeridos de anticipación para radicar una comisión ordinaria (RF-EXT-001). Por defecto: 14 días hábiles. | Validación: IsInt, IsOptional, Max(90), Min(1)</t>
  </si>
  <si>
    <t xml:space="preserve">Días hábiles mínimos de anticipación para radicar una comisión ordinaria (RF-EXT-001). Por defecto, 14.</t>
  </si>
  <si>
    <t xml:space="preserve">código: travel-expenses-service/src/entities/config/config-jornada-laboral.entity.ts:66</t>
  </si>
  <si>
    <t xml:space="preserve">¿Qué ocurre con una solicitud radicada sin la anticipación mínima?</t>
  </si>
  <si>
    <t xml:space="preserve">C0966</t>
  </si>
  <si>
    <t xml:space="preserve">dias_umbral_avance</t>
  </si>
  <si>
    <t xml:space="preserve">travel-expenses-service/src/entities/config/config-jornada-laboral.entity.ts:77: Días hábiles de umbral para determinar expedición de RP como anticipo (AVANCE) vs RECONOCIMIENTO_POSTERIOR (RF-PRE-003). Por defecto: 5 días hábiles. | Validación: IsInt, IsOptional, Max(90), Min(1)</t>
  </si>
  <si>
    <t xml:space="preserve">Días hábiles de umbral para determinar si el registro presupuestal se expide como anticipo (AVANCE) o como RECONOCIMIENTO_POSTERIOR (RF-PRE-003). Por defecto, 5.</t>
  </si>
  <si>
    <t xml:space="preserve">código: travel-expenses-service/src/entities/config/config-jornada-laboral.entity.ts:77</t>
  </si>
  <si>
    <t xml:space="preserve">¿Cómo se compara el umbral con la solicitud: por días hábiles entre la radicación y el inicio de la comisión u otro criterio?</t>
  </si>
  <si>
    <t xml:space="preserve">C0967</t>
  </si>
  <si>
    <t xml:space="preserve">idx_config_jornada_laboral_activo</t>
  </si>
  <si>
    <t xml:space="preserve">Mapeada en travel-expenses-service/src/entities/config/config-jornada-laboral.entity.ts:84 (ConfigJornadaLaboralEntity.activo) | Validación: IsBoolean, IsOptional</t>
  </si>
  <si>
    <t xml:space="preserve">C0968</t>
  </si>
  <si>
    <t xml:space="preserve">Mapeada en travel-expenses-service/src/entities/config/config-jornada-laboral.entity.ts:91 (ConfigJornadaLaboralEntity.descripcion) | Validación: IsOptional, IsString, Length(0, 255)</t>
  </si>
  <si>
    <t xml:space="preserve">Descripción del registro de config_jornada_laboral.</t>
  </si>
  <si>
    <t xml:space="preserve">C0969</t>
  </si>
  <si>
    <t xml:space="preserve">config_legalizacion</t>
  </si>
  <si>
    <t xml:space="preserve">Mapeada en travel-expenses-service/src/modules/legalizacion/entities/config-legalizacion.entity.ts:23 (ConfigLegalizacionEntity.plazoDiasHabiles)</t>
  </si>
  <si>
    <t xml:space="preserve">Plazo en días hábiles.</t>
  </si>
  <si>
    <t xml:space="preserve">C0970</t>
  </si>
  <si>
    <t xml:space="preserve">dias_aviso_por_vencer</t>
  </si>
  <si>
    <t xml:space="preserve">Mapeada en travel-expenses-service/src/modules/legalizacion/entities/config-legalizacion.entity.ts:26 (ConfigLegalizacionEntity.diasAvisoPorVencer)</t>
  </si>
  <si>
    <t xml:space="preserve">Días antes del vencimiento del plazo de legalización en que se envía el aviso. No puede ser negativo.</t>
  </si>
  <si>
    <t xml:space="preserve">nombre + defecto 2 + CHECK &gt;= 0 + descripción de la tabla</t>
  </si>
  <si>
    <t xml:space="preserve">¿Son días hábiles, como el plazo?</t>
  </si>
  <si>
    <t xml:space="preserve">C0971</t>
  </si>
  <si>
    <t xml:space="preserve">Mapeada en travel-expenses-service/src/modules/legalizacion/entities/config-legalizacion.entity.ts:32 (ConfigLegalizacionEntity.activo) | Validación: IsBoolean, IsOptional</t>
  </si>
  <si>
    <t xml:space="preserve">C0972</t>
  </si>
  <si>
    <t xml:space="preserve">actualizado_por_id</t>
  </si>
  <si>
    <t xml:space="preserve">Mapeada en travel-expenses-service/src/modules/legalizacion/entities/config-legalizacion.entity.ts:35 (ConfigLegalizacionEntity.actualizadoPorId)</t>
  </si>
  <si>
    <t xml:space="preserve">Identificador del usuario que actualizó por última vez la configuración.</t>
  </si>
  <si>
    <t xml:space="preserve">patrón *_por_id + tipo uuid</t>
  </si>
  <si>
    <t xml:space="preserve">¿Referencia a auth."user" o a auth.personas?</t>
  </si>
  <si>
    <t xml:space="preserve">C0973</t>
  </si>
  <si>
    <t xml:space="preserve">config_legalizacion_documentos</t>
  </si>
  <si>
    <t xml:space="preserve">tipo_requisito</t>
  </si>
  <si>
    <t xml:space="preserve">OBLIGATORIO, OPCIONAL</t>
  </si>
  <si>
    <t xml:space="preserve">Mapeada en travel-expenses-service/src/modules/legalizacion/entities/config-legalizacion-documento.entity.ts:31 (ConfigLegalizacionDocumentoEntity.tipoRequisito)</t>
  </si>
  <si>
    <t xml:space="preserve">Indica si el soporte es obligatorio u opcional para legalizar. Valores permitidos: OBLIGATORIO, OPCIONAL.</t>
  </si>
  <si>
    <t xml:space="preserve">C0974</t>
  </si>
  <si>
    <t xml:space="preserve">Mapeada en travel-expenses-service/src/modules/legalizacion/entities/config-legalizacion-documento.entity.ts:37 (ConfigLegalizacionDocumentoEntity.orden) | Validación: IsInt, IsOptional, Max(1000), Min(0)</t>
  </si>
  <si>
    <t xml:space="preserve">C0975</t>
  </si>
  <si>
    <t xml:space="preserve">Mapeada en travel-expenses-service/src/modules/legalizacion/entities/config-legalizacion-documento.entity.ts:40 (ConfigLegalizacionDocumentoEntity.activo) | Validación: IsBoolean, IsOptional</t>
  </si>
  <si>
    <t xml:space="preserve">C0976</t>
  </si>
  <si>
    <t xml:space="preserve">config_tipo_comisionado</t>
  </si>
  <si>
    <t xml:space="preserve">config_tipo_comisionado_tipo_comisionado_key, idx_config_tipo_comisionado_tipo</t>
  </si>
  <si>
    <t xml:space="preserve">Mapeada en travel-expenses-service/src/entities/config/config-tipo-comisionado.entity.ts:21 (ConfigTipoComisionadoEntity.tipoComisionado) | Validación: IsEnum(TipoComisionadoLiquidacion), IsIn(['FUNCIONARIO', 'CONTRATISTA', 'DOCENTE', 'ESTUDIANTE', 'INVESTIGADOR']), IsString, Length(1, 50)</t>
  </si>
  <si>
    <t xml:space="preserve">Tipo de comisionado al que aplica la configuración. Es único.</t>
  </si>
  <si>
    <t xml:space="preserve">nombre + índice único + tipo_comisionado de comisionados</t>
  </si>
  <si>
    <t xml:space="preserve">C0977</t>
  </si>
  <si>
    <t xml:space="preserve">codigo_formulario</t>
  </si>
  <si>
    <t xml:space="preserve">idx_config_tipo_comisionado_codigo_formulario</t>
  </si>
  <si>
    <t xml:space="preserve">Mapeada en travel-expenses-service/src/entities/config/config-tipo-comisionado.entity.ts:29 (ConfigTipoComisionadoEntity.codigoFormulario) | Validación: IsOptional, IsString, Length(1, 50)</t>
  </si>
  <si>
    <t xml:space="preserve">Código del formulario de solicitud que usa el tipo de comisionado.</t>
  </si>
  <si>
    <t xml:space="preserve">¿Dónde se definen los códigos de formulario?</t>
  </si>
  <si>
    <t xml:space="preserve">C0978</t>
  </si>
  <si>
    <t xml:space="preserve">campos_obligatorios</t>
  </si>
  <si>
    <t xml:space="preserve">Mapeada en travel-expenses-service/src/entities/config/config-tipo-comisionado.entity.ts:32 (ConfigTipoComisionadoEntity.camposObligatorios) | Validación: IsArray, IsOptional, IsString({ each: true })</t>
  </si>
  <si>
    <t xml:space="preserve">Lista de campos obligatorios del formulario para el tipo de comisionado, en formato JSON.</t>
  </si>
  <si>
    <t xml:space="preserve">nombre + tipo jsonb + defecto []</t>
  </si>
  <si>
    <t xml:space="preserve">¿La lista contiene las claves de config_campos_formulario?</t>
  </si>
  <si>
    <t xml:space="preserve">C0979</t>
  </si>
  <si>
    <t xml:space="preserve">campos_opcionales</t>
  </si>
  <si>
    <t xml:space="preserve">Mapeada en travel-expenses-service/src/entities/config/config-tipo-comisionado.entity.ts:35 (ConfigTipoComisionadoEntity.camposOpcionales) | Validación: IsArray, IsOptional, IsString({ each: true })</t>
  </si>
  <si>
    <t xml:space="preserve">Lista de campos opcionales del formulario para el tipo de comisionado, en formato JSON.</t>
  </si>
  <si>
    <t xml:space="preserve">C0980</t>
  </si>
  <si>
    <t xml:space="preserve">campos_ocultos</t>
  </si>
  <si>
    <t xml:space="preserve">Mapeada en travel-expenses-service/src/entities/config/config-tipo-comisionado.entity.ts:38 (ConfigTipoComisionadoEntity.camposOcultos) | Validación: IsArray, IsOptional, IsString({ each: true })</t>
  </si>
  <si>
    <t xml:space="preserve">Lista de campos que no se muestran en el formulario para el tipo de comisionado, en formato JSON.</t>
  </si>
  <si>
    <t xml:space="preserve">C0981</t>
  </si>
  <si>
    <t xml:space="preserve">Mapeada en travel-expenses-service/src/entities/config/config-tipo-comisionado.entity.ts:41 (ConfigTipoComisionadoEntity.activo) | Validación: IsBoolean, IsOptional</t>
  </si>
  <si>
    <t xml:space="preserve">C0982</t>
  </si>
  <si>
    <t xml:space="preserve">config_tipo_comisionado_documentos</t>
  </si>
  <si>
    <t xml:space="preserve">Mapeada en travel-expenses-service/src/entities/config/config-tipo-comisionado-documento.entity.ts:41 (ConfigTipoComisionadoDocumentoEntity.tipoRequisito)</t>
  </si>
  <si>
    <t xml:space="preserve">Indica si el documento de soporte es obligatorio u opcional para el tipo de comisionado. Valores permitidos: OBLIGATORIO, OPCIONAL.</t>
  </si>
  <si>
    <t xml:space="preserve">valores permitidos + columnas vecinas</t>
  </si>
  <si>
    <t xml:space="preserve">C0983</t>
  </si>
  <si>
    <t xml:space="preserve">configuraciones_globales</t>
  </si>
  <si>
    <t xml:space="preserve">Valor del parámetro de configuración identificado por la clave, guardado como texto.</t>
  </si>
  <si>
    <t xml:space="preserve">nombre + tipo text + columna vecina clave</t>
  </si>
  <si>
    <t xml:space="preserve">¿Hay valores con formato JSON o numérico que se convierten en la aplicación?</t>
  </si>
  <si>
    <t xml:space="preserve">C0984</t>
  </si>
  <si>
    <t xml:space="preserve">Descripción del registro de configuraciones_globales.</t>
  </si>
  <si>
    <t xml:space="preserve">C0985</t>
  </si>
  <si>
    <t xml:space="preserve">documentos_soporte</t>
  </si>
  <si>
    <t xml:space="preserve">tipo_documento</t>
  </si>
  <si>
    <t xml:space="preserve">CDP, CERT_BANCARIA, CONTRATO_SECOP, RUT, SEGURIDAD_SOCIAL</t>
  </si>
  <si>
    <t xml:space="preserve">Mapeada en travel-expenses-service/src/entities/documento-soporte.entity.ts:25 (DocumentoSoporteEntity.tipoDocumento) | Validación: IsString, Length(1, 50)</t>
  </si>
  <si>
    <t xml:space="preserve">Tipo de documento de soporte de la solicitud. Valores permitidos: CDP, CERT_BANCARIA, CONTRATO_SECOP, RUT, SEGURIDAD_SOCIAL.</t>
  </si>
  <si>
    <t xml:space="preserve">C0986</t>
  </si>
  <si>
    <t xml:space="preserve">nombre_archivo_original</t>
  </si>
  <si>
    <t xml:space="preserve">Mapeada en travel-expenses-service/src/entities/documento-soporte.entity.ts:28 (DocumentoSoporteEntity.nombreArchivoOriginal) | Validación: IsOptional, IsString</t>
  </si>
  <si>
    <t xml:space="preserve">Nombre del archivo tal como lo cargó el usuario.</t>
  </si>
  <si>
    <t xml:space="preserve">nombre + columna vecina nombre_archivo_seguro</t>
  </si>
  <si>
    <t xml:space="preserve">C0987</t>
  </si>
  <si>
    <t xml:space="preserve">nombre_archivo_seguro</t>
  </si>
  <si>
    <t xml:space="preserve">Mapeada en travel-expenses-service/src/entities/documento-soporte.entity.ts:31 (DocumentoSoporteEntity.nombreArchivoSeguro) | Validación: IsOptional, IsString</t>
  </si>
  <si>
    <t xml:space="preserve">Nombre con el que se guarda el archivo en el repositorio, generado por el sistema.</t>
  </si>
  <si>
    <t xml:space="preserve">nombre + columna vecina nombre_archivo_original</t>
  </si>
  <si>
    <t xml:space="preserve">¿Cómo se genera el nombre (UUID, hash)?</t>
  </si>
  <si>
    <t xml:space="preserve">C0988</t>
  </si>
  <si>
    <t xml:space="preserve">url_repositorio</t>
  </si>
  <si>
    <t xml:space="preserve">character varying(512)</t>
  </si>
  <si>
    <t xml:space="preserve">Mapeada en travel-expenses-service/src/entities/documento-soporte.entity.ts:34 (DocumentoSoporteEntity.urlRepositorio) | Validación: IsOptional, IsString</t>
  </si>
  <si>
    <t xml:space="preserve">URL o ruta del archivo en el repositorio documental.</t>
  </si>
  <si>
    <t xml:space="preserve">nombre + longitud 512</t>
  </si>
  <si>
    <t xml:space="preserve">¿Qué repositorio se usa y la URL es pública o interna?</t>
  </si>
  <si>
    <t xml:space="preserve">C0989</t>
  </si>
  <si>
    <t xml:space="preserve">Mapeada en travel-expenses-service/src/entities/documento-soporte.entity.ts:37 (DocumentoSoporteEntity.tipoMime) | Validación: IsOptional, IsString, Length(1, 100)</t>
  </si>
  <si>
    <t xml:space="preserve">Tipo MIME del archivo (por ejemplo, application/pdf).</t>
  </si>
  <si>
    <t xml:space="preserve">nombre + defecto application/pdf</t>
  </si>
  <si>
    <t xml:space="preserve">C0990</t>
  </si>
  <si>
    <t xml:space="preserve">escalas_viaticos</t>
  </si>
  <si>
    <t xml:space="preserve">decreto_vigente</t>
  </si>
  <si>
    <t xml:space="preserve">Mapeada en travel-expenses-service/src/entities/liquidation/escala-viatico.entity.ts:21 (EscalaViaticoEntity.decretoVigente) | Validación: IsOptional, IsString, Length(1, 50)</t>
  </si>
  <si>
    <t xml:space="preserve">Decreto que fija la escala de viáticos.</t>
  </si>
  <si>
    <t xml:space="preserve">nombre + tabla de escalas</t>
  </si>
  <si>
    <t xml:space="preserve">C0991</t>
  </si>
  <si>
    <t xml:space="preserve">ano_vigencia</t>
  </si>
  <si>
    <t xml:space="preserve">idx_escalas_ano_vigencia</t>
  </si>
  <si>
    <t xml:space="preserve">Mapeada en travel-expenses-service/src/entities/liquidation/escala-viatico.entity.ts:24 (EscalaViaticoEntity.anoVigencia) | Validación: IsNumber, IsOptional, Max(2100), Min(2000)</t>
  </si>
  <si>
    <t xml:space="preserve">Año de vigencia de la escala de viáticos.</t>
  </si>
  <si>
    <t xml:space="preserve">nombre + tipo integer + índice</t>
  </si>
  <si>
    <t xml:space="preserve">C0992</t>
  </si>
  <si>
    <t xml:space="preserve">rango_minimo</t>
  </si>
  <si>
    <t xml:space="preserve">numeric(12,2)</t>
  </si>
  <si>
    <t xml:space="preserve">idx_escalas_rango</t>
  </si>
  <si>
    <t xml:space="preserve">Mapeada en travel-expenses-service/src/entities/liquidation/escala-viatico.entity.ts:27 (EscalaViaticoEntity.rangoMinimo) | Validación: IsNumber, IsOptional, Min(0)</t>
  </si>
  <si>
    <t xml:space="preserve">Límite inferior del rango de ingreso (asignación básica) al que aplica la tarifa, en pesos colombianos.</t>
  </si>
  <si>
    <t xml:space="preserve">nombre + tipo numeric + índice con rango_maximo + columna tarifa_diaria</t>
  </si>
  <si>
    <t xml:space="preserve">¿El rango es sobre el salario básico mensual? ¿El límite es inclusivo?</t>
  </si>
  <si>
    <t xml:space="preserve">C0993</t>
  </si>
  <si>
    <t xml:space="preserve">rango_maximo</t>
  </si>
  <si>
    <t xml:space="preserve">Mapeada en travel-expenses-service/src/entities/liquidation/escala-viatico.entity.ts:30 (EscalaViaticoEntity.rangoMaximo) | Validación: IsNumber, IsOptional, Min(0)</t>
  </si>
  <si>
    <t xml:space="preserve">Límite superior del rango de ingreso (asignación básica) al que aplica la tarifa, en pesos colombianos.</t>
  </si>
  <si>
    <t xml:space="preserve">nombre + tipo numeric + índice con rango_minimo + columna tarifa_diaria</t>
  </si>
  <si>
    <t xml:space="preserve">C0994</t>
  </si>
  <si>
    <t xml:space="preserve">tarifa_diaria</t>
  </si>
  <si>
    <t xml:space="preserve">Mapeada en travel-expenses-service/src/entities/liquidation/escala-viatico.entity.ts:33 (EscalaViaticoEntity.tarifaDiaria) | Validación: IsNumber, IsOptional, Min(0)</t>
  </si>
  <si>
    <t xml:space="preserve">Valor diario de viáticos para el rango, en pesos colombianos.</t>
  </si>
  <si>
    <t xml:space="preserve">nombre + tipo numeric + tabla de escalas</t>
  </si>
  <si>
    <t xml:space="preserve">¿Confirmar que el valor está en pesos colombianos?</t>
  </si>
  <si>
    <t xml:space="preserve">C0995</t>
  </si>
  <si>
    <t xml:space="preserve">idx_escalas_activo</t>
  </si>
  <si>
    <t xml:space="preserve">Mapeada en travel-expenses-service/src/entities/liquidation/escala-viatico.entity.ts:36 (EscalaViaticoEntity.activo) | Validación: IsBoolean, IsOptional</t>
  </si>
  <si>
    <t xml:space="preserve">C0996</t>
  </si>
  <si>
    <t xml:space="preserve">excepciones_autorizadas_tiquetes</t>
  </si>
  <si>
    <t xml:space="preserve">solicitud_id</t>
  </si>
  <si>
    <t xml:space="preserve">idx_excep_tiquetes_solicitud</t>
  </si>
  <si>
    <t xml:space="preserve">Mapeada en travel-expenses-service/src/entities/tickets/excepcion-tiquete.entity.ts:26 (ExcepcionTiqueteEntity.solicitudId) | Validación: IsOptional, IsString, IsUUID</t>
  </si>
  <si>
    <t xml:space="preserve">Identificador de la solicitud de comisión a la que aplica la excepción.</t>
  </si>
  <si>
    <t xml:space="preserve">nombre + tipo uuid + índice + tabla solicitudes_comision</t>
  </si>
  <si>
    <t xml:space="preserve">C0997</t>
  </si>
  <si>
    <t xml:space="preserve">tipo_excepcion</t>
  </si>
  <si>
    <t xml:space="preserve">PRESUPUESTO_AGOTADO, RUTA_CORTA</t>
  </si>
  <si>
    <t xml:space="preserve">idx_excep_tiquetes_tipo</t>
  </si>
  <si>
    <t xml:space="preserve">travel-expenses-service/src/entities/tickets/excepcion-tiquete.entity.ts:32: 'RUTA_CORTA' | 'PRESUPUESTO_AGOTADO' | Validación: IsIn(['RUTA_CORTA', 'PRESUPUESTO_AGOTADO'])</t>
  </si>
  <si>
    <t xml:space="preserve">Restricción de tiquetes que se exceptúa: RUTA_CORTA o PRESUPUESTO_AGOTADO (RF-LIQ-003, RF-LIQ-004).</t>
  </si>
  <si>
    <t xml:space="preserve">código: travel-expenses-service/src/entities/tickets/excepcion-tiquete.entity.ts:32; documentación de la entidad</t>
  </si>
  <si>
    <t xml:space="preserve">C0998</t>
  </si>
  <si>
    <t xml:space="preserve">autorizado_por</t>
  </si>
  <si>
    <t xml:space="preserve">DIRECTOR_NACIONAL, SINDICATO</t>
  </si>
  <si>
    <t xml:space="preserve">travel-expenses-service/src/entities/tickets/excepcion-tiquete.entity.ts:38: 'DIRECTOR_NACIONAL' | 'SINDICATO' | Validación: IsIn(['DIRECTOR_NACIONAL', 'SINDICATO'])</t>
  </si>
  <si>
    <t xml:space="preserve">Instancia que autoriza la excepción de tiquetes: DIRECTOR_NACIONAL o SINDICATO.</t>
  </si>
  <si>
    <t xml:space="preserve">código: travel-expenses-service/src/entities/tickets/excepcion-tiquete.entity.ts:38</t>
  </si>
  <si>
    <t xml:space="preserve">C0999</t>
  </si>
  <si>
    <t xml:space="preserve">numero_documento_soporte</t>
  </si>
  <si>
    <t xml:space="preserve">Mapeada en travel-expenses-service/src/entities/tickets/excepcion-tiquete.entity.ts:41 (ExcepcionTiqueteEntity.numeroDocumentoSoporte) | Validación: IsString, Length(1, 100)</t>
  </si>
  <si>
    <t xml:space="preserve">Número del documento que soporta la autorización de la excepción.</t>
  </si>
  <si>
    <t xml:space="preserve">nombre + columna vecina documento_soporte_url</t>
  </si>
  <si>
    <t xml:space="preserve">¿Qué tipo de documento es (resolución, acta, oficio)?</t>
  </si>
  <si>
    <t xml:space="preserve">C1000</t>
  </si>
  <si>
    <t xml:space="preserve">documento_soporte_url</t>
  </si>
  <si>
    <t xml:space="preserve">Mapeada en travel-expenses-service/src/entities/tickets/excepcion-tiquete.entity.ts:44 (ExcepcionTiqueteEntity.documentoSoporteUrl) | Validación: IsOptional, IsString, Length(1, 500)</t>
  </si>
  <si>
    <t xml:space="preserve">URL o ruta del documento que soporta la excepción.</t>
  </si>
  <si>
    <t xml:space="preserve">nombre + columna vecina numero_documento_soporte</t>
  </si>
  <si>
    <t xml:space="preserve">C1001</t>
  </si>
  <si>
    <t xml:space="preserve">Mapeada en travel-expenses-service/src/entities/tickets/excepcion-tiquete.entity.ts:52 (ExcepcionTiqueteEntity.comentarios) | Validación: IsOptional, IsString, Length(1, 1000)</t>
  </si>
  <si>
    <t xml:space="preserve">Comentarios sobre la excepción autorizada.</t>
  </si>
  <si>
    <t xml:space="preserve">C1002</t>
  </si>
  <si>
    <t xml:space="preserve">legalizacion_reversiones</t>
  </si>
  <si>
    <t xml:space="preserve">APROBADA, PENDIENTE, RECHAZADA</t>
  </si>
  <si>
    <t xml:space="preserve">Mapeada en travel-expenses-service/src/modules/legalizacion/entities/legalizacion-reversion.entity.ts:24 (LegalizacionReversionEntity.estado)</t>
  </si>
  <si>
    <t xml:space="preserve">Estado del registro de legalizacion_reversiones.</t>
  </si>
  <si>
    <t xml:space="preserve">C1003</t>
  </si>
  <si>
    <t xml:space="preserve">Mapeada en travel-expenses-service/src/modules/legalizacion/entities/legalizacion-reversion.entity.ts:27 (LegalizacionReversionEntity.motivo) | Validación: IsNotEmpty, IsString, Length(1, 1000)</t>
  </si>
  <si>
    <t xml:space="preserve">Motivo de la solicitud de reversión. Debe tener al menos 10 caracteres.</t>
  </si>
  <si>
    <t xml:space="preserve">nombre + CHECK length &gt;= 10</t>
  </si>
  <si>
    <t xml:space="preserve">C1004</t>
  </si>
  <si>
    <t xml:space="preserve">solicitada_por_id</t>
  </si>
  <si>
    <t xml:space="preserve">Mapeada en travel-expenses-service/src/modules/legalizacion/entities/legalizacion-reversion.entity.ts:30 (LegalizacionReversionEntity.solicitadaPorId)</t>
  </si>
  <si>
    <t xml:space="preserve">Identificador del usuario que solicita la reversión.</t>
  </si>
  <si>
    <t xml:space="preserve">patrón *_por_id + tipo uuid + CHECK que lo distingue de resuelta_por_id</t>
  </si>
  <si>
    <t xml:space="preserve">¿Referencia a auth."user"?</t>
  </si>
  <si>
    <t xml:space="preserve">C1005</t>
  </si>
  <si>
    <t xml:space="preserve">solicitada_en</t>
  </si>
  <si>
    <t xml:space="preserve">idx_legalizacion_reversiones_pendientes</t>
  </si>
  <si>
    <t xml:space="preserve">Mapeada en travel-expenses-service/src/modules/legalizacion/entities/legalizacion-reversion.entity.ts:33 (LegalizacionReversionEntity.solicitadaEn)</t>
  </si>
  <si>
    <t xml:space="preserve">C1006</t>
  </si>
  <si>
    <t xml:space="preserve">resuelta_por_id</t>
  </si>
  <si>
    <t xml:space="preserve">Mapeada en travel-expenses-service/src/modules/legalizacion/entities/legalizacion-reversion.entity.ts:36 (LegalizacionReversionEntity.resueltaPorId)</t>
  </si>
  <si>
    <t xml:space="preserve">Identificador del usuario que resuelve la reversión. Debe ser distinto de quien la solicitó.</t>
  </si>
  <si>
    <t xml:space="preserve">patrón *_por_id + CHECK resuelta_por_id &lt;&gt; solicitada_por_id + descripción de la tabla (los valores permitidos listados corresponden a estado)</t>
  </si>
  <si>
    <t xml:space="preserve">C1007</t>
  </si>
  <si>
    <t xml:space="preserve">resuelta_en</t>
  </si>
  <si>
    <t xml:space="preserve">Mapeada en travel-expenses-service/src/modules/legalizacion/entities/legalizacion-reversion.entity.ts:39 (LegalizacionReversionEntity.resueltaEn)</t>
  </si>
  <si>
    <t xml:space="preserve">Fecha y hora en que se resolvió la reversión.</t>
  </si>
  <si>
    <t xml:space="preserve">patrón *_en + tipo timestamptz (los valores permitidos listados corresponden a estado)</t>
  </si>
  <si>
    <t xml:space="preserve">C1008</t>
  </si>
  <si>
    <t xml:space="preserve">observacion_resolucion</t>
  </si>
  <si>
    <t xml:space="preserve">Mapeada en travel-expenses-service/src/modules/legalizacion/entities/legalizacion-reversion.entity.ts:42 (LegalizacionReversionEntity.observacionResolucion)</t>
  </si>
  <si>
    <t xml:space="preserve">Observación registrada al resolver la reversión.</t>
  </si>
  <si>
    <t xml:space="preserve">nombre + tipo text (los valores permitidos listados corresponden a estado)</t>
  </si>
  <si>
    <t xml:space="preserve">¿Es obligatoria cuando la reversión se rechaza?</t>
  </si>
  <si>
    <t xml:space="preserve">C1009</t>
  </si>
  <si>
    <t xml:space="preserve">legalizacion_revisiones</t>
  </si>
  <si>
    <t xml:space="preserve">Mapeada en travel-expenses-service/src/modules/legalizacion/entities/legalizacion-revision.entity.ts:30 (LegalizacionRevisionEntity.soporteId)</t>
  </si>
  <si>
    <t xml:space="preserve">Identificador del soporte de legalización revisado, cuando la acción recae sobre un soporte.</t>
  </si>
  <si>
    <t xml:space="preserve">nombre + tabla legalizacion_soportes + acciones SOPORTE_APROBADO, SOPORTE_RECHAZADO</t>
  </si>
  <si>
    <t xml:space="preserve">¿Referencia a legalizacion_soportes.id?</t>
  </si>
  <si>
    <t xml:space="preserve">C1010</t>
  </si>
  <si>
    <t xml:space="preserve">APROBACION, DEVOLUCION, EXPORTACION_SIIF, REGISTRO_SIIF_Y_CIERRE, REVERSION_APROBADA, REVERSION_RECHAZADA, REVERSION_SOLICITADA, SOPORTE_APROBADO, SOPORTE_RECHAZADO</t>
  </si>
  <si>
    <t xml:space="preserve">Mapeada en travel-expenses-service/src/modules/legalizacion/entities/legalizacion-revision.entity.ts:33 (LegalizacionRevisionEntity.accion)</t>
  </si>
  <si>
    <t xml:space="preserve">Acción registrada en la revisión de la legalización. Valores permitidos: APROBACION, DEVOLUCION, EXPORTACION_SIIF, REGISTRO_SIIF_Y_CIERRE, REVERSION_APROBADA, REVERSION_RECHAZADA, REVERSION_SOLICITADA, SOPORTE_APROBADO, SOPORTE_RECHAZADO.</t>
  </si>
  <si>
    <t xml:space="preserve">C1011</t>
  </si>
  <si>
    <t xml:space="preserve">Mapeada en travel-expenses-service/src/modules/legalizacion/entities/legalizacion-revision.entity.ts:36 (LegalizacionRevisionEntity.observacion)</t>
  </si>
  <si>
    <t xml:space="preserve">C1012</t>
  </si>
  <si>
    <t xml:space="preserve">Mapeada en travel-expenses-service/src/modules/legalizacion/entities/legalizacion-revision.entity.ts:39 (LegalizacionRevisionEntity.detalle)</t>
  </si>
  <si>
    <t xml:space="preserve">Información adicional de la acción, en formato JSON.</t>
  </si>
  <si>
    <t xml:space="preserve">¿Qué estructura tiene el JSON según la acción?</t>
  </si>
  <si>
    <t xml:space="preserve">C1013</t>
  </si>
  <si>
    <t xml:space="preserve">Mapeada en travel-expenses-service/src/modules/legalizacion/entities/legalizacion-revision.entity.ts:42 (LegalizacionRevisionEntity.usuarioId)</t>
  </si>
  <si>
    <t xml:space="preserve">nombre + tipo uuid + descripción de la tabla (quién)</t>
  </si>
  <si>
    <t xml:space="preserve">C1014</t>
  </si>
  <si>
    <t xml:space="preserve">legalizacion_soportes</t>
  </si>
  <si>
    <t xml:space="preserve">Mapeada en travel-expenses-service/src/modules/legalizacion/entities/legalizacion-soporte.entity.ts:28 (LegalizacionSoporteEntity.nombreArchivoOriginal) | Validación: IsOptional, IsString</t>
  </si>
  <si>
    <t xml:space="preserve">Nombre del archivo PDF tal como lo cargó el usuario.</t>
  </si>
  <si>
    <t xml:space="preserve">C1015</t>
  </si>
  <si>
    <t xml:space="preserve">ruta_relativa</t>
  </si>
  <si>
    <t xml:space="preserve">Mapeada en travel-expenses-service/src/modules/legalizacion/entities/legalizacion-soporte.entity.ts:31 (LegalizacionSoporteEntity.rutaRelativa)</t>
  </si>
  <si>
    <t xml:space="preserve">Ruta relativa del archivo en el almacenamiento.</t>
  </si>
  <si>
    <t xml:space="preserve">¿Relativa a qué directorio o repositorio?</t>
  </si>
  <si>
    <t xml:space="preserve">C1016</t>
  </si>
  <si>
    <t xml:space="preserve">Mapeada en travel-expenses-service/src/modules/legalizacion/entities/legalizacion-soporte.entity.ts:34 (LegalizacionSoporteEntity.tamanoBytes)</t>
  </si>
  <si>
    <t xml:space="preserve">C1017</t>
  </si>
  <si>
    <t xml:space="preserve">Mapeada en travel-expenses-service/src/modules/legalizacion/entities/legalizacion-soporte.entity.ts:37 (LegalizacionSoporteEntity.sha256)</t>
  </si>
  <si>
    <t xml:space="preserve">Huella SHA-256 del archivo, en hexadecimal (64 caracteres).</t>
  </si>
  <si>
    <t xml:space="preserve">C1018</t>
  </si>
  <si>
    <t xml:space="preserve">cargado_por_id</t>
  </si>
  <si>
    <t xml:space="preserve">Mapeada en travel-expenses-service/src/modules/legalizacion/entities/legalizacion-soporte.entity.ts:40 (LegalizacionSoporteEntity.cargadoPorId)</t>
  </si>
  <si>
    <t xml:space="preserve">Identificador del usuario que cargó el soporte.</t>
  </si>
  <si>
    <t xml:space="preserve">C1019</t>
  </si>
  <si>
    <t xml:space="preserve">revision</t>
  </si>
  <si>
    <t xml:space="preserve">APROBADO, RECHAZADO</t>
  </si>
  <si>
    <t xml:space="preserve">travel-expenses-service/src/modules/legalizacion/entities/legalizacion-soporte.entity.ts:48: --- EFDS-1310: revisión del analista (migración 451) ---</t>
  </si>
  <si>
    <t xml:space="preserve">Resultado de la revisión del soporte de la legalización por parte del analista: APROBADO o RECHAZADO (EFDS-1310).</t>
  </si>
  <si>
    <t xml:space="preserve">código: travel-expenses-service/src/modules/legalizacion/entities/legalizacion-soporte.entity.ts:48 (encabezado de sección)</t>
  </si>
  <si>
    <t xml:space="preserve">¿El valor nulo significa que el soporte aún no ha sido revisado?</t>
  </si>
  <si>
    <t xml:space="preserve">C1020</t>
  </si>
  <si>
    <t xml:space="preserve">observacion_revision</t>
  </si>
  <si>
    <t xml:space="preserve">travel-expenses-service/src/modules/legalizacion/entities/legalizacion-soporte.entity.ts:51: --- EFDS-1310: revisión del analista (migración 451) ---</t>
  </si>
  <si>
    <t xml:space="preserve">Observación del analista en la revisión del soporte (EFDS-1310).</t>
  </si>
  <si>
    <t xml:space="preserve">código: legalizacion-soporte.entity.ts:51</t>
  </si>
  <si>
    <t xml:space="preserve">C1021</t>
  </si>
  <si>
    <t xml:space="preserve">travel-expenses-service/src/modules/legalizacion/entities/legalizacion-soporte.entity.ts:54: --- EFDS-1310: revisión del analista (migración 451) ---</t>
  </si>
  <si>
    <t xml:space="preserve">Identificador del analista que revisó el soporte (EFDS-1310).</t>
  </si>
  <si>
    <t xml:space="preserve">código: legalizacion-soporte.entity.ts:54</t>
  </si>
  <si>
    <t xml:space="preserve">C1022</t>
  </si>
  <si>
    <t xml:space="preserve">travel-expenses-service/src/modules/legalizacion/entities/legalizacion-soporte.entity.ts:57: --- EFDS-1310: revisión del analista (migración 451) ---</t>
  </si>
  <si>
    <t xml:space="preserve">Fecha y hora en que el analista revisó el soporte (EFDS-1310).</t>
  </si>
  <si>
    <t xml:space="preserve">código: legalizacion-soporte.entity.ts:57</t>
  </si>
  <si>
    <t xml:space="preserve">C1023</t>
  </si>
  <si>
    <t xml:space="preserve">legalizaciones_comision</t>
  </si>
  <si>
    <t xml:space="preserve">modalidad_pago</t>
  </si>
  <si>
    <t xml:space="preserve">Mapeada en travel-expenses-service/src/modules/legalizacion/entities/legalizacion-comision.entity.ts:21 (LegalizacionComisionEntity.modalidadPago) | Validación: IsIn(['AVANCE', 'RECONOCIMIENTO_POSTERIOR'], {
    message: 'La modalidad de pago debe ser AVANCE o RECONOCIMIENTO_POSTERIOR.',
  }), IsOptional, IsString</t>
  </si>
  <si>
    <t xml:space="preserve">Modalidad de pago de la comisión, que determina las reglas de legalización.</t>
  </si>
  <si>
    <t xml:space="preserve">nombre + config_legalizacion por modalidad de pago</t>
  </si>
  <si>
    <t xml:space="preserve">¿Qué valores admite (AVANCE, …)? ¿Se copia de solicitudes_comision?</t>
  </si>
  <si>
    <t xml:space="preserve">C1024</t>
  </si>
  <si>
    <t xml:space="preserve">estado_disparador</t>
  </si>
  <si>
    <t xml:space="preserve">Mapeada en travel-expenses-service/src/modules/legalizacion/entities/legalizacion-comision.entity.ts:24 (LegalizacionComisionEntity.estadoDisparador)</t>
  </si>
  <si>
    <t xml:space="preserve">Estado de la solicitud que inicia el plazo de legalización.</t>
  </si>
  <si>
    <t xml:space="preserve">nombre + descripción de config_legalizacion (disparador)</t>
  </si>
  <si>
    <t xml:space="preserve">¿Qué estados se usan como disparador?</t>
  </si>
  <si>
    <t xml:space="preserve">C1025</t>
  </si>
  <si>
    <t xml:space="preserve">fecha_disparo</t>
  </si>
  <si>
    <t xml:space="preserve">Mapeada en travel-expenses-service/src/modules/legalizacion/entities/legalizacion-comision.entity.ts:27 (LegalizacionComisionEntity.fechaDisparo)</t>
  </si>
  <si>
    <t xml:space="preserve">Fecha de disparo.</t>
  </si>
  <si>
    <t xml:space="preserve">C1026</t>
  </si>
  <si>
    <t xml:space="preserve">Mapeada en travel-expenses-service/src/modules/legalizacion/entities/legalizacion-comision.entity.ts:33 (LegalizacionComisionEntity.plazoDiasHabiles)</t>
  </si>
  <si>
    <t xml:space="preserve">C1027</t>
  </si>
  <si>
    <t xml:space="preserve">hora_corte</t>
  </si>
  <si>
    <t xml:space="preserve">Mapeada en travel-expenses-service/src/modules/legalizacion/entities/legalizacion-comision.entity.ts:36 (LegalizacionComisionEntity.horaCorte)</t>
  </si>
  <si>
    <t xml:space="preserve">Hora límite del último día del plazo de legalización, en formato HH:MM.</t>
  </si>
  <si>
    <t xml:space="preserve">nombre + varchar(5) + config_legalizacion</t>
  </si>
  <si>
    <t xml:space="preserve">¿Se copia de config_legalizacion al crear la legalización?</t>
  </si>
  <si>
    <t xml:space="preserve">C1028</t>
  </si>
  <si>
    <t xml:space="preserve">idx_legalizaciones_fecha_limite_abiertas</t>
  </si>
  <si>
    <t xml:space="preserve">Mapeada en travel-expenses-service/src/modules/legalizacion/entities/legalizacion-comision.entity.ts:39 (LegalizacionComisionEntity.fechaLimite)</t>
  </si>
  <si>
    <t xml:space="preserve">C1029</t>
  </si>
  <si>
    <t xml:space="preserve">enviada_por_id</t>
  </si>
  <si>
    <t xml:space="preserve">Mapeada en travel-expenses-service/src/modules/legalizacion/entities/legalizacion-comision.entity.ts:48 (LegalizacionComisionEntity.enviadaPorId)</t>
  </si>
  <si>
    <t xml:space="preserve">Identificador del usuario que envió la legalización a revisión. Se registra junto con fecha_envio.</t>
  </si>
  <si>
    <t xml:space="preserve">patrón *_por_id + CHECK con fecha_envio</t>
  </si>
  <si>
    <t xml:space="preserve">C1030</t>
  </si>
  <si>
    <t xml:space="preserve">notificado_por_vencer_en</t>
  </si>
  <si>
    <t xml:space="preserve">Mapeada en travel-expenses-service/src/modules/legalizacion/entities/legalizacion-comision.entity.ts:51 (LegalizacionComisionEntity.notificadoPorVencerEn)</t>
  </si>
  <si>
    <t xml:space="preserve">Fecha y hora en que se notificó que el plazo de legalización estaba por vencer.</t>
  </si>
  <si>
    <t xml:space="preserve">nombre + tipo timestamptz + config_legalizacion.dias_aviso_por_vencer</t>
  </si>
  <si>
    <t xml:space="preserve">C1031</t>
  </si>
  <si>
    <t xml:space="preserve">notificado_vencido_en</t>
  </si>
  <si>
    <t xml:space="preserve">Mapeada en travel-expenses-service/src/modules/legalizacion/entities/legalizacion-comision.entity.ts:54 (LegalizacionComisionEntity.notificadoVencidoEn)</t>
  </si>
  <si>
    <t xml:space="preserve">Fecha y hora en que se notificó que el plazo de legalización venció.</t>
  </si>
  <si>
    <t xml:space="preserve">nombre + tipo timestamptz</t>
  </si>
  <si>
    <t xml:space="preserve">C1032</t>
  </si>
  <si>
    <t xml:space="preserve">revision_aprobada_en</t>
  </si>
  <si>
    <t xml:space="preserve">travel-expenses-service/src/modules/legalizacion/entities/legalizacion-comision.entity.ts:59: --- EFDS-1310: revisión, registro SIIF y cierre (migración 451) ---</t>
  </si>
  <si>
    <t xml:space="preserve">Fecha y hora en que se aprobó la revisión de la legalización de la comisión (EFDS-1310). Es obligatoria para cerrarla.</t>
  </si>
  <si>
    <t xml:space="preserve">código: travel-expenses-service/src/modules/legalizacion/entities/legalizacion-comision.entity.ts:59 (encabezado de sección)</t>
  </si>
  <si>
    <t xml:space="preserve">C1033</t>
  </si>
  <si>
    <t xml:space="preserve">revision_aprobada_por_id</t>
  </si>
  <si>
    <t xml:space="preserve">travel-expenses-service/src/modules/legalizacion/entities/legalizacion-comision.entity.ts:62: --- EFDS-1310: revisión, registro SIIF y cierre (migración 451) ---</t>
  </si>
  <si>
    <t xml:space="preserve">Identificador del usuario que aprobó la revisión de la legalización (EFDS-1310).</t>
  </si>
  <si>
    <t xml:space="preserve">código: legalizacion-comision.entity.ts:62 + nombre</t>
  </si>
  <si>
    <t xml:space="preserve">C1034</t>
  </si>
  <si>
    <t xml:space="preserve">devuelta_por_id</t>
  </si>
  <si>
    <t xml:space="preserve">travel-expenses-service/src/modules/legalizacion/entities/legalizacion-comision.entity.ts:69: --- EFDS-1310: revisión, registro SIIF y cierre (migración 451) ---</t>
  </si>
  <si>
    <t xml:space="preserve">Identificador del usuario que devolvió la legalización (EFDS-1310).</t>
  </si>
  <si>
    <t xml:space="preserve">código: legalizacion-comision.entity.ts:69 + nombre</t>
  </si>
  <si>
    <t xml:space="preserve">C1035</t>
  </si>
  <si>
    <t xml:space="preserve">observacion_devolucion</t>
  </si>
  <si>
    <t xml:space="preserve">travel-expenses-service/src/modules/legalizacion/entities/legalizacion-comision.entity.ts:72: --- EFDS-1310: revisión, registro SIIF y cierre (migración 451) ---</t>
  </si>
  <si>
    <t xml:space="preserve">Observación registrada al devolver la legalización (EFDS-1310).</t>
  </si>
  <si>
    <t xml:space="preserve">código: legalizacion-comision.entity.ts:72 + nombre</t>
  </si>
  <si>
    <t xml:space="preserve">C1036</t>
  </si>
  <si>
    <t xml:space="preserve">numero_devoluciones</t>
  </si>
  <si>
    <t xml:space="preserve">travel-expenses-service/src/modules/legalizacion/entities/legalizacion-comision.entity.ts:75: --- EFDS-1310: revisión, registro SIIF y cierre (migración 451) ---</t>
  </si>
  <si>
    <t xml:space="preserve">Número de veces que se ha devuelto la legalización. Por defecto, 0 (EFDS-1310).</t>
  </si>
  <si>
    <t xml:space="preserve">código: legalizacion-comision.entity.ts:75 + nombre</t>
  </si>
  <si>
    <t xml:space="preserve">C1037</t>
  </si>
  <si>
    <t xml:space="preserve">siif_exportado_en</t>
  </si>
  <si>
    <t xml:space="preserve">travel-expenses-service/src/modules/legalizacion/entities/legalizacion-comision.entity.ts:78: --- EFDS-1310: revisión, registro SIIF y cierre (migración 451) ---</t>
  </si>
  <si>
    <t xml:space="preserve">Fecha y hora de exportación de la legalización al SIIF (EFDS-1310).</t>
  </si>
  <si>
    <t xml:space="preserve">código: legalizacion-comision.entity.ts:78 + nombre</t>
  </si>
  <si>
    <t xml:space="preserve">C1038</t>
  </si>
  <si>
    <t xml:space="preserve">siif_exportado_por_id</t>
  </si>
  <si>
    <t xml:space="preserve">travel-expenses-service/src/modules/legalizacion/entities/legalizacion-comision.entity.ts:81: --- EFDS-1310: revisión, registro SIIF y cierre (migración 451) ---</t>
  </si>
  <si>
    <t xml:space="preserve">Identificador del usuario que exportó la legalización al SIIF (EFDS-1310).</t>
  </si>
  <si>
    <t xml:space="preserve">código: legalizacion-comision.entity.ts:81 + nombre</t>
  </si>
  <si>
    <t xml:space="preserve">C1039</t>
  </si>
  <si>
    <t xml:space="preserve">numero_registro_siif</t>
  </si>
  <si>
    <t xml:space="preserve">travel-expenses-service/src/modules/legalizacion/entities/legalizacion-comision.entity.ts:84: --- EFDS-1310: revisión, registro SIIF y cierre (migración 451) ---</t>
  </si>
  <si>
    <t xml:space="preserve">Número del registro de la legalización en el SIIF (EFDS-1310).</t>
  </si>
  <si>
    <t xml:space="preserve">código: legalizacion-comision.entity.ts:84 + nombre</t>
  </si>
  <si>
    <t xml:space="preserve">C1040</t>
  </si>
  <si>
    <t xml:space="preserve">fecha_registro_siif</t>
  </si>
  <si>
    <t xml:space="preserve">travel-expenses-service/src/modules/legalizacion/entities/legalizacion-comision.entity.ts:87: --- EFDS-1310: revisión, registro SIIF y cierre (migración 451) ---</t>
  </si>
  <si>
    <t xml:space="preserve">Fecha del registro de la legalización en el SIIF (EFDS-1310).</t>
  </si>
  <si>
    <t xml:space="preserve">código: legalizacion-comision.entity.ts:87 + nombre</t>
  </si>
  <si>
    <t xml:space="preserve">C1041</t>
  </si>
  <si>
    <t xml:space="preserve">registrado_siif_por_id</t>
  </si>
  <si>
    <t xml:space="preserve">travel-expenses-service/src/modules/legalizacion/entities/legalizacion-comision.entity.ts:90: --- EFDS-1310: revisión, registro SIIF y cierre (migración 451) ---</t>
  </si>
  <si>
    <t xml:space="preserve">Identificador del usuario que registró la legalización en el SIIF (EFDS-1310).</t>
  </si>
  <si>
    <t xml:space="preserve">código: legalizacion-comision.entity.ts:90 + nombre</t>
  </si>
  <si>
    <t xml:space="preserve">C1042</t>
  </si>
  <si>
    <t xml:space="preserve">travel-expenses-service/src/modules/legalizacion/entities/legalizacion-comision.entity.ts:93: --- EFDS-1310: revisión, registro SIIF y cierre (migración 451) --- | Validación: IsNumber({}, { message: 'El valor pagado debe ser numérico.' }), IsPositive({ message: 'El valor pagado debe ser un monto positivo mayor a cero.' })</t>
  </si>
  <si>
    <t xml:space="preserve">Valor pagado de la comisión; debe ser un monto positivo mayor a cero (EFDS-1310).</t>
  </si>
  <si>
    <t xml:space="preserve">código: legalizacion-comision.entity.ts:93 + nombre</t>
  </si>
  <si>
    <t xml:space="preserve">¿valor_pagado es el valor girado al comisionado antes del viaje y en qué moneda se expresa?</t>
  </si>
  <si>
    <t xml:space="preserve">C1043</t>
  </si>
  <si>
    <t xml:space="preserve">valor_legalizado</t>
  </si>
  <si>
    <t xml:space="preserve">travel-expenses-service/src/modules/legalizacion/entities/legalizacion-comision.entity.ts:96: --- EFDS-1310: revisión, registro SIIF y cierre (migración 451) ---</t>
  </si>
  <si>
    <t xml:space="preserve">Valor legalizado de la comisión con los soportes presentados (EFDS-1310).</t>
  </si>
  <si>
    <t xml:space="preserve">código: legalizacion-comision.entity.ts:96 + nombre</t>
  </si>
  <si>
    <t xml:space="preserve">¿Es el valor aprobado tras la revisión de los soportes?</t>
  </si>
  <si>
    <t xml:space="preserve">C1044</t>
  </si>
  <si>
    <t xml:space="preserve">dias_reales</t>
  </si>
  <si>
    <t xml:space="preserve">travel-expenses-service/src/modules/legalizacion/entities/legalizacion-comision.entity.ts:102: --- EFDS-1310: revisión, registro SIIF y cierre (migración 451) ---</t>
  </si>
  <si>
    <t xml:space="preserve">Número de días reales de la comisión; admite fracciones (EFDS-1310).</t>
  </si>
  <si>
    <t xml:space="preserve">código: legalizacion-comision.entity.ts:102 + nombre</t>
  </si>
  <si>
    <t xml:space="preserve">¿Cómo se calculan las fracciones de día (por ejemplo, el último día sin pernoctar)?</t>
  </si>
  <si>
    <t xml:space="preserve">C1045</t>
  </si>
  <si>
    <t xml:space="preserve">travel-expenses-service/src/modules/legalizacion/entities/legalizacion-comision.entity.ts:105: --- EFDS-1310: revisión, registro SIIF y cierre (migración 451) ---</t>
  </si>
  <si>
    <t xml:space="preserve">Observaciones registradas al cerrar la legalización (EFDS-1310).</t>
  </si>
  <si>
    <t xml:space="preserve">código: legalizacion-comision.entity.ts:105 + nombre</t>
  </si>
  <si>
    <t xml:space="preserve">C1046</t>
  </si>
  <si>
    <t xml:space="preserve">cerrada_por_id</t>
  </si>
  <si>
    <t xml:space="preserve">travel-expenses-service/src/modules/legalizacion/entities/legalizacion-comision.entity.ts:135: --- EFDS-1310: revisión, registro SIIF y cierre (migración 451) ---</t>
  </si>
  <si>
    <t xml:space="preserve">Identificador del usuario que cerró la legalización (EFDS-1310).</t>
  </si>
  <si>
    <t xml:space="preserve">código: legalizacion-comision.entity.ts:135 + nombre</t>
  </si>
  <si>
    <t xml:space="preserve">C1047</t>
  </si>
  <si>
    <t xml:space="preserve">entidad_externa</t>
  </si>
  <si>
    <t xml:space="preserve">travel-expenses-service/src/modules/legalizacion/entities/legalizacion-comision.entity.ts:119: --- EFDS-1310: revisión, registro SIIF y cierre (migración 451) ---</t>
  </si>
  <si>
    <t xml:space="preserve">Nombre de la entidad externa de la comisión, cuando la comisión es externa (EFDS-1310).</t>
  </si>
  <si>
    <t xml:space="preserve">código: legalizacion-comision.entity.ts:119 + nombre</t>
  </si>
  <si>
    <t xml:space="preserve">¿Es la entidad que invita o financia la comisión cuando comision_externa es verdadero?</t>
  </si>
  <si>
    <t xml:space="preserve">C1048</t>
  </si>
  <si>
    <t xml:space="preserve">cumplimiento_registrado_en</t>
  </si>
  <si>
    <t xml:space="preserve">travel-expenses-service/src/modules/legalizacion/entities/legalizacion-comision.entity.ts:122: --- EFDS-1310: revisión, registro SIIF y cierre (migración 451) ---</t>
  </si>
  <si>
    <t xml:space="preserve">Fecha y hora en que se registró el cumplimiento de la comisión (EFDS-1310).</t>
  </si>
  <si>
    <t xml:space="preserve">código: legalizacion-comision.entity.ts:122 + nombre</t>
  </si>
  <si>
    <t xml:space="preserve">¿Qué documento o hecho se registra como cumplimiento de la comisión?</t>
  </si>
  <si>
    <t xml:space="preserve">C1049</t>
  </si>
  <si>
    <t xml:space="preserve">cumplimiento_registrado_por_id</t>
  </si>
  <si>
    <t xml:space="preserve">travel-expenses-service/src/modules/legalizacion/entities/legalizacion-comision.entity.ts:125: --- EFDS-1310: revisión, registro SIIF y cierre (migración 451) ---</t>
  </si>
  <si>
    <t xml:space="preserve">Identificador del usuario que registró el cumplimiento de la comisión (EFDS-1310).</t>
  </si>
  <si>
    <t xml:space="preserve">código: legalizacion-comision.entity.ts:125 + nombre</t>
  </si>
  <si>
    <t xml:space="preserve">C1050</t>
  </si>
  <si>
    <t xml:space="preserve">liquidation_params</t>
  </si>
  <si>
    <t xml:space="preserve">idx_liquidation_params_clave, liquidation_params_clave_key</t>
  </si>
  <si>
    <t xml:space="preserve">Mapeada en travel-expenses-service/src/entities/liquidation/liquidation-param.entity.ts:14 (LiquidationParamEntity.clave) | Validación: IsString, Length(1, 100)</t>
  </si>
  <si>
    <t xml:space="preserve">Nombre único del parámetro de liquidación.</t>
  </si>
  <si>
    <t xml:space="preserve">nombre + índice único + tabla de parámetros</t>
  </si>
  <si>
    <t xml:space="preserve">C1051</t>
  </si>
  <si>
    <t xml:space="preserve">Mapeada en travel-expenses-service/src/entities/liquidation/liquidation-param.entity.ts:17 (LiquidationParamEntity.valor)</t>
  </si>
  <si>
    <t xml:space="preserve">Valor del parámetro de liquidación, guardado como texto; su tipo lo indica la columna tipo.</t>
  </si>
  <si>
    <t xml:space="preserve">nombre + columna vecina tipo</t>
  </si>
  <si>
    <t xml:space="preserve">¿Qué tipos se usan y cómo se convierten?</t>
  </si>
  <si>
    <t xml:space="preserve">C1052</t>
  </si>
  <si>
    <t xml:space="preserve">Mapeada en travel-expenses-service/src/entities/liquidation/liquidation-param.entity.ts:20 (LiquidationParamEntity.tipo)</t>
  </si>
  <si>
    <t xml:space="preserve">Tipo del registro de liquidation_params.</t>
  </si>
  <si>
    <t xml:space="preserve">C1053</t>
  </si>
  <si>
    <t xml:space="preserve">Mapeada en travel-expenses-service/src/entities/liquidation/liquidation-param.entity.ts:23 (LiquidationParamEntity.descripcion) | Validación: IsOptional, IsString, Length(0, 255)</t>
  </si>
  <si>
    <t xml:space="preserve">Descripción del registro de liquidation_params.</t>
  </si>
  <si>
    <t xml:space="preserve">C1054</t>
  </si>
  <si>
    <t xml:space="preserve">parametros_globales</t>
  </si>
  <si>
    <t xml:space="preserve">Valor del parámetro global, guardado como texto; su tipo lo indica la columna tipo.</t>
  </si>
  <si>
    <t xml:space="preserve">nombre + columna vecina tipo + descripción de la tabla</t>
  </si>
  <si>
    <t xml:space="preserve">C1055</t>
  </si>
  <si>
    <t xml:space="preserve">Tipo del registro de parametros_globales.</t>
  </si>
  <si>
    <t xml:space="preserve">C1056</t>
  </si>
  <si>
    <t xml:space="preserve">Descripción del registro de parametros_globales.</t>
  </si>
  <si>
    <t xml:space="preserve">C1057</t>
  </si>
  <si>
    <t xml:space="preserve">editable</t>
  </si>
  <si>
    <t xml:space="preserve">Indica si aplica: editable.</t>
  </si>
  <si>
    <t xml:space="preserve">C1058</t>
  </si>
  <si>
    <t xml:space="preserve">paz_y_salvo_eventos</t>
  </si>
  <si>
    <t xml:space="preserve">Identificador del usuario que realizó la acción sobre el paz y salvo.</t>
  </si>
  <si>
    <t xml:space="preserve">nombre + tipo uuid</t>
  </si>
  <si>
    <t xml:space="preserve">C1059</t>
  </si>
  <si>
    <t xml:space="preserve">CONSULTADO, DESCARGADO, FIRMA_VERIFICADA, OTP_SOLICITADO, SOLICITADO</t>
  </si>
  <si>
    <t xml:space="preserve">Acción registrada sobre el paz y salvo. Valores permitidos: CONSULTADO, DESCARGADO, FIRMA_VERIFICADA, OTP_SOLICITADO, SOLICITADO.</t>
  </si>
  <si>
    <t xml:space="preserve">C1060</t>
  </si>
  <si>
    <t xml:space="preserve">Información adicional del evento, en formato JSON.</t>
  </si>
  <si>
    <t xml:space="preserve">nombre + tipo jsonb + defecto {}</t>
  </si>
  <si>
    <t xml:space="preserve">C1061</t>
  </si>
  <si>
    <t xml:space="preserve">paz_y_salvos</t>
  </si>
  <si>
    <t xml:space="preserve">solicitado_por_id</t>
  </si>
  <si>
    <t xml:space="preserve">Identificador del usuario que solicitó el paz y salvo.</t>
  </si>
  <si>
    <t xml:space="preserve">C1062</t>
  </si>
  <si>
    <t xml:space="preserve">Contenido del paz y salvo, en formato JSON.</t>
  </si>
  <si>
    <t xml:space="preserve">nombre + tipo jsonb + columna contenido_sha256</t>
  </si>
  <si>
    <t xml:space="preserve">¿Qué datos incluye el JSON?</t>
  </si>
  <si>
    <t xml:space="preserve">C1063</t>
  </si>
  <si>
    <t xml:space="preserve">contenido_sha256</t>
  </si>
  <si>
    <t xml:space="preserve">Huella SHA-256 del contenido del paz y salvo, en hexadecimal.</t>
  </si>
  <si>
    <t xml:space="preserve">nombre + varchar(64) + columna contenido</t>
  </si>
  <si>
    <t xml:space="preserve">C1064</t>
  </si>
  <si>
    <t xml:space="preserve">firma</t>
  </si>
  <si>
    <t xml:space="preserve">Datos de la firma del paz y salvo, en formato JSON. Se registra junto con firmado_en y archivo_sha256.</t>
  </si>
  <si>
    <t xml:space="preserve">nombre + tipo jsonb + CHECK con firmado_en y archivo_sha256</t>
  </si>
  <si>
    <t xml:space="preserve">¿Qué tipo de firma se usa y qué datos guarda el JSON?</t>
  </si>
  <si>
    <t xml:space="preserve">C1065</t>
  </si>
  <si>
    <t xml:space="preserve">C1066</t>
  </si>
  <si>
    <t xml:space="preserve">archivo_sha256</t>
  </si>
  <si>
    <t xml:space="preserve">Huella SHA-256 del archivo firmado del paz y salvo, en hexadecimal. Se registra junto con la firma.</t>
  </si>
  <si>
    <t xml:space="preserve">nombre + varchar(64) + CHECK con firma</t>
  </si>
  <si>
    <t xml:space="preserve">C1067</t>
  </si>
  <si>
    <t xml:space="preserve">reintegros_comision</t>
  </si>
  <si>
    <t xml:space="preserve">PENDIENTE, REGISTRADO</t>
  </si>
  <si>
    <t xml:space="preserve">idx_reintegros_comision_estado</t>
  </si>
  <si>
    <t xml:space="preserve">Mapeada en travel-expenses-service/src/entities/reintegro-comision.entity.ts:53 (ReintegroComisionEntity.estado)</t>
  </si>
  <si>
    <t xml:space="preserve">Estado del registro de reintegros_comision.</t>
  </si>
  <si>
    <t xml:space="preserve">C1068</t>
  </si>
  <si>
    <t xml:space="preserve">Mapeada en travel-expenses-service/src/entities/reintegro-comision.entity.ts:61 (ReintegroComisionEntity.valorPagado) | Validación: IsNumber({}, { message: 'El valor pagado debe ser numérico.' }), IsPositive({ message: 'El valor pagado debe ser un monto positivo mayor a cero.' })</t>
  </si>
  <si>
    <t xml:space="preserve">Valor pagado por la comisión, en pesos colombianos.</t>
  </si>
  <si>
    <t xml:space="preserve">nombre + tipo numeric + descripción de la tabla</t>
  </si>
  <si>
    <t xml:space="preserve">¿Se copia de solicitudes_comision.valor_pagado?</t>
  </si>
  <si>
    <t xml:space="preserve">C1069</t>
  </si>
  <si>
    <t xml:space="preserve">dias_comision</t>
  </si>
  <si>
    <t xml:space="preserve">Mapeada en travel-expenses-service/src/entities/reintegro-comision.entity.ts:68 (ReintegroComisionEntity.diasComision) | Validación: IsNumber({ maxDecimalPlaces: 2 }), IsOptional, Min(0)</t>
  </si>
  <si>
    <t xml:space="preserve">Días autorizados de la comisión.</t>
  </si>
  <si>
    <t xml:space="preserve">nombre + tipo numeric(6,2) + columna dias_ejecutados</t>
  </si>
  <si>
    <t xml:space="preserve">¿Admite fracciones por días sin pernoctar?</t>
  </si>
  <si>
    <t xml:space="preserve">C1070</t>
  </si>
  <si>
    <t xml:space="preserve">dias_ejecutados</t>
  </si>
  <si>
    <t xml:space="preserve">Mapeada en travel-expenses-service/src/entities/reintegro-comision.entity.ts:71 (ReintegroComisionEntity.diasEjecutados)</t>
  </si>
  <si>
    <t xml:space="preserve">Días efectivamente ejecutados de la comisión.</t>
  </si>
  <si>
    <t xml:space="preserve">nombre + tipo numeric(6,2) + descripción de la tabla</t>
  </si>
  <si>
    <t xml:space="preserve">C1071</t>
  </si>
  <si>
    <t xml:space="preserve">valor_reintegrado</t>
  </si>
  <si>
    <t xml:space="preserve">Mapeada en travel-expenses-service/src/entities/reintegro-comision.entity.ts:74 (ReintegroComisionEntity.valorReintegrado) | Validación: IsNumber({}, { message: 'El valor reintegrado debe ser numérico.' }), IsPositive({ message: 'El valor reintegrado debe ser un monto positivo mayor a cero.' })</t>
  </si>
  <si>
    <t xml:space="preserve">Valor efectivamente reintegrado, en pesos colombianos. Si se registra, debe ser mayor que cero.</t>
  </si>
  <si>
    <t xml:space="preserve">nombre + CHECK &gt; 0 + columna valor_a_reintegrar</t>
  </si>
  <si>
    <t xml:space="preserve">¿Puede ser distinto de valor_a_reintegrar?</t>
  </si>
  <si>
    <t xml:space="preserve">C1072</t>
  </si>
  <si>
    <t xml:space="preserve">fecha_reintegro</t>
  </si>
  <si>
    <t xml:space="preserve">Mapeada en travel-expenses-service/src/entities/reintegro-comision.entity.ts:77 (ReintegroComisionEntity.fechaReintegro) | Validación: IsDateString({}, { message: 'La fecha del reintegro debe ser una fecha válida en formato YYYY-MM-DD.' }), IsNotEmpty({ message: 'La fecha del reintegro es obligatoria.' })</t>
  </si>
  <si>
    <t xml:space="preserve">Fecha de reintegro.</t>
  </si>
  <si>
    <t xml:space="preserve">C1073</t>
  </si>
  <si>
    <t xml:space="preserve">Mapeada en travel-expenses-service/src/entities/reintegro-comision.entity.ts:84 (ReintegroComisionEntity.observaciones) | Validación: IsOptional, IsString, IsString({ message: 'Las observaciones deben ser una cadena de texto.' }), Length(0, 1000), Length(0, 2000), MaxLength(1000)</t>
  </si>
  <si>
    <t xml:space="preserve">C1074</t>
  </si>
  <si>
    <t xml:space="preserve">Mapeada en travel-expenses-service/src/entities/reintegro-comision.entity.ts:87 (ReintegroComisionEntity.registradoPorId)</t>
  </si>
  <si>
    <t xml:space="preserve">Identificador del usuario que registró el reintegro.</t>
  </si>
  <si>
    <t xml:space="preserve">patrón *_por_id + columna fecha_registro</t>
  </si>
  <si>
    <t xml:space="preserve">C1075</t>
  </si>
  <si>
    <t xml:space="preserve">rutas_restringidas</t>
  </si>
  <si>
    <t xml:space="preserve">origen_ciudad</t>
  </si>
  <si>
    <t xml:space="preserve">uk_rutas_restringidas</t>
  </si>
  <si>
    <t xml:space="preserve">Mapeada en travel-expenses-service/src/entities/tickets/ruta-restringida.entity.ts:26 (RutaRestringidaEntity.origenCiudad) | Validación: IsOptional, IsString, Length(1, 100)</t>
  </si>
  <si>
    <t xml:space="preserve">Ciudad de origen de la ruta restringida.</t>
  </si>
  <si>
    <t xml:space="preserve">nombre + índice único con destino_ciudad</t>
  </si>
  <si>
    <t xml:space="preserve">C1076</t>
  </si>
  <si>
    <t xml:space="preserve">destino_ciudad</t>
  </si>
  <si>
    <t xml:space="preserve">Mapeada en travel-expenses-service/src/entities/tickets/ruta-restringida.entity.ts:29 (RutaRestringidaEntity.destinoCiudad) | Validación: IsOptional, IsString, Length(0, 100), Length(1, 100)</t>
  </si>
  <si>
    <t xml:space="preserve">Ciudad de destino de la ruta restringida.</t>
  </si>
  <si>
    <t xml:space="preserve">nombre + índice único con origen_ciudad</t>
  </si>
  <si>
    <t xml:space="preserve">C1077</t>
  </si>
  <si>
    <t xml:space="preserve">descripcion_restriccion</t>
  </si>
  <si>
    <t xml:space="preserve">Mapeada en travel-expenses-service/src/entities/tickets/ruta-restringida.entity.ts:32 (RutaRestringidaEntity.descripcionRestriccion) | Validación: IsString, MaxLength(255)</t>
  </si>
  <si>
    <t xml:space="preserve">Descripción de la restricción que aplica a la ruta.</t>
  </si>
  <si>
    <t xml:space="preserve">¿Qué tipo de restricción se registra (por ejemplo, no se compra tiquete aéreo)?</t>
  </si>
  <si>
    <t xml:space="preserve">C1078</t>
  </si>
  <si>
    <t xml:space="preserve">idx_rutas_restringidas_activo</t>
  </si>
  <si>
    <t xml:space="preserve">Mapeada en travel-expenses-service/src/entities/tickets/ruta-restringida.entity.ts:40 (RutaRestringidaEntity.activo) | Validación: IsBoolean, IsOptional</t>
  </si>
  <si>
    <t xml:space="preserve">C1079</t>
  </si>
  <si>
    <t xml:space="preserve">saldos_tiquetes</t>
  </si>
  <si>
    <t xml:space="preserve">dependencia_id</t>
  </si>
  <si>
    <t xml:space="preserve">saldos_tiquetes_dependencia_id_key</t>
  </si>
  <si>
    <t xml:space="preserve">Mapeada en travel-expenses-service/src/entities/tickets/saldo-tiquete.entity.ts:32 (SaldoTiqueteEntity.dependenciaId) | Validación: IsString, Length(1, 100)</t>
  </si>
  <si>
    <t xml:space="preserve">Identificador de la dependencia dueña del presupuesto de tiquetes. Es único.</t>
  </si>
  <si>
    <t xml:space="preserve">nombre + índice único + tipo varchar</t>
  </si>
  <si>
    <t xml:space="preserve">¿Es el código de la dependencia en otro sistema? ¿Por qué es texto y no numérico?</t>
  </si>
  <si>
    <t xml:space="preserve">C1080</t>
  </si>
  <si>
    <t xml:space="preserve">nombre_dependencia</t>
  </si>
  <si>
    <t xml:space="preserve">Mapeada en travel-expenses-service/src/entities/tickets/saldo-tiquete.entity.ts:40 (SaldoTiqueteEntity.nombreDependencia) | Validación: IsOptional, IsString, Length(1, 150)</t>
  </si>
  <si>
    <t xml:space="preserve">Nombre de la dependencia.</t>
  </si>
  <si>
    <t xml:space="preserve">C1081</t>
  </si>
  <si>
    <t xml:space="preserve">presupuesto_inicial</t>
  </si>
  <si>
    <t xml:space="preserve">Mapeada en travel-expenses-service/src/entities/tickets/saldo-tiquete.entity.ts:43 (SaldoTiqueteEntity.presupuestoInicial) | Validación: IsNumber({ maxDecimalPlaces: 2 }), IsOptional, Min(0)</t>
  </si>
  <si>
    <t xml:space="preserve">Presupuesto inicial asignado para tiquetes, en pesos colombianos. No puede ser negativo.</t>
  </si>
  <si>
    <t xml:space="preserve">nombre + CHECK &gt;= 0 + tabla saldos_tiquetes</t>
  </si>
  <si>
    <t xml:space="preserve">¿Corresponde a una vigencia fiscal?</t>
  </si>
  <si>
    <t xml:space="preserve">C1082</t>
  </si>
  <si>
    <t xml:space="preserve">presupuesto_reservado</t>
  </si>
  <si>
    <t xml:space="preserve">Mapeada en travel-expenses-service/src/entities/tickets/saldo-tiquete.entity.ts:51 (SaldoTiqueteEntity.presupuestoReservado)</t>
  </si>
  <si>
    <t xml:space="preserve">Presupuesto reservado para tiquetes de solicitudes en trámite, en pesos colombianos. No puede ser negativo.</t>
  </si>
  <si>
    <t xml:space="preserve">nombre + defecto 0 + CHECK &gt;= 0</t>
  </si>
  <si>
    <t xml:space="preserve">¿Cuándo se reserva y cuándo se libera el valor?</t>
  </si>
  <si>
    <t xml:space="preserve">C1083</t>
  </si>
  <si>
    <t xml:space="preserve">presupuesto_disponible</t>
  </si>
  <si>
    <t xml:space="preserve">Mapeada en travel-expenses-service/src/entities/tickets/saldo-tiquete.entity.ts:60 (SaldoTiqueteEntity.presupuestoDisponible)</t>
  </si>
  <si>
    <t xml:space="preserve">Presupuesto disponible para tiquetes, en pesos colombianos.</t>
  </si>
  <si>
    <t xml:space="preserve">nombre + columnas presupuesto_inicial, presupuesto_reservado</t>
  </si>
  <si>
    <t xml:space="preserve">¿Se calcula como inicial menos reservado o se actualiza en la aplicación?</t>
  </si>
  <si>
    <t xml:space="preserve">C1084</t>
  </si>
  <si>
    <t xml:space="preserve">holgura_porcentaje</t>
  </si>
  <si>
    <t xml:space="preserve">Mapeada en travel-expenses-service/src/entities/tickets/saldo-tiquete.entity.ts:68 (SaldoTiqueteEntity.holguraPorcentaje) | Validación: IsNumber({ maxDecimalPlaces: 2 }), IsOptional, Max(100), Min(0)</t>
  </si>
  <si>
    <t xml:space="preserve">Porcentaje de holgura sobre el presupuesto de tiquetes, entre 0 y 100.</t>
  </si>
  <si>
    <t xml:space="preserve">nombre + defecto 15.00 + CHECK 0–100</t>
  </si>
  <si>
    <t xml:space="preserve">¿Para qué se usa la holgura (margen de alerta o reserva adicional)?</t>
  </si>
  <si>
    <t xml:space="preserve">C1085</t>
  </si>
  <si>
    <t xml:space="preserve">idx_saldos_tiquetes_activo</t>
  </si>
  <si>
    <t xml:space="preserve">Mapeada en travel-expenses-service/src/entities/tickets/saldo-tiquete.entity.ts:77 (SaldoTiqueteEntity.activo) | Validación: IsBoolean, IsOptional</t>
  </si>
  <si>
    <t xml:space="preserve">C1086</t>
  </si>
  <si>
    <t xml:space="preserve">solicitudes_comision</t>
  </si>
  <si>
    <t xml:space="preserve">consecutivo_unico</t>
  </si>
  <si>
    <t xml:space="preserve">idx_solicitudes_consecutivo_unico, solicitudes_comision_consecutivo_unico_key</t>
  </si>
  <si>
    <t xml:space="preserve">Mapeada en travel-expenses-service/src/entities/solicitud-comision.entity.ts:31 (SolicitudComisionEntity.consecutivoUnico) | Validación: IsOptional, IsString</t>
  </si>
  <si>
    <t xml:space="preserve">Consecutivo único de la solicitud de comisión.</t>
  </si>
  <si>
    <t xml:space="preserve">C1087</t>
  </si>
  <si>
    <t xml:space="preserve">Mapeada en travel-expenses-service/src/entities/solicitud-comision.entity.ts:47 (SolicitudComisionEntity.destinoCiudad) | Validación: IsOptional, IsString, Length(0, 100), Length(1, 100)</t>
  </si>
  <si>
    <t xml:space="preserve">Ciudad de destino de la comisión.</t>
  </si>
  <si>
    <t xml:space="preserve">C1088</t>
  </si>
  <si>
    <t xml:space="preserve">destino_departamento</t>
  </si>
  <si>
    <t xml:space="preserve">Mapeada en travel-expenses-service/src/entities/solicitud-comision.entity.ts:50 (SolicitudComisionEntity.destinoDepartamento) | Validación: IsOptional, IsString, Length(0, 100)</t>
  </si>
  <si>
    <t xml:space="preserve">Departamento de destino de la comisión.</t>
  </si>
  <si>
    <t xml:space="preserve">C1089</t>
  </si>
  <si>
    <t xml:space="preserve">idx_solicitudes_comisionado_fechas</t>
  </si>
  <si>
    <t xml:space="preserve">Mapeada en travel-expenses-service/src/entities/solicitud-comision.entity.ts:53 (SolicitudComisionEntity.fechaInicio) | Validación: IsOptional, IsString</t>
  </si>
  <si>
    <t xml:space="preserve">C1090</t>
  </si>
  <si>
    <t xml:space="preserve">Mapeada en travel-expenses-service/src/entities/solicitud-comision.entity.ts:57 (SolicitudComisionEntity.fechaFin) | Validación: IsOptional, IsString</t>
  </si>
  <si>
    <t xml:space="preserve">C1091</t>
  </si>
  <si>
    <t xml:space="preserve">objeto_comision</t>
  </si>
  <si>
    <t xml:space="preserve">Mapeada en travel-expenses-service/src/entities/solicitud-comision.entity.ts:60 (SolicitudComisionEntity.objetoComision) | Validación: IsOptional, IsString, Length(0, 250)</t>
  </si>
  <si>
    <t xml:space="preserve">Objeto o propósito de la comisión de servicio.</t>
  </si>
  <si>
    <t xml:space="preserve">C1092</t>
  </si>
  <si>
    <t xml:space="preserve">ALTA, BAJA, MEDIA</t>
  </si>
  <si>
    <t xml:space="preserve">Mapeada en travel-expenses-service/src/entities/solicitud-comision.entity.ts:63 (SolicitudComisionEntity.prioridad) | Validación: IsIn(['ALTA', 'MEDIA', 'BAJA']), IsOptional, IsString</t>
  </si>
  <si>
    <t xml:space="preserve">Prioridad de la solicitud. Valores permitidos: ALTA, BAJA, MEDIA.</t>
  </si>
  <si>
    <t xml:space="preserve">C1093</t>
  </si>
  <si>
    <t xml:space="preserve">rubro_presupuestal</t>
  </si>
  <si>
    <t xml:space="preserve">Mapeada en travel-expenses-service/src/entities/solicitud-comision.entity.ts:66 (SolicitudComisionEntity.rubroPresupuestal) | Validación: IsNotEmpty({ message: 'El rubro presupuestal es obligatorio.' }), IsOptional, IsString, IsString({ message: 'El rubro presupuestal debe ser una cadena de texto.' }), Length(0, 100), MaxLength(100)</t>
  </si>
  <si>
    <t xml:space="preserve">Rubro presupuestal con cargo al cual se financia la comisión.</t>
  </si>
  <si>
    <t xml:space="preserve">C1094</t>
  </si>
  <si>
    <t xml:space="preserve">requiere_tiquetes</t>
  </si>
  <si>
    <t xml:space="preserve">Mapeada en travel-expenses-service/src/entities/solicitud-comision.entity.ts:75 (SolicitudComisionEntity.requiereTiquetes) | Validación: IsBoolean, IsOptional</t>
  </si>
  <si>
    <t xml:space="preserve">Indica si requiere tiquetes.</t>
  </si>
  <si>
    <t xml:space="preserve">C1095</t>
  </si>
  <si>
    <t xml:space="preserve">estado_solicitud</t>
  </si>
  <si>
    <t xml:space="preserve">idx_solicitudes_estado_obligada, idx_solicitudes_estado_pagada</t>
  </si>
  <si>
    <t xml:space="preserve">Mapeada en travel-expenses-service/src/entities/solicitud-comision.entity.ts:219 (SolicitudComisionEntity.estadoSolicitud)</t>
  </si>
  <si>
    <t xml:space="preserve">Estado de la solicitud en el flujo de trámite. Al crearse queda en RADICADA.</t>
  </si>
  <si>
    <t xml:space="preserve">nombre + defecto RADICADA + índices por estado obligada y pagada</t>
  </si>
  <si>
    <t xml:space="preserve">¿Cuál es la lista completa de estados?</t>
  </si>
  <si>
    <t xml:space="preserve">C1096</t>
  </si>
  <si>
    <t xml:space="preserve">radicado_fuera_jornada</t>
  </si>
  <si>
    <t xml:space="preserve">Mapeada en travel-expenses-service/src/entities/solicitud-comision.entity.ts:228 (SolicitudComisionEntity.radicadoFueraJornada)</t>
  </si>
  <si>
    <t xml:space="preserve">Indica si el registro está radicado fuera jornada.</t>
  </si>
  <si>
    <t xml:space="preserve">C1097</t>
  </si>
  <si>
    <t xml:space="preserve">creado_por_usuario_id</t>
  </si>
  <si>
    <t xml:space="preserve">Mapeada en travel-expenses-service/src/entities/solicitud-comision.entity.ts:272 (SolicitudComisionEntity.creadoPorUsuarioId) | Validación: IsString</t>
  </si>
  <si>
    <t xml:space="preserve">Identificador del usuario que creó la solicitud.</t>
  </si>
  <si>
    <t xml:space="preserve">C1098</t>
  </si>
  <si>
    <t xml:space="preserve">monto_viaticos</t>
  </si>
  <si>
    <t xml:space="preserve">Mapeada en travel-expenses-service/src/entities/solicitud-comision.entity.ts:78 (SolicitudComisionEntity.montoViaticos) | Validación: IsNumber({ maxDecimalPlaces: 2 }), IsOptional, Min(0)</t>
  </si>
  <si>
    <t xml:space="preserve">Valor de los viáticos de la comisión, en pesos colombianos.</t>
  </si>
  <si>
    <t xml:space="preserve">nombre + defecto 0 + columnas de liquidación</t>
  </si>
  <si>
    <t xml:space="preserve">¿Corresponde a la suma de total_pernoctados y total_no_pernoctados?</t>
  </si>
  <si>
    <t xml:space="preserve">C1099</t>
  </si>
  <si>
    <t xml:space="preserve">monto_gastos_viaje</t>
  </si>
  <si>
    <t xml:space="preserve">Mapeada en travel-expenses-service/src/entities/solicitud-comision.entity.ts:87 (SolicitudComisionEntity.montoGastosViaje) | Validación: IsNumber({ maxDecimalPlaces: 2 }), IsOptional, Min(0)</t>
  </si>
  <si>
    <t xml:space="preserve">Valor de los gastos de viaje de la comisión, en pesos colombianos.</t>
  </si>
  <si>
    <t xml:space="preserve">nombre + defecto 0</t>
  </si>
  <si>
    <t xml:space="preserve">¿Qué conceptos incluye (transporte terrestre, tiquetes)?</t>
  </si>
  <si>
    <t xml:space="preserve">C1100</t>
  </si>
  <si>
    <t xml:space="preserve">Mapeada en travel-expenses-service/src/entities/solicitud-comision.entity.ts:231 (SolicitudComisionEntity.extemporanea)</t>
  </si>
  <si>
    <t xml:space="preserve">Indica si aplica: extemporanea.</t>
  </si>
  <si>
    <t xml:space="preserve">C1101</t>
  </si>
  <si>
    <t xml:space="preserve">tipo_comision</t>
  </si>
  <si>
    <t xml:space="preserve">Mapeada en travel-expenses-service/src/entities/solicitud-comision.entity.ts:243 (SolicitudComisionEntity.tipoComision) | Validación: IsIn(['TERRESTRE', 'AEREO', 'MIXTO', 'INTERNACIONAL', 'ACTO_ADMINISTRATIVO']), IsOptional, IsString</t>
  </si>
  <si>
    <t xml:space="preserve">Medio de transporte o tipo de comisión. Valor por defecto: TERRESTRE.</t>
  </si>
  <si>
    <t xml:space="preserve">nombre + defecto TERRESTRE</t>
  </si>
  <si>
    <t xml:space="preserve">¿Qué valores admite (TERRESTRE, AEREA…)?</t>
  </si>
  <si>
    <t xml:space="preserve">C1102</t>
  </si>
  <si>
    <t xml:space="preserve">es_internacional</t>
  </si>
  <si>
    <t xml:space="preserve">Mapeada en travel-expenses-service/src/entities/solicitud-comision.entity.ts:251 (SolicitudComisionEntity.esInternacional) | Validación: IsBoolean, IsOptional</t>
  </si>
  <si>
    <t xml:space="preserve">Indica si aplica: internacional.</t>
  </si>
  <si>
    <t xml:space="preserve">C1103</t>
  </si>
  <si>
    <t xml:space="preserve">id_dependencia</t>
  </si>
  <si>
    <t xml:space="preserve">idx_solicitudes_id_dependencia</t>
  </si>
  <si>
    <t xml:space="preserve">Mapeada en travel-expenses-service/src/entities/solicitud-comision.entity.ts:278 (SolicitudComisionEntity.idDependencia) | Validación: IsNumber, Min(0)</t>
  </si>
  <si>
    <t xml:space="preserve">Identificador de la dependencia que tramita la comisión.</t>
  </si>
  <si>
    <t xml:space="preserve">nombre + tipo bigint + índice</t>
  </si>
  <si>
    <t xml:space="preserve">¿Referencia a qué tabla de dependencias?</t>
  </si>
  <si>
    <t xml:space="preserve">C1104</t>
  </si>
  <si>
    <t xml:space="preserve">enviado_presupuesto</t>
  </si>
  <si>
    <t xml:space="preserve">idx_solicitudes_enviado_presupuesto</t>
  </si>
  <si>
    <t xml:space="preserve">travel-expenses-service/src/entities/solicitud-comision.entity.ts:377: ========== Etapa 7: Presupuesto y RP (RF-PRE-001) ==========</t>
  </si>
  <si>
    <t xml:space="preserve">Indica si la solicitud de comisión se envió a Presupuesto para la expedición del registro presupuestal (etapa 7, RF-PRE-001).</t>
  </si>
  <si>
    <t xml:space="preserve">código: travel-expenses-service/src/entities/solicitud-comision.entity.ts:377 (encabezado de sección)</t>
  </si>
  <si>
    <t xml:space="preserve">¿Se marca al enviar la solicitud a Presupuesto o cuando Presupuesto expide el registro presupuestal?</t>
  </si>
  <si>
    <t xml:space="preserve">C1105</t>
  </si>
  <si>
    <t xml:space="preserve">fecha_envio_presupuesto</t>
  </si>
  <si>
    <t xml:space="preserve">Mapeada en travel-expenses-service/src/entities/solicitud-comision.entity.ts:380 (SolicitudComisionEntity.fechaEnvioPresupuesto)</t>
  </si>
  <si>
    <t xml:space="preserve">Fecha de envio presupuesto.</t>
  </si>
  <si>
    <t xml:space="preserve">C1106</t>
  </si>
  <si>
    <t xml:space="preserve">observaciones_envio_presupuesto</t>
  </si>
  <si>
    <t xml:space="preserve">Mapeada en travel-expenses-service/src/entities/solicitud-comision.entity.ts:390 (SolicitudComisionEntity.observacionesEnvioPresupuesto)</t>
  </si>
  <si>
    <t xml:space="preserve">Observaciones registradas al enviar la solicitud al área de presupuesto.</t>
  </si>
  <si>
    <t xml:space="preserve">nombre + columnas enviado_presupuesto, fecha_envio_presupuesto</t>
  </si>
  <si>
    <t xml:space="preserve">C1107</t>
  </si>
  <si>
    <t xml:space="preserve">numero_rp</t>
  </si>
  <si>
    <t xml:space="preserve">idx_solicitudes_numero_rp</t>
  </si>
  <si>
    <t xml:space="preserve">Mapeada en travel-expenses-service/src/entities/solicitud-comision.entity.ts:393 (SolicitudComisionEntity.numeroRp) | Validación: IsNotEmpty({ message: 'El número de RP es obligatorio.' }), IsOptional, IsString, IsString({ message: 'El número de RP debe ser una cadena de texto.' }), MaxLength(100), MaxLength(50)</t>
  </si>
  <si>
    <t xml:space="preserve">Número del registro presupuestal (RP) de la comisión.</t>
  </si>
  <si>
    <t xml:space="preserve">nombre + columnas fecha_rp, valor_comprometido</t>
  </si>
  <si>
    <t xml:space="preserve">C1108</t>
  </si>
  <si>
    <t xml:space="preserve">fecha_rp</t>
  </si>
  <si>
    <t xml:space="preserve">Mapeada en travel-expenses-service/src/entities/solicitud-comision.entity.ts:396 (SolicitudComisionEntity.fechaRp) | Validación: IsDateString({}, { message: 'La fecha del RP debe cumplir con el formato fecha ISO YYYY-MM-DD.' }), IsNotEmpty({ message: 'La fecha del RP es obligatoria.' }), IsOptional, IsString</t>
  </si>
  <si>
    <t xml:space="preserve">Fecha de rp.</t>
  </si>
  <si>
    <t xml:space="preserve">C1109</t>
  </si>
  <si>
    <t xml:space="preserve">valor_comprometido</t>
  </si>
  <si>
    <t xml:space="preserve">Mapeada en travel-expenses-service/src/entities/solicitud-comision.entity.ts:399 (SolicitudComisionEntity.valorComprometido) | Validación: IsNotEmpty({ message: 'El valor comprometido es obligatorio.' }), IsNumber, IsNumber({}, { message: 'El valor comprometido debe ser un número.' }), IsOptional, IsPositive({ message: 'El valor comprometido debe ser positivo.' }), IsPositive({ message: 'El valor comprometido debe ser un número positivo mayor a 0.' })</t>
  </si>
  <si>
    <t xml:space="preserve">Valor comprometido en el registro presupuestal, en pesos colombianos.</t>
  </si>
  <si>
    <t xml:space="preserve">nombre + columnas numero_rp, rubro_rp</t>
  </si>
  <si>
    <t xml:space="preserve">¿Confirmar la unidad (pesos colombianos)?</t>
  </si>
  <si>
    <t xml:space="preserve">C1110</t>
  </si>
  <si>
    <t xml:space="preserve">rubro_rp</t>
  </si>
  <si>
    <t xml:space="preserve">Mapeada en travel-expenses-service/src/entities/solicitud-comision.entity.ts:408 (SolicitudComisionEntity.rubroRp)</t>
  </si>
  <si>
    <t xml:space="preserve">Rubro presupuestal del registro presupuestal.</t>
  </si>
  <si>
    <t xml:space="preserve">nombre + columna numero_rp</t>
  </si>
  <si>
    <t xml:space="preserve">C1111</t>
  </si>
  <si>
    <t xml:space="preserve">soporte_rp_path</t>
  </si>
  <si>
    <t xml:space="preserve">Mapeada en travel-expenses-service/src/entities/solicitud-comision.entity.ts:411 (SolicitudComisionEntity.soporteRpPath) | Validación: IsOptional, IsString</t>
  </si>
  <si>
    <t xml:space="preserve">Ruta del archivo de soporte del registro presupuestal.</t>
  </si>
  <si>
    <t xml:space="preserve">nombre + sufijo _path</t>
  </si>
  <si>
    <t xml:space="preserve">C1112</t>
  </si>
  <si>
    <t xml:space="preserve">fecha_expedicion_rp</t>
  </si>
  <si>
    <t xml:space="preserve">Mapeada en travel-expenses-service/src/entities/solicitud-comision.entity.ts:424 (SolicitudComisionEntity.fechaExpedicionRp)</t>
  </si>
  <si>
    <t xml:space="preserve">Fecha de expedición rp.</t>
  </si>
  <si>
    <t xml:space="preserve">C1113</t>
  </si>
  <si>
    <t xml:space="preserve">observaciones_rp</t>
  </si>
  <si>
    <t xml:space="preserve">Mapeada en travel-expenses-service/src/entities/solicitud-comision.entity.ts:427 (SolicitudComisionEntity.observacionesRp)</t>
  </si>
  <si>
    <t xml:space="preserve">Observaciones del registro presupuestal.</t>
  </si>
  <si>
    <t xml:space="preserve">C1114</t>
  </si>
  <si>
    <t xml:space="preserve">idx_solicitudes_modalidad_pago</t>
  </si>
  <si>
    <t xml:space="preserve">travel-expenses-service/src/entities/solicitud-comision.entity.ts:431: ========== Etapa 7: Modalidad de Pago (RF-PRE-003) ========== | travel-expenses-service/db/migrations/433_modalidad_pago_etapa7.sql:12: 'AVANCE' o 'RECONOCIMIENTO_POSTERIOR' | Validación: IsIn(['AVANCE', 'RECONOCIMIENTO_POSTERIOR'], {
    message: 'La modalidad de pago debe ser AVANCE o RECONOCIMIENTO_POSTERIOR.',
  }), IsOptional, IsString</t>
  </si>
  <si>
    <t xml:space="preserve">Modalidad de pago de la comisión: AVANCE o RECONOCIMIENTO_POSTERIOR (etapa 7, RF-PRE-003). Por defecto, AVANCE.</t>
  </si>
  <si>
    <t xml:space="preserve">código: travel-expenses-service/db/migrations/433_modalidad_pago_etapa7.sql:12; travel-expenses-service/src/entities/solicitud-comision.entity.ts:431; validaciones DTO</t>
  </si>
  <si>
    <t xml:space="preserve">C1115</t>
  </si>
  <si>
    <t xml:space="preserve">dias_habiles_previos</t>
  </si>
  <si>
    <t xml:space="preserve">idx_solicitudes_dias_habiles_previos</t>
  </si>
  <si>
    <t xml:space="preserve">Mapeada en travel-expenses-service/src/entities/solicitud-comision.entity.ts:434 (SolicitudComisionEntity.diasHabilesPrevios)</t>
  </si>
  <si>
    <t xml:space="preserve">Días hábiles entre la radicación y el inicio de la comisión.</t>
  </si>
  <si>
    <t xml:space="preserve">nombre + defecto 0 + columnas modalidad_pago, fecha_calculo_modalidad</t>
  </si>
  <si>
    <t xml:space="preserve">¿Se calcula automáticamente? ¿Se usa para definir la modalidad de pago?</t>
  </si>
  <si>
    <t xml:space="preserve">C1116</t>
  </si>
  <si>
    <t xml:space="preserve">fecha_calculo_modalidad</t>
  </si>
  <si>
    <t xml:space="preserve">Mapeada en travel-expenses-service/src/entities/solicitud-comision.entity.ts:437 (SolicitudComisionEntity.fechaCalculoModalidad)</t>
  </si>
  <si>
    <t xml:space="preserve">Fecha de calculo modalidad.</t>
  </si>
  <si>
    <t xml:space="preserve">C1117</t>
  </si>
  <si>
    <t xml:space="preserve">numero_obligacion</t>
  </si>
  <si>
    <t xml:space="preserve">idx_solicitudes_numero_obligacion</t>
  </si>
  <si>
    <t xml:space="preserve">travel-expenses-service/src/entities/solicitud-comision.entity.ts:441: ========== Etapa 8: Tesorería y Obligación SIIF (RF-PAG-001) ========== | Validación: IsNotEmpty({ message: 'El número de obligación en SIIF Nación es obligatorio.' }), IsString({ message: 'El número de obligación debe ser una cadena de texto.' }), MaxLength(100, { message: 'El número de obligación no puede superar los 100 caracteres.' })</t>
  </si>
  <si>
    <t xml:space="preserve">Número de la obligación presupuestal de la comisión en SIIF Nación (etapa 8, RF-PAG-001).</t>
  </si>
  <si>
    <t xml:space="preserve">código: travel-expenses-service/src/entities/solicitud-comision.entity.ts:441 (encabezado de sección); validaciones DTO</t>
  </si>
  <si>
    <t xml:space="preserve">C1118</t>
  </si>
  <si>
    <t xml:space="preserve">fecha_obligacion</t>
  </si>
  <si>
    <t xml:space="preserve">Mapeada en travel-expenses-service/src/entities/solicitud-comision.entity.ts:444 (SolicitudComisionEntity.fechaObligacion) | Validación: IsNotEmpty({ message: 'La fecha de la obligación es obligatoria.' })</t>
  </si>
  <si>
    <t xml:space="preserve">Fecha de obligación.</t>
  </si>
  <si>
    <t xml:space="preserve">C1119</t>
  </si>
  <si>
    <t xml:space="preserve">valor_obligacion</t>
  </si>
  <si>
    <t xml:space="preserve">Mapeada en travel-expenses-service/src/entities/solicitud-comision.entity.ts:447 (SolicitudComisionEntity.valorObligacion) | Validación: IsNumber({}, { message: 'El valor de la obligación debe ser numérico.' }), IsPositive({ message: 'El valor de la obligación debe ser un valor positivo mayor a 0.' })</t>
  </si>
  <si>
    <t xml:space="preserve">Valor de la obligación presupuestal, en pesos colombianos.</t>
  </si>
  <si>
    <t xml:space="preserve">nombre + columna numero_obligacion</t>
  </si>
  <si>
    <t xml:space="preserve">C1120</t>
  </si>
  <si>
    <t xml:space="preserve">observaciones_obligacion</t>
  </si>
  <si>
    <t xml:space="preserve">Mapeada en travel-expenses-service/src/entities/solicitud-comision.entity.ts:450 (SolicitudComisionEntity.observacionesObligacion) | Validación: IsOptional, IsString</t>
  </si>
  <si>
    <t xml:space="preserve">Observaciones de la obligación presupuestal.</t>
  </si>
  <si>
    <t xml:space="preserve">C1121</t>
  </si>
  <si>
    <t xml:space="preserve">soporte_obligacion_path</t>
  </si>
  <si>
    <t xml:space="preserve">Mapeada en travel-expenses-service/src/entities/solicitud-comision.entity.ts:453 (SolicitudComisionEntity.soporteObligacionPath) | Validación: IsOptional, IsString, MaxLength(255)</t>
  </si>
  <si>
    <t xml:space="preserve">Ruta del archivo de soporte de la obligación presupuestal.</t>
  </si>
  <si>
    <t xml:space="preserve">C1122</t>
  </si>
  <si>
    <t xml:space="preserve">fecha_registro_obligacion</t>
  </si>
  <si>
    <t xml:space="preserve">Mapeada en travel-expenses-service/src/entities/solicitud-comision.entity.ts:463 (SolicitudComisionEntity.fechaRegistroObligacion)</t>
  </si>
  <si>
    <t xml:space="preserve">Fecha de registro obligación.</t>
  </si>
  <si>
    <t xml:space="preserve">C1123</t>
  </si>
  <si>
    <t xml:space="preserve">notificado_sst</t>
  </si>
  <si>
    <t xml:space="preserve">travel-expenses-service/src/entities/solicitud-comision.entity.ts:493: ========== Etapa 8: Notificación Automática a SST (RF-PAG-002) ==========</t>
  </si>
  <si>
    <t xml:space="preserve">Indica si se envió la notificación automática a Seguridad y Salud en el Trabajo (SST) sobre la comisión (etapa 8, RF-PAG-002).</t>
  </si>
  <si>
    <t xml:space="preserve">código: travel-expenses-service/src/entities/solicitud-comision.entity.ts:493 (encabezado de sección)</t>
  </si>
  <si>
    <t xml:space="preserve">¿Qué información se notifica a SST y en qué momento se marca?</t>
  </si>
  <si>
    <t xml:space="preserve">C1124</t>
  </si>
  <si>
    <t xml:space="preserve">fecha_pago</t>
  </si>
  <si>
    <t xml:space="preserve">idx_solicitudes_fecha_pago</t>
  </si>
  <si>
    <t xml:space="preserve">travel-expenses-service/src/entities/solicitud-comision.entity.ts:467: ========== Etapa 8: Tesorería y Desembolso / Pago (RF-PAG-003) ========== | Validación: IsDateString({}, { message: 'La fecha de pago debe ser una fecha válida en formato YYYY-MM-DD.' }), IsNotEmpty({ message: 'La fecha de pago es obligatoria.' })</t>
  </si>
  <si>
    <t xml:space="preserve">Fecha de pago o desembolso de la comisión por Tesorería (etapa 8, RF-PAG-003).</t>
  </si>
  <si>
    <t xml:space="preserve">código: travel-expenses-service/src/entities/solicitud-comision.entity.ts:467 (encabezado de sección); validaciones DTO</t>
  </si>
  <si>
    <t xml:space="preserve">C1125</t>
  </si>
  <si>
    <t xml:space="preserve">Mapeada en travel-expenses-service/src/entities/solicitud-comision.entity.ts:470 (SolicitudComisionEntity.valorPagado) | Validación: IsNumber({}, { message: 'El valor pagado debe ser numérico.' }), IsPositive({ message: 'El valor pagado debe ser un monto positivo mayor a cero.' })</t>
  </si>
  <si>
    <t xml:space="preserve">Valor pagado al comisionado, en pesos colombianos.</t>
  </si>
  <si>
    <t xml:space="preserve">nombre + columnas fecha_pago, numero_orden_pago</t>
  </si>
  <si>
    <t xml:space="preserve">C1126</t>
  </si>
  <si>
    <t xml:space="preserve">soporte_pago_path</t>
  </si>
  <si>
    <t xml:space="preserve">Mapeada en travel-expenses-service/src/entities/solicitud-comision.entity.ts:473 (SolicitudComisionEntity.soportePagoPath) | Validación: IsOptional, IsString({ message: 'La ruta del soporte de pago debe ser una cadena de texto.' }), MaxLength(255, { message: 'La ruta del soporte no puede superar los 255 caracteres.' })</t>
  </si>
  <si>
    <t xml:space="preserve">Ruta del archivo de soporte del pago.</t>
  </si>
  <si>
    <t xml:space="preserve">C1127</t>
  </si>
  <si>
    <t xml:space="preserve">numero_orden_pago</t>
  </si>
  <si>
    <t xml:space="preserve">idx_solicitudes_numero_orden_pago</t>
  </si>
  <si>
    <t xml:space="preserve">Mapeada en travel-expenses-service/src/entities/solicitud-comision.entity.ts:476 (SolicitudComisionEntity.numeroOrdenPago) | Validación: IsOptional, IsString({ message: 'El número de orden de pago debe ser una cadena de texto.' }), MaxLength(100, { message: 'El número de orden de pago no puede superar los 100 caracteres.' })</t>
  </si>
  <si>
    <t xml:space="preserve">Número de la orden de pago de la comisión.</t>
  </si>
  <si>
    <t xml:space="preserve">nombre + columnas fecha_pago, valor_pagado</t>
  </si>
  <si>
    <t xml:space="preserve">C1128</t>
  </si>
  <si>
    <t xml:space="preserve">observaciones_pago</t>
  </si>
  <si>
    <t xml:space="preserve">Mapeada en travel-expenses-service/src/entities/solicitud-comision.entity.ts:479 (SolicitudComisionEntity.observacionesPago) | Validación: IsOptional, IsString({ message: 'Las observaciones de pago deben ser texto.' })</t>
  </si>
  <si>
    <t xml:space="preserve">Observaciones del pago.</t>
  </si>
  <si>
    <t xml:space="preserve">nombre + columnas de pago</t>
  </si>
  <si>
    <t xml:space="preserve">C1129</t>
  </si>
  <si>
    <t xml:space="preserve">fecha_registro_pago</t>
  </si>
  <si>
    <t xml:space="preserve">Mapeada en travel-expenses-service/src/entities/solicitud-comision.entity.ts:489 (SolicitudComisionEntity.fechaRegistroPago)</t>
  </si>
  <si>
    <t xml:space="preserve">Fecha de registro pago.</t>
  </si>
  <si>
    <t xml:space="preserve">C1130</t>
  </si>
  <si>
    <t xml:space="preserve">dias_pernoctados</t>
  </si>
  <si>
    <t xml:space="preserve">travel-expenses-service/src/entities/solicitud-comision.entity.ts:106: ========== Autoliquidación GF-FO-023 (Decreto 314 de 2026) ========== | Validación: IsNumber({ maxDecimalPlaces: 2 }), IsOptional, Min(0)</t>
  </si>
  <si>
    <t xml:space="preserve">Días de la comisión con pernocta, usados en la autoliquidación del formato GF-FO-023 (Decreto 314 de 2026). Admite decimales.</t>
  </si>
  <si>
    <t xml:space="preserve">código: travel-expenses-service/src/entities/solicitud-comision.entity.ts:106 (encabezado de sección)</t>
  </si>
  <si>
    <t xml:space="preserve">¿Por qué admite decimales: se registran medios días?</t>
  </si>
  <si>
    <t xml:space="preserve">C1131</t>
  </si>
  <si>
    <t xml:space="preserve">tarifa_dia_pernoctado</t>
  </si>
  <si>
    <t xml:space="preserve">Mapeada en travel-expenses-service/src/entities/solicitud-comision.entity.ts:116 (SolicitudComisionEntity.tarifaDiaPernoctado) | Validación: IsNumber({ maxDecimalPlaces: 2 }), IsOptional, Min(0)</t>
  </si>
  <si>
    <t xml:space="preserve">Tarifa diaria aplicada a los días con pernocta, en pesos colombianos.</t>
  </si>
  <si>
    <t xml:space="preserve">nombre + columnas dias_pernoctados, total_pernoctados</t>
  </si>
  <si>
    <t xml:space="preserve">C1132</t>
  </si>
  <si>
    <t xml:space="preserve">total_pernoctados</t>
  </si>
  <si>
    <t xml:space="preserve">Mapeada en travel-expenses-service/src/entities/solicitud-comision.entity.ts:126 (SolicitudComisionEntity.totalPernoctados) | Validación: IsNumber({ maxDecimalPlaces: 2 }), IsOptional, Min(0)</t>
  </si>
  <si>
    <t xml:space="preserve">Valor total de los días con pernocta, en pesos colombianos.</t>
  </si>
  <si>
    <t xml:space="preserve">nombre + columnas dias_pernoctados, tarifa_dia_pernoctado</t>
  </si>
  <si>
    <t xml:space="preserve">¿Se calcula como días por tarifa?</t>
  </si>
  <si>
    <t xml:space="preserve">C1133</t>
  </si>
  <si>
    <t xml:space="preserve">dias_no_pernoctados</t>
  </si>
  <si>
    <t xml:space="preserve">Mapeada en travel-expenses-service/src/entities/solicitud-comision.entity.ts:136 (SolicitudComisionEntity.diasNoPernoctados) | Validación: IsNumber({ maxDecimalPlaces: 2 }), IsOptional, Min(0)</t>
  </si>
  <si>
    <t xml:space="preserve">Días de la comisión sin pernocta.</t>
  </si>
  <si>
    <t xml:space="preserve">nombre + columnas tarifa_dia_no_pernoctado, total_no_pernoctados</t>
  </si>
  <si>
    <t xml:space="preserve">C1134</t>
  </si>
  <si>
    <t xml:space="preserve">tarifa_dia_no_pernoctado</t>
  </si>
  <si>
    <t xml:space="preserve">Mapeada en travel-expenses-service/src/entities/solicitud-comision.entity.ts:146 (SolicitudComisionEntity.tarifaDiaNoPernoctado) | Validación: IsNumber({ maxDecimalPlaces: 2 }), IsOptional, Min(0)</t>
  </si>
  <si>
    <t xml:space="preserve">Tarifa diaria aplicada a los días sin pernocta, en pesos colombianos.</t>
  </si>
  <si>
    <t xml:space="preserve">nombre + columnas dias_no_pernoctados, total_no_pernoctados</t>
  </si>
  <si>
    <t xml:space="preserve">¿Confirmar la unidad y si corresponde a un porcentaje de la tarifa completa?</t>
  </si>
  <si>
    <t xml:space="preserve">C1135</t>
  </si>
  <si>
    <t xml:space="preserve">total_no_pernoctados</t>
  </si>
  <si>
    <t xml:space="preserve">Mapeada en travel-expenses-service/src/entities/solicitud-comision.entity.ts:156 (SolicitudComisionEntity.totalNoPernoctados) | Validación: IsNumber({ maxDecimalPlaces: 2 }), IsOptional, Min(0)</t>
  </si>
  <si>
    <t xml:space="preserve">Valor total de los días sin pernocta, en pesos colombianos.</t>
  </si>
  <si>
    <t xml:space="preserve">nombre + columnas dias_no_pernoctados, tarifa_dia_no_pernoctado</t>
  </si>
  <si>
    <t xml:space="preserve">C1136</t>
  </si>
  <si>
    <t xml:space="preserve">factor_comisionado</t>
  </si>
  <si>
    <t xml:space="preserve">numeric(4,2)</t>
  </si>
  <si>
    <t xml:space="preserve">Mapeada en travel-expenses-service/src/entities/solicitud-comision.entity.ts:166 (SolicitudComisionEntity.factorComisionado) | Validación: IsNumber({ maxDecimalPlaces: 2 }), IsOptional, Min(0)</t>
  </si>
  <si>
    <t xml:space="preserve">Factor multiplicador de la tarifa según el tipo de comisionado.</t>
  </si>
  <si>
    <t xml:space="preserve">nombre + tipo numeric(4,2) + defecto 1.00</t>
  </si>
  <si>
    <t xml:space="preserve">¿De dónde se toma el factor y qué valores toma?</t>
  </si>
  <si>
    <t xml:space="preserve">C1137</t>
  </si>
  <si>
    <t xml:space="preserve">factor_pernocta</t>
  </si>
  <si>
    <t xml:space="preserve">Mapeada en travel-expenses-service/src/entities/solicitud-comision.entity.ts:176 (SolicitudComisionEntity.factorPernocta) | Validación: IsNumber({ maxDecimalPlaces: 2 }), IsOptional, Min(0)</t>
  </si>
  <si>
    <t xml:space="preserve">Factor multiplicador de la tarifa según haya o no pernocta.</t>
  </si>
  <si>
    <t xml:space="preserve">C1138</t>
  </si>
  <si>
    <t xml:space="preserve">tarifa_diaria_base</t>
  </si>
  <si>
    <t xml:space="preserve">Mapeada en travel-expenses-service/src/entities/solicitud-comision.entity.ts:186 (SolicitudComisionEntity.tarifaDiariaBase) | Validación: IsNumber({ maxDecimalPlaces: 2 }), IsOptional, Min(0)</t>
  </si>
  <si>
    <t xml:space="preserve">Tarifa diaria de viáticos tomada de la escala antes de aplicar factores, en pesos colombianos.</t>
  </si>
  <si>
    <t xml:space="preserve">nombre + columnas factor_*, tarifa_final_aplicada_dia, escalas_viaticos</t>
  </si>
  <si>
    <t xml:space="preserve">¿Se toma de escalas_viaticos, tarifas_investigadores o tarifas_regionales_excepcion?</t>
  </si>
  <si>
    <t xml:space="preserve">C1139</t>
  </si>
  <si>
    <t xml:space="preserve">tarifa_final_aplicada_dia</t>
  </si>
  <si>
    <t xml:space="preserve">Mapeada en travel-expenses-service/src/entities/solicitud-comision.entity.ts:196 (SolicitudComisionEntity.tarifaFinalAplicadaDia) | Validación: IsNumber({ maxDecimalPlaces: 2 }), IsOptional, Min(0)</t>
  </si>
  <si>
    <t xml:space="preserve">Tarifa diaria final aplicada después de los factores, en pesos colombianos.</t>
  </si>
  <si>
    <t xml:space="preserve">nombre + columnas tarifa_diaria_base, factor_*</t>
  </si>
  <si>
    <t xml:space="preserve">¿Se calcula como tarifa base por los factores?</t>
  </si>
  <si>
    <t xml:space="preserve">C1140</t>
  </si>
  <si>
    <t xml:space="preserve">salario_base_aplicado</t>
  </si>
  <si>
    <t xml:space="preserve">Mapeada en travel-expenses-service/src/entities/solicitud-comision.entity.ts:206 (SolicitudComisionEntity.salarioBaseAplicado) | Validación: IsNumber({ maxDecimalPlaces: 2 }), IsOptional, Min(0)</t>
  </si>
  <si>
    <t xml:space="preserve">Salario base usado para ubicar la escala de viáticos, en pesos colombianos.</t>
  </si>
  <si>
    <t xml:space="preserve">nombre + columnas salario_basico, decreto_aplicado</t>
  </si>
  <si>
    <t xml:space="preserve">¿En qué se diferencia de salario_basico?</t>
  </si>
  <si>
    <t xml:space="preserve">C1141</t>
  </si>
  <si>
    <t xml:space="preserve">decreto_aplicado</t>
  </si>
  <si>
    <t xml:space="preserve">Mapeada en travel-expenses-service/src/entities/solicitud-comision.entity.ts:216 (SolicitudComisionEntity.decretoAplicado) | Validación: IsOptional, IsString, Length(0, 100)</t>
  </si>
  <si>
    <t xml:space="preserve">Decreto de escala de viáticos aplicado en la liquidación. Valor por defecto: Decreto 314 de 2026.</t>
  </si>
  <si>
    <t xml:space="preserve">nombre + defecto 'Decreto 314 de 2026' + escalas_viaticos.decreto_vigente</t>
  </si>
  <si>
    <t xml:space="preserve">C1142</t>
  </si>
  <si>
    <t xml:space="preserve">numero_cdp</t>
  </si>
  <si>
    <t xml:space="preserve">Mapeada en travel-expenses-service/src/entities/solicitud-comision.entity.ts:69 (SolicitudComisionEntity.numeroCdp) | Validación: IsOptional, IsString, Length(0, 100)</t>
  </si>
  <si>
    <t xml:space="preserve">Número del certificado de disponibilidad presupuestal (CDP).</t>
  </si>
  <si>
    <t xml:space="preserve">nombre + columna fecha_cdp</t>
  </si>
  <si>
    <t xml:space="preserve">C1143</t>
  </si>
  <si>
    <t xml:space="preserve">fecha_cdp</t>
  </si>
  <si>
    <t xml:space="preserve">Mapeada en travel-expenses-service/src/entities/solicitud-comision.entity.ts:72 (SolicitudComisionEntity.fechaCdp) | Validación: IsOptional, IsString, Length(0, 50)</t>
  </si>
  <si>
    <t xml:space="preserve">Fecha del certificado de disponibilidad presupuestal (CDP), guardada como texto.</t>
  </si>
  <si>
    <t xml:space="preserve">¿Qué formato de fecha se guarda? ¿Por qué no es tipo date?</t>
  </si>
  <si>
    <t xml:space="preserve">C1144</t>
  </si>
  <si>
    <t xml:space="preserve">solicitudes_historial_estados</t>
  </si>
  <si>
    <t xml:space="preserve">travel-expenses-service/src/entities/solicitud-historial-estado.entity.ts:47: Estado previo a la transición (NULL cuando es la primera acción sobre el expediente). Ej: `RADICADA`. | travel-expenses-service/db/migrations/016_historial_estados_trazabilidad.sql:31: Estado previo a la transición (NULL cuando es la primera acción).</t>
  </si>
  <si>
    <t xml:space="preserve">Estado del expediente de comisión antes de la transición (por ejemplo, RADICADA). Nulo cuando es la primera acción sobre el expediente.</t>
  </si>
  <si>
    <t xml:space="preserve">código: travel-expenses-service/src/entities/solicitud-historial-estado.entity.ts:47; travel-expenses-service/db/migrations/016_historial_estados_trazabilidad.sql:31</t>
  </si>
  <si>
    <t xml:space="preserve">C1145</t>
  </si>
  <si>
    <t xml:space="preserve">travel-expenses-service/src/entities/solicitud-historial-estado.entity.ts:63: ID del usuario que ejecutó la acción (Enlace de Dependencia / Analista). | travel-expenses-service/db/migrations/016_historial_estados_trazabilidad.sql:35: ID del usuario que ejecuta la acción (Enlace de Dependencia / Analista).</t>
  </si>
  <si>
    <t xml:space="preserve">Identificador del usuario que ejecutó la transición de estado (Enlace de Dependencia o Analista).</t>
  </si>
  <si>
    <t xml:space="preserve">código: travel-expenses-service/src/entities/solicitud-historial-estado.entity.ts:63; travel-expenses-service/db/migrations/016_historial_estados_trazabilidad.sql:35</t>
  </si>
  <si>
    <t xml:space="preserve">¿Referencia a auth."user".id_user?</t>
  </si>
  <si>
    <t xml:space="preserve">C1146</t>
  </si>
  <si>
    <t xml:space="preserve">travel-expenses-service/src/entities/solicitud-historial-estado.entity.ts:67: Justificación u observación de la transición. | travel-expenses-service/db/migrations/016_historial_estados_trazabilidad.sql:37: Justificación u observación de la transición (opcional, máx. 255). | Validación: IsOptional, IsString, Length(1, 1000)</t>
  </si>
  <si>
    <t xml:space="preserve">Justificación u observación de la transición de estado. Opcional, de hasta 255 caracteres.</t>
  </si>
  <si>
    <t xml:space="preserve">código: travel-expenses-service/src/entities/solicitud-historial-estado.entity.ts:67; travel-expenses-service/db/migrations/016_historial_estados_trazabilidad.sql:37</t>
  </si>
  <si>
    <t xml:space="preserve">C1147</t>
  </si>
  <si>
    <t xml:space="preserve">tarifas_investigadores</t>
  </si>
  <si>
    <t xml:space="preserve">categoria_investigador</t>
  </si>
  <si>
    <t xml:space="preserve">idx_tarifas_investigadores_categoria, tarifas_investigadores_categoria_investigador_key</t>
  </si>
  <si>
    <t xml:space="preserve">Mapeada en travel-expenses-service/src/entities/liquidation/tarifa-investigador.entity.ts:22 (TarifaInvestigadorEntity.categoriaInvestigador) | Validación: IsEnum(CategoriaInvestigador), IsOptional, IsString, Length(1, 50)</t>
  </si>
  <si>
    <t xml:space="preserve">Categoría del investigador a la que aplica la tarifa. Es única.</t>
  </si>
  <si>
    <t xml:space="preserve">¿Qué categorías se usan (por ejemplo, las de Minciencias)?</t>
  </si>
  <si>
    <t xml:space="preserve">C1148</t>
  </si>
  <si>
    <t xml:space="preserve">Mapeada en travel-expenses-service/src/entities/liquidation/tarifa-investigador.entity.ts:30 (TarifaInvestigadorEntity.tarifaDiaria) | Validación: IsNumber, IsOptional, Min(0)</t>
  </si>
  <si>
    <t xml:space="preserve">Valor diario de viáticos para la categoría de investigador, en pesos colombianos.</t>
  </si>
  <si>
    <t xml:space="preserve">nombre + tipo numeric</t>
  </si>
  <si>
    <t xml:space="preserve">C1149</t>
  </si>
  <si>
    <t xml:space="preserve">idx_tarifas_investigadores_activo</t>
  </si>
  <si>
    <t xml:space="preserve">Mapeada en travel-expenses-service/src/entities/liquidation/tarifa-investigador.entity.ts:33 (TarifaInvestigadorEntity.activo) | Validación: IsBoolean, IsOptional</t>
  </si>
  <si>
    <t xml:space="preserve">C1150</t>
  </si>
  <si>
    <t xml:space="preserve">tarifas_referencia_tiquetes</t>
  </si>
  <si>
    <t xml:space="preserve">idx_tarifas_ref_ciudades</t>
  </si>
  <si>
    <t xml:space="preserve">Mapeada en travel-expenses-service/src/entities/tickets/tarifa-referencia-tiquete.entity.ts:30 (TarifaReferenciaTiqueteEntity.origenCiudad) | Validación: IsOptional, IsString, Length(1, 100)</t>
  </si>
  <si>
    <t xml:space="preserve">Ciudad de origen de la ruta.</t>
  </si>
  <si>
    <t xml:space="preserve">nombre + índice con destino_ciudad</t>
  </si>
  <si>
    <t xml:space="preserve">C1151</t>
  </si>
  <si>
    <t xml:space="preserve">Mapeada en travel-expenses-service/src/entities/tickets/tarifa-referencia-tiquete.entity.ts:33 (TarifaReferenciaTiqueteEntity.destinoCiudad) | Validación: IsOptional, IsString, Length(0, 100), Length(1, 100)</t>
  </si>
  <si>
    <t xml:space="preserve">Ciudad de destino de la ruta.</t>
  </si>
  <si>
    <t xml:space="preserve">nombre + índice con origen_ciudad</t>
  </si>
  <si>
    <t xml:space="preserve">C1152</t>
  </si>
  <si>
    <t xml:space="preserve">origen_iata</t>
  </si>
  <si>
    <t xml:space="preserve">idx_tarifas_ref_iatas, uq_tarifas_referencia_ruta</t>
  </si>
  <si>
    <t xml:space="preserve">Mapeada en travel-expenses-service/src/entities/tickets/tarifa-referencia-tiquete.entity.ts:36 (TarifaReferenciaTiqueteEntity.origenIata) | Validación: IsOptional, IsString, Length(2, 10)</t>
  </si>
  <si>
    <t xml:space="preserve">Código IATA del aeropuerto de origen.</t>
  </si>
  <si>
    <t xml:space="preserve">nombre + índice único de ruta</t>
  </si>
  <si>
    <t xml:space="preserve">C1153</t>
  </si>
  <si>
    <t xml:space="preserve">destino_iata</t>
  </si>
  <si>
    <t xml:space="preserve">Mapeada en travel-expenses-service/src/entities/tickets/tarifa-referencia-tiquete.entity.ts:39 (TarifaReferenciaTiqueteEntity.destinoIata) | Validación: IsOptional, IsString, Length(2, 10)</t>
  </si>
  <si>
    <t xml:space="preserve">Código IATA del aeropuerto de destino.</t>
  </si>
  <si>
    <t xml:space="preserve">C1154</t>
  </si>
  <si>
    <t xml:space="preserve">tarifa_estimada</t>
  </si>
  <si>
    <t xml:space="preserve">Mapeada en travel-expenses-service/src/entities/tickets/tarifa-referencia-tiquete.entity.ts:42 (TarifaReferenciaTiqueteEntity.tarifaEstimada) | Validación: IsNumber({ maxDecimalPlaces: 2 }), IsOptional, Min(0)</t>
  </si>
  <si>
    <t xml:space="preserve">Tarifa estimada del tiquete para la ruta, en pesos colombianos.</t>
  </si>
  <si>
    <t xml:space="preserve">nombre + columnas tarifa_minima, tarifa_maxima</t>
  </si>
  <si>
    <t xml:space="preserve">¿Es tarifa de ida o de ida y regreso?</t>
  </si>
  <si>
    <t xml:space="preserve">C1155</t>
  </si>
  <si>
    <t xml:space="preserve">tarifa_minima</t>
  </si>
  <si>
    <t xml:space="preserve">Mapeada en travel-expenses-service/src/entities/tickets/tarifa-referencia-tiquete.entity.ts:51 (TarifaReferenciaTiqueteEntity.tarifaMinima) | Validación: IsNumber({ maxDecimalPlaces: 2 }), IsOptional, Min(0)</t>
  </si>
  <si>
    <t xml:space="preserve">Tarifa mínima de referencia del tiquete para la ruta, en pesos colombianos.</t>
  </si>
  <si>
    <t xml:space="preserve">nombre + columna tarifa_estimada</t>
  </si>
  <si>
    <t xml:space="preserve">C1156</t>
  </si>
  <si>
    <t xml:space="preserve">tarifa_maxima</t>
  </si>
  <si>
    <t xml:space="preserve">Mapeada en travel-expenses-service/src/entities/tickets/tarifa-referencia-tiquete.entity.ts:60 (TarifaReferenciaTiqueteEntity.tarifaMaxima) | Validación: IsNumber({ maxDecimalPlaces: 2 }), IsOptional, Min(0)</t>
  </si>
  <si>
    <t xml:space="preserve">Tarifa máxima de referencia del tiquete para la ruta, en pesos colombianos.</t>
  </si>
  <si>
    <t xml:space="preserve">C1157</t>
  </si>
  <si>
    <t xml:space="preserve">fuente</t>
  </si>
  <si>
    <t xml:space="preserve">Mapeada en travel-expenses-service/src/entities/tickets/tarifa-referencia-tiquete.entity.ts:69 (TarifaReferenciaTiqueteEntity.fuente) | Validación: IsOptional, IsString, MaxLength(50)</t>
  </si>
  <si>
    <t xml:space="preserve">Fuente de la tarifa de referencia. Valor por defecto: PARAMETRICO_ESAP.</t>
  </si>
  <si>
    <t xml:space="preserve">nombre + defecto PARAMETRICO_ESAP</t>
  </si>
  <si>
    <t xml:space="preserve">¿Qué otras fuentes existen?</t>
  </si>
  <si>
    <t xml:space="preserve">C1158</t>
  </si>
  <si>
    <t xml:space="preserve">Mapeada en travel-expenses-service/src/entities/tickets/tarifa-referencia-tiquete.entity.ts:77 (TarifaReferenciaTiqueteEntity.notas) | Validación: IsOptional, IsString, MaxLength(255)</t>
  </si>
  <si>
    <t xml:space="preserve">Notas sobre la tarifa de referencia.</t>
  </si>
  <si>
    <t xml:space="preserve">C1159</t>
  </si>
  <si>
    <t xml:space="preserve">ultima_actualizacion</t>
  </si>
  <si>
    <t xml:space="preserve">Mapeada en travel-expenses-service/src/entities/tickets/tarifa-referencia-tiquete.entity.ts:85 (TarifaReferenciaTiqueteEntity.ultimaActualizacion)</t>
  </si>
  <si>
    <t xml:space="preserve">Fecha y hora de la última actualización de la tarifa.</t>
  </si>
  <si>
    <t xml:space="preserve">nombre + defecto now() + columna actualizado_en</t>
  </si>
  <si>
    <t xml:space="preserve">¿En qué se diferencia de actualizado_en?</t>
  </si>
  <si>
    <t xml:space="preserve">C1160</t>
  </si>
  <si>
    <t xml:space="preserve">idx_tarifas_ref_activo</t>
  </si>
  <si>
    <t xml:space="preserve">Mapeada en travel-expenses-service/src/entities/tickets/tarifa-referencia-tiquete.entity.ts:92 (TarifaReferenciaTiqueteEntity.activo) | Validación: IsBoolean, IsOptional</t>
  </si>
  <si>
    <t xml:space="preserve">C1161</t>
  </si>
  <si>
    <t xml:space="preserve">tarifas_regionales_excepcion</t>
  </si>
  <si>
    <t xml:space="preserve">idx_tarifas_regionales_excepcion_depto, tarifas_regionales_excepcion_departamento_key</t>
  </si>
  <si>
    <t xml:space="preserve">Mapeada en travel-expenses-service/src/entities/liquidation/tarifa-regional-excepcion.entity.ts:22 (TarifaRegionalExcepcionEntity.departamento) | Validación: IsOptional, IsString, Length(1, 100), MaxLength(100)</t>
  </si>
  <si>
    <t xml:space="preserve">Departamento al que aplica la tarifa de excepción. Es único.</t>
  </si>
  <si>
    <t xml:space="preserve">C1162</t>
  </si>
  <si>
    <t xml:space="preserve">es_nuevo_departamento</t>
  </si>
  <si>
    <t xml:space="preserve">Mapeada en travel-expenses-service/src/entities/liquidation/tarifa-regional-excepcion.entity.ts:25 (TarifaRegionalExcepcionEntity.esNuevoDepartamento) | Validación: IsBoolean, IsOptional</t>
  </si>
  <si>
    <t xml:space="preserve">Indica si aplica: nuevo departamento.</t>
  </si>
  <si>
    <t xml:space="preserve">C1163</t>
  </si>
  <si>
    <t xml:space="preserve">Mapeada en travel-expenses-service/src/entities/liquidation/tarifa-regional-excepcion.entity.ts:28 (TarifaRegionalExcepcionEntity.tarifaDiaria) | Validación: IsNumber, IsOptional, Min(0)</t>
  </si>
  <si>
    <t xml:space="preserve">Valor diario de viáticos de excepción para el departamento, en pesos colombianos.</t>
  </si>
  <si>
    <t xml:space="preserve">¿Reemplaza o se suma a la tarifa de la escala?</t>
  </si>
  <si>
    <t xml:space="preserve">C1164</t>
  </si>
  <si>
    <t xml:space="preserve">decreto_referencia</t>
  </si>
  <si>
    <t xml:space="preserve">Mapeada en travel-expenses-service/src/entities/liquidation/tarifa-regional-excepcion.entity.ts:31 (TarifaRegionalExcepcionEntity.decretoReferencia) | Validación: IsOptional, IsString, Length(0, 100)</t>
  </si>
  <si>
    <t xml:space="preserve">Decreto que establece la tarifa de excepción.</t>
  </si>
  <si>
    <t xml:space="preserve">C1165</t>
  </si>
  <si>
    <t xml:space="preserve">Mapeada en travel-expenses-service/src/entities/liquidation/tarifa-regional-excepcion.entity.ts:39 (TarifaRegionalExcepcionEntity.activo) | Validación: IsBoolean, IsOptional</t>
  </si>
  <si>
    <t xml:space="preserve">C1166</t>
  </si>
  <si>
    <t xml:space="preserve">tarifas_transporte_terminal</t>
  </si>
  <si>
    <t xml:space="preserve">idx_tarifas_transporte_terminal_departamento</t>
  </si>
  <si>
    <t xml:space="preserve">Mapeada en travel-expenses-service/src/entities/liquidation/tarifa-transporte-terminal.entity.ts:22 (TarifaTransporteTerminalEntity.departamento) | Validación: IsOptional, IsString, Length(1, 100), MaxLength(100)</t>
  </si>
  <si>
    <t xml:space="preserve">Nombre del departamento al que aplica la tarifa de transporte.</t>
  </si>
  <si>
    <t xml:space="preserve">nombre + índice + columna departamento_id</t>
  </si>
  <si>
    <t xml:space="preserve">C1167</t>
  </si>
  <si>
    <t xml:space="preserve">departamento_id</t>
  </si>
  <si>
    <t xml:space="preserve">idx_tarifas_transporte_terminal_depto_id</t>
  </si>
  <si>
    <t xml:space="preserve">Mapeada en travel-expenses-service/src/entities/liquidation/tarifa-transporte-terminal.entity.ts:25 (TarifaTransporteTerminalEntity.departamentoId) | Validación: IsNumber, IsOptional</t>
  </si>
  <si>
    <t xml:space="preserve">Identificador del departamento.</t>
  </si>
  <si>
    <t xml:space="preserve">¿Referencia a qué tabla o codificación (DANE)?</t>
  </si>
  <si>
    <t xml:space="preserve">C1168</t>
  </si>
  <si>
    <t xml:space="preserve">ciudad</t>
  </si>
  <si>
    <t xml:space="preserve">Mapeada en travel-expenses-service/src/entities/liquidation/tarifa-transporte-terminal.entity.ts:28 (TarifaTransporteTerminalEntity.ciudad) | Validación: IsOptional, IsString, MaxLength(100)</t>
  </si>
  <si>
    <t xml:space="preserve">Ciudad a la que aplica la tarifa de transporte.</t>
  </si>
  <si>
    <t xml:space="preserve">C1169</t>
  </si>
  <si>
    <t xml:space="preserve">ciudad_aeropuerto</t>
  </si>
  <si>
    <t xml:space="preserve">Mapeada en travel-expenses-service/src/entities/liquidation/tarifa-transporte-terminal.entity.ts:31 (TarifaTransporteTerminalEntity.ciudadAeropuerto) | Validación: IsOptional, IsString, MaxLength(150)</t>
  </si>
  <si>
    <t xml:space="preserve">Ciudad o aeropuerto de llegada o salida del trayecto a la terminal.</t>
  </si>
  <si>
    <t xml:space="preserve">¿Guarda el nombre del aeropuerto o de la ciudad donde está?</t>
  </si>
  <si>
    <t xml:space="preserve">C1170</t>
  </si>
  <si>
    <t xml:space="preserve">valor_maximo</t>
  </si>
  <si>
    <t xml:space="preserve">Mapeada en travel-expenses-service/src/entities/liquidation/tarifa-transporte-terminal.entity.ts:34 (TarifaTransporteTerminalEntity.valorMaximo) | Validación: IsNumber({ maxDecimalPlaces: 2 }), IsOptional, Min(0)</t>
  </si>
  <si>
    <t xml:space="preserve">Valor máximo reconocido por transporte a la terminal o aeropuerto, en pesos colombianos.</t>
  </si>
  <si>
    <t xml:space="preserve">nombre + tabla tarifas_transporte_terminal</t>
  </si>
  <si>
    <t xml:space="preserve">¿Es por trayecto o ida y regreso?</t>
  </si>
  <si>
    <t xml:space="preserve">C1171</t>
  </si>
  <si>
    <t xml:space="preserve">Mapeada en travel-expenses-service/src/entities/liquidation/tarifa-transporte-terminal.entity.ts:42 (TarifaTransporteTerminalEntity.activo) | Validación: IsBoolean, IsOptional</t>
  </si>
  <si>
    <t xml:space="preserve">C1172</t>
  </si>
  <si>
    <t xml:space="preserve">tipos_documento_soporte</t>
  </si>
  <si>
    <t xml:space="preserve">idx_tipos_documento_soporte_codigo, tipos_documento_soporte_codigo_key</t>
  </si>
  <si>
    <t xml:space="preserve">Mapeada en travel-expenses-service/src/entities/config/tipo-documento-soporte.entity.ts:16 (TipoDocumentoSoporteEntity.codigo) | Validación: IsNotEmpty, IsString</t>
  </si>
  <si>
    <t xml:space="preserve">Código del registro de tipos_documento_soporte. Único en la tabla.</t>
  </si>
  <si>
    <t xml:space="preserve">C1173</t>
  </si>
  <si>
    <t xml:space="preserve">Mapeada en travel-expenses-service/src/entities/config/tipo-documento-soporte.entity.ts:19 (TipoDocumentoSoporteEntity.nombre) | Validación: IsNotEmpty, IsOptional, IsString, Length(2, 100)</t>
  </si>
  <si>
    <t xml:space="preserve">Nombre del registro de tipos_documento_soporte.</t>
  </si>
  <si>
    <t xml:space="preserve">C1174</t>
  </si>
  <si>
    <t xml:space="preserve">Mapeada en travel-expenses-service/src/entities/config/tipo-documento-soporte.entity.ts:22 (TipoDocumentoSoporteEntity.descripcion) | Validación: IsOptional, IsString, Length(0, 255)</t>
  </si>
  <si>
    <t xml:space="preserve">Descripción del registro de tipos_documento_soporte.</t>
  </si>
  <si>
    <t xml:space="preserve">C1175</t>
  </si>
  <si>
    <t xml:space="preserve">Mapeada en travel-expenses-service/src/entities/config/tipo-documento-soporte.entity.ts:31 (TipoDocumentoSoporteEntity.activo) | Validación: IsBoolean, IsOptional</t>
  </si>
  <si>
    <t xml:space="preserve">C1176</t>
  </si>
  <si>
    <t xml:space="preserve">instrucciones_validacion</t>
  </si>
  <si>
    <t xml:space="preserve">Mapeada en travel-expenses-service/src/entities/config/tipo-documento-soporte.entity.ts:25 (TipoDocumentoSoporteEntity.instruccionesValidacion) | Validación: IsOptional, IsString</t>
  </si>
  <si>
    <t xml:space="preserve">Instrucciones para validar el documento de soporte.</t>
  </si>
  <si>
    <t xml:space="preserve">nombre + tipo text + columna campos_a_validar</t>
  </si>
  <si>
    <t xml:space="preserve">¿Las usa el revisor o un proceso automático?</t>
  </si>
  <si>
    <t xml:space="preserve">C1177</t>
  </si>
  <si>
    <t xml:space="preserve">campos_a_validar</t>
  </si>
  <si>
    <t xml:space="preserve">Mapeada en travel-expenses-service/src/entities/config/tipo-documento-soporte.entity.ts:28 (TipoDocumentoSoporteEntity.camposAValidar) | Validación: IsArray, IsOptional</t>
  </si>
  <si>
    <t xml:space="preserve">Lista de campos que deben validarse en el documento, en formato JSON.</t>
  </si>
  <si>
    <t xml:space="preserve">¿Qué estructura tiene la lista?</t>
  </si>
  <si>
    <t xml:space="preserve">C1178</t>
  </si>
  <si>
    <t xml:space="preserve">conversacion</t>
  </si>
  <si>
    <t xml:space="preserve">idx_chatbot_conversacion_usuario</t>
  </si>
  <si>
    <t xml:space="preserve">Mapeada en chatbot-service/src/modules/chat/entities/conversacion.entity.ts:16 (Conversacion.usuarioId) | Validación: IsOptional, IsUUID</t>
  </si>
  <si>
    <t xml:space="preserve">Identificador del usuario que inició la conversación con el asistente virtual.</t>
  </si>
  <si>
    <t xml:space="preserve">nombre + uuid + índice idx_chatbot_conversacion_usuario</t>
  </si>
  <si>
    <t xml:space="preserve">¿Corresponde al id de auth."user" o a auth.personas?</t>
  </si>
  <si>
    <t xml:space="preserve">C1179</t>
  </si>
  <si>
    <t xml:space="preserve">usuario_email</t>
  </si>
  <si>
    <t xml:space="preserve">idx_chatbot_conversacion_email</t>
  </si>
  <si>
    <t xml:space="preserve">Mapeada en chatbot-service/src/modules/chat/entities/conversacion.entity.ts:19 (Conversacion.usuarioEmail) | Validación: IsOptional, IsString</t>
  </si>
  <si>
    <t xml:space="preserve">Correo electrónico del usuario de la conversación.</t>
  </si>
  <si>
    <t xml:space="preserve">nombre + varchar(255) + índice</t>
  </si>
  <si>
    <t xml:space="preserve">C1180</t>
  </si>
  <si>
    <t xml:space="preserve">Mapeada en chatbot-service/src/modules/chat/entities/conversacion.entity.ts:22 (Conversacion.usuarioNombre) | Validación: IsOptional, IsString</t>
  </si>
  <si>
    <t xml:space="preserve">Nombre del usuario de la conversación.</t>
  </si>
  <si>
    <t xml:space="preserve">C1181</t>
  </si>
  <si>
    <t xml:space="preserve">titulo</t>
  </si>
  <si>
    <t xml:space="preserve">Mapeada en chatbot-service/src/modules/chat/entities/conversacion.entity.ts:25 (Conversacion.titulo) | Validación: IsOptional, IsString</t>
  </si>
  <si>
    <t xml:space="preserve">Título de la conversación. Valor inicial: «Nueva conversación».</t>
  </si>
  <si>
    <t xml:space="preserve">nombre + defecto 'Nueva conversación'</t>
  </si>
  <si>
    <t xml:space="preserve">C1182</t>
  </si>
  <si>
    <t xml:space="preserve">Mapeada en chatbot-service/src/modules/chat/entities/conversacion.entity.ts:28 (Conversacion.contexto) | Validación: IsOptional, IsString</t>
  </si>
  <si>
    <t xml:space="preserve">Contexto o tema de la conversación con el asistente virtual. Valor inicial: general.</t>
  </si>
  <si>
    <t xml:space="preserve">nombre + varchar(100) con defecto 'general'</t>
  </si>
  <si>
    <t xml:space="preserve">¿Cuáles son los contextos posibles y se relacionan con chatbot.prompt_template?</t>
  </si>
  <si>
    <t xml:space="preserve">C1183</t>
  </si>
  <si>
    <t xml:space="preserve">metadatos</t>
  </si>
  <si>
    <t xml:space="preserve">Mapeada en chatbot-service/src/modules/chat/entities/conversacion.entity.ts:31 (Conversacion.metadatos) | Validación: IsOptional</t>
  </si>
  <si>
    <t xml:space="preserve">Metadatos adicionales en formato JSON.</t>
  </si>
  <si>
    <t xml:space="preserve">C1184</t>
  </si>
  <si>
    <t xml:space="preserve">Mapeada en chatbot-service/src/modules/chat/entities/conversacion.entity.ts:34 (Conversacion.isActivo)</t>
  </si>
  <si>
    <t xml:space="preserve">C1185</t>
  </si>
  <si>
    <t xml:space="preserve">assistant, system, user</t>
  </si>
  <si>
    <t xml:space="preserve">Mapeada en chatbot-service/src/modules/chat/entities/mensaje.entity.ts:25 (Mensaje.rol) | Validación: IsIn(['user', 'assistant', 'system']), IsOptional</t>
  </si>
  <si>
    <t xml:space="preserve">Autor del mensaje dentro de la conversación. Valores permitidos: assistant, system, user.</t>
  </si>
  <si>
    <t xml:space="preserve">C1186</t>
  </si>
  <si>
    <t xml:space="preserve">Mapeada en chatbot-service/src/modules/chat/entities/mensaje.entity.ts:28 (Mensaje.contenido) | Validación: IsNotEmpty, IsString</t>
  </si>
  <si>
    <t xml:space="preserve">Texto del mensaje.</t>
  </si>
  <si>
    <t xml:space="preserve">nombre + text not null</t>
  </si>
  <si>
    <t xml:space="preserve">C1187</t>
  </si>
  <si>
    <t xml:space="preserve">tokens</t>
  </si>
  <si>
    <t xml:space="preserve">Mapeada en chatbot-service/src/modules/chat/entities/mensaje.entity.ts:31 (Mensaje.tokens)</t>
  </si>
  <si>
    <t xml:space="preserve">Número de tokens del mensaje, según el modelo de lenguaje.</t>
  </si>
  <si>
    <t xml:space="preserve">nombre + integer con defecto 0 + contexto de asistente virtual</t>
  </si>
  <si>
    <t xml:space="preserve">¿Cuenta los tokens del mensaje o el consumo total de la llamada al modelo?</t>
  </si>
  <si>
    <t xml:space="preserve">C1188</t>
  </si>
  <si>
    <t xml:space="preserve">Mapeada en chatbot-service/src/modules/chat/entities/mensaje.entity.ts:34 (Mensaje.metadatos) | Validación: IsOptional</t>
  </si>
  <si>
    <t xml:space="preserve">C1189</t>
  </si>
  <si>
    <t xml:space="preserve">prompt_template</t>
  </si>
  <si>
    <t xml:space="preserve">prompt_template_codigo_key</t>
  </si>
  <si>
    <t xml:space="preserve">Código del registro de prompt_template. Único en la tabla.</t>
  </si>
  <si>
    <t xml:space="preserve">C1190</t>
  </si>
  <si>
    <t xml:space="preserve">Nombre del registro de prompt_template.</t>
  </si>
  <si>
    <t xml:space="preserve">C1191</t>
  </si>
  <si>
    <t xml:space="preserve">Descripción del registro de prompt_template.</t>
  </si>
  <si>
    <t xml:space="preserve">C1192</t>
  </si>
  <si>
    <t xml:space="preserve">system_prompt</t>
  </si>
  <si>
    <t xml:space="preserve">Texto de instrucciones de sistema (system prompt) que se envía al modelo de lenguaje con esta plantilla.</t>
  </si>
  <si>
    <t xml:space="preserve">nombre + text not null + tabla de plantillas</t>
  </si>
  <si>
    <t xml:space="preserve">C1193</t>
  </si>
  <si>
    <t xml:space="preserve">Objeto</t>
  </si>
  <si>
    <t xml:space="preserve">Tipo de objeto</t>
  </si>
  <si>
    <t xml:space="preserve">Líneas donde aparece la columna</t>
  </si>
  <si>
    <t xml:space="preserve">academic-schedule.reapuntar_grupos_por_equivalencia</t>
  </si>
  <si>
    <t xml:space="preserve">Función</t>
  </si>
  <si>
    <t xml:space="preserve">JOIN academic_work_plan.periodo_academico pa    ON pa.codigo = e.codigo_periodo_academico</t>
  </si>
  <si>
    <t xml:space="preserve">tipo_oferta          = e.tipo_oferta,</t>
  </si>
  <si>
    <t xml:space="preserve">academic-schedule.fn_propagar_docente_a_franjas</t>
  </si>
  <si>
    <t xml:space="preserve">SET id_docente = NEW.id_docente</t>
  </si>
  <si>
    <t xml:space="preserve">JOIN "academic-schedule".equivalencia_periodo e ON e.codigo_programacion = pp.codigo
JOIN academic_work_plan.periodo_academico pa    ON pa.codigo = e.codigo_periodo_academico</t>
  </si>
  <si>
    <t xml:space="preserve">academic_work_plan.prevent_rund_document_change</t>
  </si>
  <si>
    <t xml:space="preserve">AND s.estado = 'PENDIENTE'
AND j.estado = 'COMPLETADO'
AND doc.estado = 'ACTIVO'</t>
  </si>
  <si>
    <t xml:space="preserve">JOIN academic_work_plan."Docente" d ON d.id::text = j.docente_id::text</t>
  </si>
  <si>
    <t xml:space="preserve">AND s.campo = 'documentNumber'</t>
  </si>
  <si>
    <t xml:space="preserve">AND regexp_replace(UPPER(BTRIM(s.valor)), '[^A-Z0-9]', '', 'g') =</t>
  </si>
</sst>
</file>

<file path=xl/styles.xml><?xml version="1.0" encoding="utf-8"?>
<styleSheet xmlns="http://schemas.openxmlformats.org/spreadsheetml/2006/main">
  <numFmts count="3">
    <numFmt numFmtId="164" formatCode="General"/>
    <numFmt numFmtId="165" formatCode="0.0%"/>
    <numFmt numFmtId="166" formatCode="yyyy\-mm\-dd"/>
  </numFmts>
  <fonts count="15">
    <font>
      <sz val="11"/>
      <color theme="1"/>
      <name val="Calibri"/>
      <family val="2"/>
      <charset val="1"/>
    </font>
    <font>
      <sz val="10"/>
      <name val="Arial"/>
      <family val="0"/>
    </font>
    <font>
      <sz val="10"/>
      <name val="Arial"/>
      <family val="0"/>
    </font>
    <font>
      <sz val="10"/>
      <name val="Arial"/>
      <family val="0"/>
    </font>
    <font>
      <b val="true"/>
      <sz val="14"/>
      <color rgb="FF1F3A5F"/>
      <name val="Arial"/>
      <family val="0"/>
      <charset val="1"/>
    </font>
    <font>
      <sz val="10"/>
      <color rgb="FF555555"/>
      <name val="Arial"/>
      <family val="0"/>
      <charset val="1"/>
    </font>
    <font>
      <b val="true"/>
      <sz val="11"/>
      <name val="Arial"/>
      <family val="0"/>
      <charset val="1"/>
    </font>
    <font>
      <sz val="10"/>
      <name val="Arial"/>
      <family val="0"/>
      <charset val="1"/>
    </font>
    <font>
      <i val="true"/>
      <sz val="10"/>
      <name val="Arial"/>
      <family val="0"/>
      <charset val="1"/>
    </font>
    <font>
      <sz val="9"/>
      <name val="Consolas"/>
      <family val="0"/>
      <charset val="1"/>
    </font>
    <font>
      <b val="true"/>
      <sz val="12"/>
      <color rgb="FF1F3A5F"/>
      <name val="Arial"/>
      <family val="0"/>
      <charset val="1"/>
    </font>
    <font>
      <b val="true"/>
      <sz val="10"/>
      <color rgb="FFFFFFFF"/>
      <name val="Arial"/>
      <family val="0"/>
      <charset val="1"/>
    </font>
    <font>
      <i val="true"/>
      <sz val="8"/>
      <color rgb="FF666666"/>
      <name val="Arial"/>
      <family val="0"/>
      <charset val="1"/>
    </font>
    <font>
      <b val="true"/>
      <sz val="10"/>
      <name val="Arial"/>
      <family val="0"/>
      <charset val="1"/>
    </font>
    <font>
      <sz val="9"/>
      <name val="Arial"/>
      <family val="0"/>
      <charset val="1"/>
    </font>
  </fonts>
  <fills count="5">
    <fill>
      <patternFill patternType="none"/>
    </fill>
    <fill>
      <patternFill patternType="gray125"/>
    </fill>
    <fill>
      <patternFill patternType="solid">
        <fgColor rgb="FF1F3A5F"/>
        <bgColor rgb="FF333399"/>
      </patternFill>
    </fill>
    <fill>
      <patternFill patternType="solid">
        <fgColor rgb="FF7A4E00"/>
        <bgColor rgb="FF555555"/>
      </patternFill>
    </fill>
    <fill>
      <patternFill patternType="solid">
        <fgColor rgb="FFFFF7D6"/>
        <bgColor rgb="FFFEF0C7"/>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bottom"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5" fontId="13" fillId="0" borderId="1" xfId="0" applyFont="true" applyBorder="tru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4" fillId="4" borderId="1" xfId="0" applyFont="true" applyBorder="true" applyAlignment="true" applyProtection="false">
      <alignment horizontal="general" vertical="top" textRotation="0" wrapText="true" indent="0" shrinkToFit="false"/>
      <protection locked="true" hidden="false"/>
    </xf>
    <xf numFmtId="166" fontId="14" fillId="4" borderId="1" xfId="0" applyFont="true" applyBorder="true" applyAlignment="true" applyProtection="false">
      <alignment horizontal="general" vertical="top" textRotation="0" wrapText="tru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B42318"/>
          <bgColor rgb="FF000000"/>
        </patternFill>
      </fill>
    </dxf>
    <dxf>
      <fill>
        <patternFill patternType="solid">
          <fgColor rgb="FF7A4E00"/>
          <bgColor rgb="FF000000"/>
        </patternFill>
      </fill>
    </dxf>
    <dxf>
      <fill>
        <patternFill patternType="solid">
          <fgColor rgb="FFFFF7D6"/>
          <bgColor rgb="FF000000"/>
        </patternFill>
      </fill>
    </dxf>
    <dxf>
      <fill>
        <patternFill>
          <bgColor rgb="FFD1FADF"/>
        </patternFill>
      </fill>
    </dxf>
    <dxf>
      <fill>
        <patternFill>
          <bgColor rgb="FFD1E9FF"/>
        </patternFill>
      </fill>
    </dxf>
    <dxf>
      <fill>
        <patternFill>
          <bgColor rgb="FFFEE4E2"/>
        </patternFill>
      </fill>
    </dxf>
    <dxf>
      <fill>
        <patternFill>
          <bgColor rgb="FFFEF0C7"/>
        </patternFill>
      </fill>
    </dxf>
    <dxf>
      <font>
        <name val="Arial"/>
        <charset val="1"/>
        <family val="0"/>
        <b val="1"/>
        <color rgb="FFB42318"/>
        <sz val="9"/>
      </font>
    </dxf>
    <dxf>
      <fill>
        <patternFill>
          <bgColor rgb="FFFDA29B"/>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A4E00"/>
      <rgbColor rgb="FF800080"/>
      <rgbColor rgb="FF008080"/>
      <rgbColor rgb="FFC0C0C0"/>
      <rgbColor rgb="FF808080"/>
      <rgbColor rgb="FF9999FF"/>
      <rgbColor rgb="FF993366"/>
      <rgbColor rgb="FFFFF7D6"/>
      <rgbColor rgb="FFD1E9FF"/>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D1FADF"/>
      <rgbColor rgb="FFFEF0C7"/>
      <rgbColor rgb="FF99CCFF"/>
      <rgbColor rgb="FFFDA29B"/>
      <rgbColor rgb="FFCC99FF"/>
      <rgbColor rgb="FFFEE4E2"/>
      <rgbColor rgb="FF3366FF"/>
      <rgbColor rgb="FF33CCCC"/>
      <rgbColor rgb="FF99CC00"/>
      <rgbColor rgb="FFFFCC00"/>
      <rgbColor rgb="FFFF9900"/>
      <rgbColor rgb="FFFF6600"/>
      <rgbColor rgb="FF666666"/>
      <rgbColor rgb="FF969696"/>
      <rgbColor rgb="FF1F3A5F"/>
      <rgbColor rgb="FF339966"/>
      <rgbColor rgb="FF003300"/>
      <rgbColor rgb="FF333300"/>
      <rgbColor rgb="FFB42318"/>
      <rgbColor rgb="FF993366"/>
      <rgbColor rgb="FF33339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4" t="s">
        <v>2</v>
      </c>
    </row>
    <row r="5" customFormat="false" ht="15" hidden="false" customHeight="false" outlineLevel="0" collapsed="false">
      <c r="A5" s="5" t="s">
        <v>3</v>
      </c>
    </row>
    <row r="6" customFormat="false" ht="23.85" hidden="false" customHeight="false" outlineLevel="0" collapsed="false">
      <c r="A6" s="5" t="s">
        <v>4</v>
      </c>
    </row>
    <row r="7" customFormat="false" ht="15" hidden="false" customHeight="false" outlineLevel="0" collapsed="false">
      <c r="A7" s="3"/>
    </row>
    <row r="8" customFormat="false" ht="15" hidden="false" customHeight="false" outlineLevel="0" collapsed="false">
      <c r="A8" s="4" t="s">
        <v>5</v>
      </c>
    </row>
    <row r="9" customFormat="false" ht="15" hidden="false" customHeight="false" outlineLevel="0" collapsed="false">
      <c r="A9" s="5" t="s">
        <v>6</v>
      </c>
    </row>
    <row r="10" customFormat="false" ht="15" hidden="false" customHeight="false" outlineLevel="0" collapsed="false">
      <c r="A10" s="5" t="s">
        <v>7</v>
      </c>
    </row>
    <row r="11" customFormat="false" ht="15" hidden="false" customHeight="false" outlineLevel="0" collapsed="false">
      <c r="A11" s="5" t="s">
        <v>8</v>
      </c>
    </row>
    <row r="12" customFormat="false" ht="15" hidden="false" customHeight="false" outlineLevel="0" collapsed="false">
      <c r="A12" s="5" t="s">
        <v>9</v>
      </c>
    </row>
    <row r="13" customFormat="false" ht="15" hidden="false" customHeight="false" outlineLevel="0" collapsed="false">
      <c r="A13" s="5" t="s">
        <v>10</v>
      </c>
    </row>
    <row r="14" customFormat="false" ht="15" hidden="false" customHeight="false" outlineLevel="0" collapsed="false">
      <c r="A14" s="5" t="s">
        <v>11</v>
      </c>
    </row>
    <row r="15" customFormat="false" ht="15" hidden="false" customHeight="false" outlineLevel="0" collapsed="false">
      <c r="A15" s="5" t="s">
        <v>12</v>
      </c>
    </row>
    <row r="16" customFormat="false" ht="23.85" hidden="false" customHeight="false" outlineLevel="0" collapsed="false">
      <c r="A16" s="6" t="s">
        <v>13</v>
      </c>
    </row>
    <row r="17" customFormat="false" ht="15" hidden="false" customHeight="false" outlineLevel="0" collapsed="false">
      <c r="A17" s="5" t="s">
        <v>14</v>
      </c>
    </row>
    <row r="18" customFormat="false" ht="15" hidden="false" customHeight="false" outlineLevel="0" collapsed="false">
      <c r="A18" s="3"/>
    </row>
    <row r="19" customFormat="false" ht="15" hidden="false" customHeight="false" outlineLevel="0" collapsed="false">
      <c r="A19" s="4" t="s">
        <v>15</v>
      </c>
    </row>
    <row r="20" customFormat="false" ht="15" hidden="false" customHeight="false" outlineLevel="0" collapsed="false">
      <c r="A20" s="5" t="s">
        <v>16</v>
      </c>
    </row>
    <row r="21" customFormat="false" ht="23.85" hidden="false" customHeight="false" outlineLevel="0" collapsed="false">
      <c r="A21" s="5" t="s">
        <v>17</v>
      </c>
    </row>
    <row r="22" customFormat="false" ht="23.85" hidden="false" customHeight="false" outlineLevel="0" collapsed="false">
      <c r="A22" s="5" t="s">
        <v>18</v>
      </c>
    </row>
    <row r="23" customFormat="false" ht="15" hidden="false" customHeight="false" outlineLevel="0" collapsed="false">
      <c r="A23" s="5" t="s">
        <v>19</v>
      </c>
    </row>
    <row r="24" customFormat="false" ht="15" hidden="false" customHeight="false" outlineLevel="0" collapsed="false">
      <c r="A24" s="5" t="s">
        <v>20</v>
      </c>
    </row>
    <row r="25" customFormat="false" ht="15" hidden="false" customHeight="false" outlineLevel="0" collapsed="false">
      <c r="A25" s="3"/>
    </row>
    <row r="26" customFormat="false" ht="15" hidden="false" customHeight="false" outlineLevel="0" collapsed="false">
      <c r="A26" s="4" t="s">
        <v>21</v>
      </c>
    </row>
    <row r="27" customFormat="false" ht="15" hidden="false" customHeight="false" outlineLevel="0" collapsed="false">
      <c r="A27" s="7" t="s">
        <v>22</v>
      </c>
    </row>
    <row r="28" customFormat="false" ht="15" hidden="false" customHeight="false" outlineLevel="0" collapsed="false">
      <c r="A28" s="5"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22"/>
    <col collapsed="false" customWidth="true" hidden="false" outlineLevel="0" max="8" min="3" style="0" width="12"/>
  </cols>
  <sheetData>
    <row r="1" customFormat="false" ht="17.35" hidden="false" customHeight="false" outlineLevel="0" collapsed="false">
      <c r="A1" s="8" t="s">
        <v>24</v>
      </c>
    </row>
    <row r="3" customFormat="false" ht="15" hidden="false" customHeight="false" outlineLevel="0" collapsed="false">
      <c r="A3" s="9" t="s">
        <v>25</v>
      </c>
    </row>
    <row r="4" customFormat="false" ht="15" hidden="false" customHeight="false" outlineLevel="0" collapsed="false">
      <c r="A4" s="10" t="s">
        <v>26</v>
      </c>
      <c r="B4" s="10" t="s">
        <v>27</v>
      </c>
    </row>
    <row r="5" customFormat="false" ht="15" hidden="false" customHeight="false" outlineLevel="0" collapsed="false">
      <c r="A5" s="11" t="s">
        <v>28</v>
      </c>
      <c r="B5" s="11" t="n">
        <f aca="false">COUNTA(Matriz!$A$2:$A$1194)</f>
        <v>1193</v>
      </c>
    </row>
    <row r="6" customFormat="false" ht="15" hidden="false" customHeight="false" outlineLevel="0" collapsed="false">
      <c r="A6" s="11" t="s">
        <v>29</v>
      </c>
      <c r="B6" s="11" t="n">
        <f aca="false">COUNTIF(Matriz!$V$2:$V$1194,"Pendiente")</f>
        <v>1193</v>
      </c>
    </row>
    <row r="7" customFormat="false" ht="15" hidden="false" customHeight="false" outlineLevel="0" collapsed="false">
      <c r="A7" s="11" t="s">
        <v>30</v>
      </c>
      <c r="B7" s="11" t="n">
        <f aca="false">COUNTIF(Matriz!$V$2:$V$1194,"Aprobada")</f>
        <v>0</v>
      </c>
    </row>
    <row r="8" customFormat="false" ht="15" hidden="false" customHeight="false" outlineLevel="0" collapsed="false">
      <c r="A8" s="11" t="s">
        <v>31</v>
      </c>
      <c r="B8" s="11" t="n">
        <f aca="false">COUNTIF(Matriz!$V$2:$V$1194,"Aprobada con ajuste")</f>
        <v>0</v>
      </c>
    </row>
    <row r="9" customFormat="false" ht="15" hidden="false" customHeight="false" outlineLevel="0" collapsed="false">
      <c r="A9" s="11" t="s">
        <v>32</v>
      </c>
      <c r="B9" s="11" t="n">
        <f aca="false">COUNTIF(Matriz!$V$2:$V$1194,"Rechazada")</f>
        <v>0</v>
      </c>
    </row>
    <row r="10" customFormat="false" ht="15" hidden="false" customHeight="false" outlineLevel="0" collapsed="false">
      <c r="A10" s="11" t="s">
        <v>33</v>
      </c>
      <c r="B10" s="11" t="n">
        <f aca="false">COUNTIF(Matriz!$V$2:$V$1194,"Requiere aclaración")</f>
        <v>0</v>
      </c>
    </row>
    <row r="11" customFormat="false" ht="15" hidden="false" customHeight="false" outlineLevel="0" collapsed="false">
      <c r="A11" s="11" t="s">
        <v>34</v>
      </c>
      <c r="B11" s="11" t="n">
        <f aca="false">B5-B6</f>
        <v>0</v>
      </c>
    </row>
    <row r="12" customFormat="false" ht="15" hidden="false" customHeight="false" outlineLevel="0" collapsed="false">
      <c r="A12" s="11" t="s">
        <v>35</v>
      </c>
      <c r="B12" s="12" t="n">
        <f aca="false">IF(B5=0,0,B11/B5)</f>
        <v>0</v>
      </c>
    </row>
    <row r="13" customFormat="false" ht="15" hidden="false" customHeight="false" outlineLevel="0" collapsed="false">
      <c r="A13" s="11" t="s">
        <v>36</v>
      </c>
      <c r="B13" s="11" t="n">
        <f aca="false">SUMPRODUCT(--(Matriz!$AA$2:$AA$1194&lt;&gt;""))</f>
        <v>0</v>
      </c>
    </row>
    <row r="14" customFormat="false" ht="15" hidden="false" customHeight="false" outlineLevel="0" collapsed="false">
      <c r="A14" s="11" t="s">
        <v>37</v>
      </c>
      <c r="B14" s="11" t="n">
        <f aca="false">SUMPRODUCT(((Matriz!$V$2:$V$1194="Aprobada con ajuste")+(Matriz!$V$2:$V$1194="Rechazada"))*(Matriz!$W$2:$W$1194=""))</f>
        <v>0</v>
      </c>
    </row>
    <row r="16" customFormat="false" ht="15" hidden="false" customHeight="false" outlineLevel="0" collapsed="false">
      <c r="A16" s="9" t="s">
        <v>38</v>
      </c>
    </row>
    <row r="17" customFormat="false" ht="15" hidden="false" customHeight="false" outlineLevel="0" collapsed="false">
      <c r="A17" s="10" t="s">
        <v>39</v>
      </c>
      <c r="B17" s="10" t="s">
        <v>27</v>
      </c>
    </row>
    <row r="18" customFormat="false" ht="15" hidden="false" customHeight="false" outlineLevel="0" collapsed="false">
      <c r="A18" s="11" t="s">
        <v>40</v>
      </c>
      <c r="B18" s="11" t="n">
        <v>1905</v>
      </c>
    </row>
    <row r="19" customFormat="false" ht="15" hidden="false" customHeight="false" outlineLevel="0" collapsed="false">
      <c r="A19" s="11" t="s">
        <v>41</v>
      </c>
      <c r="B19" s="11" t="n">
        <v>170</v>
      </c>
    </row>
    <row r="20" customFormat="false" ht="15" hidden="false" customHeight="false" outlineLevel="0" collapsed="false">
      <c r="A20" s="11" t="s">
        <v>42</v>
      </c>
      <c r="B20" s="11" t="n">
        <v>542</v>
      </c>
    </row>
    <row r="21" customFormat="false" ht="15" hidden="false" customHeight="false" outlineLevel="0" collapsed="false">
      <c r="A21" s="11" t="s">
        <v>43</v>
      </c>
      <c r="B21" s="11" t="n">
        <f aca="false">B13</f>
        <v>0</v>
      </c>
    </row>
    <row r="22" customFormat="false" ht="15" hidden="false" customHeight="false" outlineLevel="0" collapsed="false">
      <c r="A22" s="11" t="s">
        <v>44</v>
      </c>
      <c r="B22" s="12" t="n">
        <f aca="false">(B19+B20)/B18</f>
        <v>0.373753280839895</v>
      </c>
    </row>
    <row r="23" customFormat="false" ht="15" hidden="false" customHeight="false" outlineLevel="0" collapsed="false">
      <c r="A23" s="11" t="s">
        <v>45</v>
      </c>
      <c r="B23" s="12" t="n">
        <f aca="false">(B19+B20+B21)/B18</f>
        <v>0.373753280839895</v>
      </c>
    </row>
    <row r="24" customFormat="false" ht="15" hidden="false" customHeight="false" outlineLevel="0" collapsed="false">
      <c r="A24" s="11" t="s">
        <v>46</v>
      </c>
      <c r="B24" s="11" t="n">
        <f aca="false">MAX(0,ROUNDUP(0.95*B18,0)-(B19+B20+B21))</f>
        <v>1098</v>
      </c>
    </row>
    <row r="25" customFormat="false" ht="15" hidden="false" customHeight="false" outlineLevel="0" collapsed="false">
      <c r="A25" s="13" t="s">
        <v>47</v>
      </c>
    </row>
    <row r="27" customFormat="false" ht="15" hidden="false" customHeight="false" outlineLevel="0" collapsed="false">
      <c r="A27" s="9" t="s">
        <v>48</v>
      </c>
    </row>
    <row r="28" customFormat="false" ht="15" hidden="false" customHeight="false" outlineLevel="0" collapsed="false">
      <c r="A28" s="10" t="s">
        <v>49</v>
      </c>
      <c r="B28" s="10" t="s">
        <v>50</v>
      </c>
      <c r="C28" s="10" t="s">
        <v>51</v>
      </c>
      <c r="D28" s="10" t="s">
        <v>52</v>
      </c>
      <c r="E28" s="10" t="s">
        <v>53</v>
      </c>
      <c r="F28" s="10" t="s">
        <v>54</v>
      </c>
      <c r="G28" s="10" t="s">
        <v>55</v>
      </c>
      <c r="H28" s="10" t="s">
        <v>35</v>
      </c>
    </row>
    <row r="29" customFormat="false" ht="15" hidden="false" customHeight="false" outlineLevel="0" collapsed="false">
      <c r="A29" s="11" t="s">
        <v>56</v>
      </c>
      <c r="B29" s="11" t="s">
        <v>57</v>
      </c>
      <c r="C29" s="11" t="n">
        <f aca="false">COUNTIF(Matriz!$C$2:$C$1194,B29)</f>
        <v>93</v>
      </c>
      <c r="D29" s="11" t="n">
        <f aca="false">COUNTIFS(Matriz!$C$2:$C$1194,B29,Matriz!$V$2:$V$1194,"Aprobada")+COUNTIFS(Matriz!$C$2:$C$1194,B29,Matriz!$V$2:$V$1194,"Aprobada con ajuste")</f>
        <v>0</v>
      </c>
      <c r="E29" s="11" t="n">
        <f aca="false">COUNTIFS(Matriz!$C$2:$C$1194,B29,Matriz!$V$2:$V$1194,"Rechazada")</f>
        <v>0</v>
      </c>
      <c r="F29" s="11" t="n">
        <f aca="false">COUNTIFS(Matriz!$C$2:$C$1194,B29,Matriz!$V$2:$V$1194,"Requiere aclaración")</f>
        <v>0</v>
      </c>
      <c r="G29" s="11" t="n">
        <f aca="false">COUNTIFS(Matriz!$C$2:$C$1194,B29,Matriz!$V$2:$V$1194,"Pendiente")</f>
        <v>93</v>
      </c>
      <c r="H29" s="12" t="n">
        <f aca="false">IF(C29=0,0,(C29-G29)/C29)</f>
        <v>0</v>
      </c>
    </row>
    <row r="30" customFormat="false" ht="15" hidden="false" customHeight="false" outlineLevel="0" collapsed="false">
      <c r="A30" s="11" t="s">
        <v>58</v>
      </c>
      <c r="B30" s="11" t="s">
        <v>59</v>
      </c>
      <c r="C30" s="11" t="n">
        <f aca="false">COUNTIF(Matriz!$C$2:$C$1194,B30)</f>
        <v>188</v>
      </c>
      <c r="D30" s="11" t="n">
        <f aca="false">COUNTIFS(Matriz!$C$2:$C$1194,B30,Matriz!$V$2:$V$1194,"Aprobada")+COUNTIFS(Matriz!$C$2:$C$1194,B30,Matriz!$V$2:$V$1194,"Aprobada con ajuste")</f>
        <v>0</v>
      </c>
      <c r="E30" s="11" t="n">
        <f aca="false">COUNTIFS(Matriz!$C$2:$C$1194,B30,Matriz!$V$2:$V$1194,"Rechazada")</f>
        <v>0</v>
      </c>
      <c r="F30" s="11" t="n">
        <f aca="false">COUNTIFS(Matriz!$C$2:$C$1194,B30,Matriz!$V$2:$V$1194,"Requiere aclaración")</f>
        <v>0</v>
      </c>
      <c r="G30" s="11" t="n">
        <f aca="false">COUNTIFS(Matriz!$C$2:$C$1194,B30,Matriz!$V$2:$V$1194,"Pendiente")</f>
        <v>188</v>
      </c>
      <c r="H30" s="12" t="n">
        <f aca="false">IF(C30=0,0,(C30-G30)/C30)</f>
        <v>0</v>
      </c>
    </row>
    <row r="31" customFormat="false" ht="15" hidden="false" customHeight="false" outlineLevel="0" collapsed="false">
      <c r="A31" s="11" t="s">
        <v>60</v>
      </c>
      <c r="B31" s="11" t="s">
        <v>61</v>
      </c>
      <c r="C31" s="11" t="n">
        <f aca="false">COUNTIF(Matriz!$C$2:$C$1194,B31)</f>
        <v>569</v>
      </c>
      <c r="D31" s="11" t="n">
        <f aca="false">COUNTIFS(Matriz!$C$2:$C$1194,B31,Matriz!$V$2:$V$1194,"Aprobada")+COUNTIFS(Matriz!$C$2:$C$1194,B31,Matriz!$V$2:$V$1194,"Aprobada con ajuste")</f>
        <v>0</v>
      </c>
      <c r="E31" s="11" t="n">
        <f aca="false">COUNTIFS(Matriz!$C$2:$C$1194,B31,Matriz!$V$2:$V$1194,"Rechazada")</f>
        <v>0</v>
      </c>
      <c r="F31" s="11" t="n">
        <f aca="false">COUNTIFS(Matriz!$C$2:$C$1194,B31,Matriz!$V$2:$V$1194,"Requiere aclaración")</f>
        <v>0</v>
      </c>
      <c r="G31" s="11" t="n">
        <f aca="false">COUNTIFS(Matriz!$C$2:$C$1194,B31,Matriz!$V$2:$V$1194,"Pendiente")</f>
        <v>569</v>
      </c>
      <c r="H31" s="12" t="n">
        <f aca="false">IF(C31=0,0,(C31-G31)/C31)</f>
        <v>0</v>
      </c>
    </row>
    <row r="32" customFormat="false" ht="15" hidden="false" customHeight="false" outlineLevel="0" collapsed="false">
      <c r="A32" s="11" t="s">
        <v>62</v>
      </c>
      <c r="B32" s="11" t="s">
        <v>63</v>
      </c>
      <c r="C32" s="11" t="n">
        <f aca="false">COUNTIF(Matriz!$C$2:$C$1194,B32)</f>
        <v>86</v>
      </c>
      <c r="D32" s="11" t="n">
        <f aca="false">COUNTIFS(Matriz!$C$2:$C$1194,B32,Matriz!$V$2:$V$1194,"Aprobada")+COUNTIFS(Matriz!$C$2:$C$1194,B32,Matriz!$V$2:$V$1194,"Aprobada con ajuste")</f>
        <v>0</v>
      </c>
      <c r="E32" s="11" t="n">
        <f aca="false">COUNTIFS(Matriz!$C$2:$C$1194,B32,Matriz!$V$2:$V$1194,"Rechazada")</f>
        <v>0</v>
      </c>
      <c r="F32" s="11" t="n">
        <f aca="false">COUNTIFS(Matriz!$C$2:$C$1194,B32,Matriz!$V$2:$V$1194,"Requiere aclaración")</f>
        <v>0</v>
      </c>
      <c r="G32" s="11" t="n">
        <f aca="false">COUNTIFS(Matriz!$C$2:$C$1194,B32,Matriz!$V$2:$V$1194,"Pendiente")</f>
        <v>86</v>
      </c>
      <c r="H32" s="12" t="n">
        <f aca="false">IF(C32=0,0,(C32-G32)/C32)</f>
        <v>0</v>
      </c>
    </row>
    <row r="33" customFormat="false" ht="15" hidden="false" customHeight="false" outlineLevel="0" collapsed="false">
      <c r="A33" s="11" t="s">
        <v>64</v>
      </c>
      <c r="B33" s="11" t="s">
        <v>65</v>
      </c>
      <c r="C33" s="11" t="n">
        <f aca="false">COUNTIF(Matriz!$C$2:$C$1194,B33)</f>
        <v>241</v>
      </c>
      <c r="D33" s="11" t="n">
        <f aca="false">COUNTIFS(Matriz!$C$2:$C$1194,B33,Matriz!$V$2:$V$1194,"Aprobada")+COUNTIFS(Matriz!$C$2:$C$1194,B33,Matriz!$V$2:$V$1194,"Aprobada con ajuste")</f>
        <v>0</v>
      </c>
      <c r="E33" s="11" t="n">
        <f aca="false">COUNTIFS(Matriz!$C$2:$C$1194,B33,Matriz!$V$2:$V$1194,"Rechazada")</f>
        <v>0</v>
      </c>
      <c r="F33" s="11" t="n">
        <f aca="false">COUNTIFS(Matriz!$C$2:$C$1194,B33,Matriz!$V$2:$V$1194,"Requiere aclaración")</f>
        <v>0</v>
      </c>
      <c r="G33" s="11" t="n">
        <f aca="false">COUNTIFS(Matriz!$C$2:$C$1194,B33,Matriz!$V$2:$V$1194,"Pendiente")</f>
        <v>241</v>
      </c>
      <c r="H33" s="12" t="n">
        <f aca="false">IF(C33=0,0,(C33-G33)/C33)</f>
        <v>0</v>
      </c>
    </row>
    <row r="34" customFormat="false" ht="15" hidden="false" customHeight="false" outlineLevel="0" collapsed="false">
      <c r="A34" s="11" t="s">
        <v>66</v>
      </c>
      <c r="B34" s="11" t="s">
        <v>67</v>
      </c>
      <c r="C34" s="11" t="n">
        <f aca="false">COUNTIF(Matriz!$C$2:$C$1194,B34)</f>
        <v>16</v>
      </c>
      <c r="D34" s="11" t="n">
        <f aca="false">COUNTIFS(Matriz!$C$2:$C$1194,B34,Matriz!$V$2:$V$1194,"Aprobada")+COUNTIFS(Matriz!$C$2:$C$1194,B34,Matriz!$V$2:$V$1194,"Aprobada con ajuste")</f>
        <v>0</v>
      </c>
      <c r="E34" s="11" t="n">
        <f aca="false">COUNTIFS(Matriz!$C$2:$C$1194,B34,Matriz!$V$2:$V$1194,"Rechazada")</f>
        <v>0</v>
      </c>
      <c r="F34" s="11" t="n">
        <f aca="false">COUNTIFS(Matriz!$C$2:$C$1194,B34,Matriz!$V$2:$V$1194,"Requiere aclaración")</f>
        <v>0</v>
      </c>
      <c r="G34" s="11" t="n">
        <f aca="false">COUNTIFS(Matriz!$C$2:$C$1194,B34,Matriz!$V$2:$V$1194,"Pendiente")</f>
        <v>16</v>
      </c>
      <c r="H34" s="12" t="n">
        <f aca="false">IF(C34=0,0,(C34-G34)/C34)</f>
        <v>0</v>
      </c>
    </row>
    <row r="35" customFormat="false" ht="15" hidden="false" customHeight="false" outlineLevel="0" collapsed="false">
      <c r="A35" s="14" t="s">
        <v>68</v>
      </c>
      <c r="B35" s="14"/>
      <c r="C35" s="14" t="n">
        <f aca="false">SUM(C29:C34)</f>
        <v>1193</v>
      </c>
      <c r="D35" s="14" t="n">
        <f aca="false">SUM(D29:D34)</f>
        <v>0</v>
      </c>
      <c r="E35" s="14" t="n">
        <f aca="false">SUM(E29:E34)</f>
        <v>0</v>
      </c>
      <c r="F35" s="14" t="n">
        <f aca="false">SUM(F29:F34)</f>
        <v>0</v>
      </c>
      <c r="G35" s="14" t="n">
        <f aca="false">SUM(G29:G34)</f>
        <v>1193</v>
      </c>
      <c r="H35" s="15" t="n">
        <f aca="false">IF(C35=0,0,(C35-G35)/C35)</f>
        <v>0</v>
      </c>
    </row>
    <row r="37" customFormat="false" ht="15" hidden="false" customHeight="false" outlineLevel="0" collapsed="false">
      <c r="A37" s="9" t="s">
        <v>69</v>
      </c>
    </row>
    <row r="38" customFormat="false" ht="15" hidden="false" customHeight="false" outlineLevel="0" collapsed="false">
      <c r="A38" s="10" t="s">
        <v>70</v>
      </c>
      <c r="B38" s="10" t="s">
        <v>51</v>
      </c>
      <c r="C38" s="10" t="s">
        <v>52</v>
      </c>
      <c r="D38" s="10" t="s">
        <v>55</v>
      </c>
      <c r="E38" s="10" t="s">
        <v>35</v>
      </c>
    </row>
    <row r="39" customFormat="false" ht="15" hidden="false" customHeight="false" outlineLevel="0" collapsed="false">
      <c r="A39" s="11" t="s">
        <v>71</v>
      </c>
      <c r="B39" s="11" t="n">
        <f aca="false">COUNTIF(Matriz!$S$2:$S$1194,"Alta")</f>
        <v>549</v>
      </c>
      <c r="C39" s="11" t="n">
        <f aca="false">COUNTIFS(Matriz!$S$2:$S$1194,"Alta",Matriz!$V$2:$V$1194,"Aprobada")+COUNTIFS(Matriz!$S$2:$S$1194,"Alta",Matriz!$V$2:$V$1194,"Aprobada con ajuste")</f>
        <v>0</v>
      </c>
      <c r="D39" s="11" t="n">
        <f aca="false">COUNTIFS(Matriz!$S$2:$S$1194,"Alta",Matriz!$V$2:$V$1194,"Pendiente")</f>
        <v>549</v>
      </c>
      <c r="E39" s="12" t="n">
        <f aca="false">IF(B39=0,0,(B39-D39)/B39)</f>
        <v>0</v>
      </c>
    </row>
    <row r="40" customFormat="false" ht="15" hidden="false" customHeight="false" outlineLevel="0" collapsed="false">
      <c r="A40" s="11" t="s">
        <v>72</v>
      </c>
      <c r="B40" s="11" t="n">
        <f aca="false">COUNTIF(Matriz!$S$2:$S$1194,"Media")</f>
        <v>620</v>
      </c>
      <c r="C40" s="11" t="n">
        <f aca="false">COUNTIFS(Matriz!$S$2:$S$1194,"Media",Matriz!$V$2:$V$1194,"Aprobada")+COUNTIFS(Matriz!$S$2:$S$1194,"Media",Matriz!$V$2:$V$1194,"Aprobada con ajuste")</f>
        <v>0</v>
      </c>
      <c r="D40" s="11" t="n">
        <f aca="false">COUNTIFS(Matriz!$S$2:$S$1194,"Media",Matriz!$V$2:$V$1194,"Pendiente")</f>
        <v>620</v>
      </c>
      <c r="E40" s="12" t="n">
        <f aca="false">IF(B40=0,0,(B40-D40)/B40)</f>
        <v>0</v>
      </c>
    </row>
    <row r="41" customFormat="false" ht="15" hidden="false" customHeight="false" outlineLevel="0" collapsed="false">
      <c r="A41" s="11" t="s">
        <v>73</v>
      </c>
      <c r="B41" s="11" t="n">
        <f aca="false">COUNTIF(Matriz!$S$2:$S$1194,"Baja")</f>
        <v>24</v>
      </c>
      <c r="C41" s="11" t="n">
        <f aca="false">COUNTIFS(Matriz!$S$2:$S$1194,"Baja",Matriz!$V$2:$V$1194,"Aprobada")+COUNTIFS(Matriz!$S$2:$S$1194,"Baja",Matriz!$V$2:$V$1194,"Aprobada con ajuste")</f>
        <v>0</v>
      </c>
      <c r="D41" s="11" t="n">
        <f aca="false">COUNTIFS(Matriz!$S$2:$S$1194,"Baja",Matriz!$V$2:$V$1194,"Pendiente")</f>
        <v>24</v>
      </c>
      <c r="E41" s="12" t="n">
        <f aca="false">IF(B41=0,0,(B41-D41)/B41)</f>
        <v>0</v>
      </c>
    </row>
    <row r="42" customFormat="false" ht="15" hidden="false" customHeight="false" outlineLevel="0" collapsed="false">
      <c r="A42" s="11" t="s">
        <v>74</v>
      </c>
      <c r="B42" s="11" t="n">
        <f aca="false">COUNTIF(Matriz!$Q$2:$Q$1194,"Código fuente")</f>
        <v>322</v>
      </c>
      <c r="C42" s="11" t="n">
        <f aca="false">COUNTIFS(Matriz!$Q$2:$Q$1194,"Código fuente",Matriz!$V$2:$V$1194,"Aprobada")+COUNTIFS(Matriz!$Q$2:$Q$1194,"Código fuente",Matriz!$V$2:$V$1194,"Aprobada con ajuste")</f>
        <v>0</v>
      </c>
      <c r="D42" s="11" t="n">
        <f aca="false">COUNTIFS(Matriz!$Q$2:$Q$1194,"Código fuente",Matriz!$V$2:$V$1194,"Pendiente")</f>
        <v>322</v>
      </c>
      <c r="E42" s="12" t="n">
        <f aca="false">IF(B42=0,0,(B42-D42)/B42)</f>
        <v>0</v>
      </c>
    </row>
    <row r="43" customFormat="false" ht="15" hidden="false" customHeight="false" outlineLevel="0" collapsed="false">
      <c r="A43" s="11" t="s">
        <v>75</v>
      </c>
      <c r="B43" s="11" t="n">
        <f aca="false">COUNTIF(Matriz!$Q$2:$Q$1194,"Regla estructural")</f>
        <v>366</v>
      </c>
      <c r="C43" s="11" t="n">
        <f aca="false">COUNTIFS(Matriz!$Q$2:$Q$1194,"Regla estructural",Matriz!$V$2:$V$1194,"Aprobada")+COUNTIFS(Matriz!$Q$2:$Q$1194,"Regla estructural",Matriz!$V$2:$V$1194,"Aprobada con ajuste")</f>
        <v>0</v>
      </c>
      <c r="D43" s="11" t="n">
        <f aca="false">COUNTIFS(Matriz!$Q$2:$Q$1194,"Regla estructural",Matriz!$V$2:$V$1194,"Pendiente")</f>
        <v>366</v>
      </c>
      <c r="E43" s="12" t="n">
        <f aca="false">IF(B43=0,0,(B43-D43)/B43)</f>
        <v>0</v>
      </c>
    </row>
    <row r="44" customFormat="false" ht="15" hidden="false" customHeight="false" outlineLevel="0" collapsed="false">
      <c r="A44" s="11" t="s">
        <v>76</v>
      </c>
      <c r="B44" s="11" t="n">
        <f aca="false">COUNTIF(Matriz!$Q$2:$Q$1194,"Propuesta semántica")</f>
        <v>505</v>
      </c>
      <c r="C44" s="11" t="n">
        <f aca="false">COUNTIFS(Matriz!$Q$2:$Q$1194,"Propuesta semántica",Matriz!$V$2:$V$1194,"Aprobada")+COUNTIFS(Matriz!$Q$2:$Q$1194,"Propuesta semántica",Matriz!$V$2:$V$1194,"Aprobada con ajuste")</f>
        <v>0</v>
      </c>
      <c r="D44" s="11" t="n">
        <f aca="false">COUNTIFS(Matriz!$Q$2:$Q$1194,"Propuesta semántica",Matriz!$V$2:$V$1194,"Pendiente")</f>
        <v>505</v>
      </c>
      <c r="E44" s="12" t="n">
        <f aca="false">IF(B44=0,0,(B44-D44)/B44)</f>
        <v>0</v>
      </c>
    </row>
    <row r="45" customFormat="false" ht="15" hidden="false" customHeight="false" outlineLevel="0" collapsed="false">
      <c r="A45" s="11" t="s">
        <v>77</v>
      </c>
      <c r="B45" s="11" t="n">
        <f aca="false">COUNTIF(Matriz!$P$2:$P$1194,"?*")</f>
        <v>989</v>
      </c>
      <c r="C45" s="11" t="n">
        <f aca="false">COUNTIFS(Matriz!$P$2:$P$1194,"?*",Matriz!$V$2:$V$1194,"Aprobada")+COUNTIFS(Matriz!$P$2:$P$1194,"?*",Matriz!$V$2:$V$1194,"Aprobada con ajuste")</f>
        <v>0</v>
      </c>
      <c r="D45" s="11" t="n">
        <f aca="false">COUNTIFS(Matriz!$P$2:$P$1194,"?*",Matriz!$V$2:$V$1194,"Pendiente")</f>
        <v>989</v>
      </c>
      <c r="E45" s="12" t="n">
        <f aca="false">IF(B45=0,0,(B45-D45)/B45)</f>
        <v>0</v>
      </c>
    </row>
    <row r="46" customFormat="false" ht="15" hidden="false" customHeight="false" outlineLevel="0" collapsed="false">
      <c r="A46" s="11" t="s">
        <v>78</v>
      </c>
      <c r="B46" s="11" t="n">
        <f aca="false">COUNTIF(Matriz!$M$2:$M$1194,"Sí")</f>
        <v>14</v>
      </c>
      <c r="C46" s="11" t="n">
        <f aca="false">COUNTIFS(Matriz!$M$2:$M$1194,"Sí",Matriz!$V$2:$V$1194,"Aprobada")+COUNTIFS(Matriz!$M$2:$M$1194,"Sí",Matriz!$V$2:$V$1194,"Aprobada con ajuste")</f>
        <v>0</v>
      </c>
      <c r="D46" s="11" t="n">
        <f aca="false">COUNTIFS(Matriz!$M$2:$M$1194,"Sí",Matriz!$V$2:$V$1194,"Pendiente")</f>
        <v>14</v>
      </c>
      <c r="E46" s="12" t="n">
        <f aca="false">IF(B46=0,0,(B46-D46)/B46)</f>
        <v>0</v>
      </c>
    </row>
    <row r="47" customFormat="false" ht="15" hidden="false" customHeight="false" outlineLevel="0" collapsed="false">
      <c r="A47" s="11" t="s">
        <v>79</v>
      </c>
      <c r="B47" s="11" t="n">
        <f aca="false">COUNTIF(Matriz!$L$2:$L$1194,"Sí")</f>
        <v>186</v>
      </c>
      <c r="C47" s="11" t="n">
        <f aca="false">COUNTIFS(Matriz!$L$2:$L$1194,"Sí",Matriz!$V$2:$V$1194,"Aprobada")+COUNTIFS(Matriz!$L$2:$L$1194,"Sí",Matriz!$V$2:$V$1194,"Aprobada con ajuste")</f>
        <v>0</v>
      </c>
      <c r="D47" s="11" t="n">
        <f aca="false">COUNTIFS(Matriz!$L$2:$L$1194,"Sí",Matriz!$V$2:$V$1194,"Pendiente")</f>
        <v>186</v>
      </c>
      <c r="E47" s="12" t="n">
        <f aca="false">IF(B47=0,0,(B47-D47)/B47)</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1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3" min="2" style="0" width="18"/>
    <col collapsed="false" customWidth="true" hidden="false" outlineLevel="0" max="4" min="4" style="0" width="24"/>
    <col collapsed="false" customWidth="true" hidden="false" outlineLevel="0" max="5" min="5" style="0" width="9"/>
    <col collapsed="false" customWidth="true" hidden="false" outlineLevel="0" max="6" min="6" style="0" width="24"/>
    <col collapsed="false" customWidth="true" hidden="false" outlineLevel="0" max="7" min="7" style="0" width="18"/>
    <col collapsed="false" customWidth="true" hidden="false" outlineLevel="0" max="8" min="8" style="0" width="8"/>
    <col collapsed="false" customWidth="true" hidden="false" outlineLevel="0" max="9" min="9" style="0" width="16"/>
    <col collapsed="false" customWidth="true" hidden="false" outlineLevel="0" max="11" min="10" style="0" width="26"/>
    <col collapsed="false" customWidth="true" hidden="false" outlineLevel="0" max="13" min="12" style="0" width="9"/>
    <col collapsed="false" customWidth="true" hidden="false" outlineLevel="0" max="14" min="14" style="0" width="40"/>
    <col collapsed="false" customWidth="true" hidden="false" outlineLevel="0" max="15" min="15" style="0" width="18"/>
    <col collapsed="false" customWidth="true" hidden="false" outlineLevel="0" max="16" min="16" style="0" width="50"/>
    <col collapsed="false" customWidth="true" hidden="false" outlineLevel="0" max="17" min="17" style="0" width="13"/>
    <col collapsed="false" customWidth="true" hidden="false" outlineLevel="0" max="18" min="18" style="0" width="46"/>
    <col collapsed="false" customWidth="true" hidden="false" outlineLevel="0" max="19" min="19" style="0" width="10"/>
    <col collapsed="false" customWidth="true" hidden="false" outlineLevel="0" max="21" min="20" style="0" width="34"/>
    <col collapsed="false" customWidth="true" hidden="false" outlineLevel="0" max="22" min="22" style="0" width="18"/>
    <col collapsed="false" customWidth="true" hidden="false" outlineLevel="0" max="23" min="23" style="0" width="40"/>
    <col collapsed="false" customWidth="true" hidden="false" outlineLevel="0" max="24" min="24" style="0" width="16"/>
    <col collapsed="false" customWidth="true" hidden="false" outlineLevel="0" max="25" min="25" style="0" width="12"/>
    <col collapsed="false" customWidth="true" hidden="false" outlineLevel="0" max="26" min="26" style="0" width="30"/>
    <col collapsed="false" customWidth="true" hidden="false" outlineLevel="0" max="27" min="27" style="0" width="40"/>
  </cols>
  <sheetData>
    <row r="1" customFormat="false" ht="33.75" hidden="false" customHeight="true" outlineLevel="0" collapsed="false">
      <c r="A1" s="16" t="s">
        <v>80</v>
      </c>
      <c r="B1" s="16" t="s">
        <v>49</v>
      </c>
      <c r="C1" s="16" t="s">
        <v>50</v>
      </c>
      <c r="D1" s="16" t="s">
        <v>81</v>
      </c>
      <c r="E1" s="16" t="s">
        <v>82</v>
      </c>
      <c r="F1" s="16" t="s">
        <v>83</v>
      </c>
      <c r="G1" s="16" t="s">
        <v>84</v>
      </c>
      <c r="H1" s="16" t="s">
        <v>85</v>
      </c>
      <c r="I1" s="16" t="s">
        <v>86</v>
      </c>
      <c r="J1" s="16" t="s">
        <v>87</v>
      </c>
      <c r="K1" s="16" t="s">
        <v>88</v>
      </c>
      <c r="L1" s="16" t="s">
        <v>89</v>
      </c>
      <c r="M1" s="16" t="s">
        <v>90</v>
      </c>
      <c r="N1" s="16" t="s">
        <v>91</v>
      </c>
      <c r="O1" s="16" t="s">
        <v>92</v>
      </c>
      <c r="P1" s="16" t="s">
        <v>93</v>
      </c>
      <c r="Q1" s="16" t="s">
        <v>94</v>
      </c>
      <c r="R1" s="16" t="s">
        <v>95</v>
      </c>
      <c r="S1" s="16" t="s">
        <v>96</v>
      </c>
      <c r="T1" s="16" t="s">
        <v>97</v>
      </c>
      <c r="U1" s="16" t="s">
        <v>98</v>
      </c>
      <c r="V1" s="17" t="s">
        <v>99</v>
      </c>
      <c r="W1" s="17" t="s">
        <v>100</v>
      </c>
      <c r="X1" s="17" t="s">
        <v>101</v>
      </c>
      <c r="Y1" s="17" t="s">
        <v>102</v>
      </c>
      <c r="Z1" s="17" t="s">
        <v>103</v>
      </c>
      <c r="AA1" s="17" t="s">
        <v>104</v>
      </c>
    </row>
    <row r="2" customFormat="false" ht="22.35" hidden="false" customHeight="false" outlineLevel="0" collapsed="false">
      <c r="A2" s="18" t="s">
        <v>105</v>
      </c>
      <c r="B2" s="18" t="s">
        <v>56</v>
      </c>
      <c r="C2" s="18" t="s">
        <v>57</v>
      </c>
      <c r="D2" s="18" t="s">
        <v>106</v>
      </c>
      <c r="E2" s="18" t="n">
        <v>0</v>
      </c>
      <c r="F2" s="18" t="s">
        <v>107</v>
      </c>
      <c r="G2" s="18" t="s">
        <v>108</v>
      </c>
      <c r="H2" s="18" t="s">
        <v>109</v>
      </c>
      <c r="I2" s="18"/>
      <c r="J2" s="18"/>
      <c r="K2" s="18"/>
      <c r="L2" s="18" t="s">
        <v>109</v>
      </c>
      <c r="M2" s="18" t="s">
        <v>109</v>
      </c>
      <c r="N2" s="18"/>
      <c r="O2" s="18"/>
      <c r="P2" s="18"/>
      <c r="Q2" s="18" t="s">
        <v>110</v>
      </c>
      <c r="R2" s="18" t="s">
        <v>111</v>
      </c>
      <c r="S2" s="18" t="s">
        <v>112</v>
      </c>
      <c r="T2" s="18" t="s">
        <v>113</v>
      </c>
      <c r="U2" s="18"/>
      <c r="V2" s="19" t="s">
        <v>29</v>
      </c>
      <c r="W2" s="19"/>
      <c r="X2" s="19"/>
      <c r="Y2" s="20"/>
      <c r="Z2" s="19"/>
      <c r="AA2" s="18" t="str">
        <f aca="false">IF(OR(V2="Aprobada"),R2,IF(AND(OR(V2="Aprobada con ajuste",V2="Rechazada"),W2&lt;&gt;""),W2,""))</f>
        <v/>
      </c>
    </row>
    <row r="3" customFormat="false" ht="22.35" hidden="false" customHeight="false" outlineLevel="0" collapsed="false">
      <c r="A3" s="18" t="s">
        <v>114</v>
      </c>
      <c r="B3" s="18" t="s">
        <v>56</v>
      </c>
      <c r="C3" s="18" t="s">
        <v>57</v>
      </c>
      <c r="D3" s="18" t="s">
        <v>106</v>
      </c>
      <c r="E3" s="18" t="n">
        <v>0</v>
      </c>
      <c r="F3" s="18" t="s">
        <v>115</v>
      </c>
      <c r="G3" s="18" t="s">
        <v>116</v>
      </c>
      <c r="H3" s="18" t="s">
        <v>117</v>
      </c>
      <c r="I3" s="18"/>
      <c r="J3" s="18"/>
      <c r="K3" s="18"/>
      <c r="L3" s="18" t="s">
        <v>109</v>
      </c>
      <c r="M3" s="18" t="s">
        <v>109</v>
      </c>
      <c r="N3" s="18"/>
      <c r="O3" s="18"/>
      <c r="P3" s="18"/>
      <c r="Q3" s="18" t="s">
        <v>110</v>
      </c>
      <c r="R3" s="18" t="s">
        <v>118</v>
      </c>
      <c r="S3" s="18" t="s">
        <v>112</v>
      </c>
      <c r="T3" s="18" t="s">
        <v>113</v>
      </c>
      <c r="U3" s="18"/>
      <c r="V3" s="19" t="s">
        <v>29</v>
      </c>
      <c r="W3" s="19"/>
      <c r="X3" s="19"/>
      <c r="Y3" s="20"/>
      <c r="Z3" s="19"/>
      <c r="AA3" s="18" t="str">
        <f aca="false">IF(OR(V3="Aprobada"),R3,IF(AND(OR(V3="Aprobada con ajuste",V3="Rechazada"),W3&lt;&gt;""),W3,""))</f>
        <v/>
      </c>
    </row>
    <row r="4" customFormat="false" ht="32.8" hidden="false" customHeight="false" outlineLevel="0" collapsed="false">
      <c r="A4" s="18" t="s">
        <v>119</v>
      </c>
      <c r="B4" s="18" t="s">
        <v>56</v>
      </c>
      <c r="C4" s="18" t="s">
        <v>57</v>
      </c>
      <c r="D4" s="18" t="s">
        <v>106</v>
      </c>
      <c r="E4" s="18" t="n">
        <v>0</v>
      </c>
      <c r="F4" s="18" t="s">
        <v>120</v>
      </c>
      <c r="G4" s="18" t="s">
        <v>121</v>
      </c>
      <c r="H4" s="18" t="s">
        <v>117</v>
      </c>
      <c r="I4" s="18"/>
      <c r="J4" s="18"/>
      <c r="K4" s="18"/>
      <c r="L4" s="18" t="s">
        <v>109</v>
      </c>
      <c r="M4" s="18" t="s">
        <v>109</v>
      </c>
      <c r="N4" s="18"/>
      <c r="O4" s="18"/>
      <c r="P4" s="18" t="s">
        <v>122</v>
      </c>
      <c r="Q4" s="18" t="s">
        <v>123</v>
      </c>
      <c r="R4" s="18" t="s">
        <v>124</v>
      </c>
      <c r="S4" s="18" t="s">
        <v>125</v>
      </c>
      <c r="T4" s="18" t="s">
        <v>126</v>
      </c>
      <c r="U4" s="18"/>
      <c r="V4" s="19" t="s">
        <v>29</v>
      </c>
      <c r="W4" s="19"/>
      <c r="X4" s="19"/>
      <c r="Y4" s="20"/>
      <c r="Z4" s="19"/>
      <c r="AA4" s="18" t="str">
        <f aca="false">IF(OR(V4="Aprobada"),R4,IF(AND(OR(V4="Aprobada con ajuste",V4="Rechazada"),W4&lt;&gt;""),W4,""))</f>
        <v/>
      </c>
    </row>
    <row r="5" customFormat="false" ht="22.35" hidden="false" customHeight="false" outlineLevel="0" collapsed="false">
      <c r="A5" s="18" t="s">
        <v>127</v>
      </c>
      <c r="B5" s="18" t="s">
        <v>56</v>
      </c>
      <c r="C5" s="18" t="s">
        <v>57</v>
      </c>
      <c r="D5" s="18" t="s">
        <v>128</v>
      </c>
      <c r="E5" s="18" t="n">
        <v>28</v>
      </c>
      <c r="F5" s="18" t="s">
        <v>129</v>
      </c>
      <c r="G5" s="18" t="s">
        <v>121</v>
      </c>
      <c r="H5" s="18" t="s">
        <v>109</v>
      </c>
      <c r="I5" s="18"/>
      <c r="J5" s="18"/>
      <c r="K5" s="18"/>
      <c r="L5" s="18" t="s">
        <v>109</v>
      </c>
      <c r="M5" s="18" t="s">
        <v>109</v>
      </c>
      <c r="N5" s="18"/>
      <c r="O5" s="18"/>
      <c r="P5" s="18"/>
      <c r="Q5" s="18" t="s">
        <v>110</v>
      </c>
      <c r="R5" s="18" t="s">
        <v>130</v>
      </c>
      <c r="S5" s="18" t="s">
        <v>112</v>
      </c>
      <c r="T5" s="18" t="s">
        <v>113</v>
      </c>
      <c r="U5" s="18"/>
      <c r="V5" s="19" t="s">
        <v>29</v>
      </c>
      <c r="W5" s="19"/>
      <c r="X5" s="19"/>
      <c r="Y5" s="20"/>
      <c r="Z5" s="19"/>
      <c r="AA5" s="18" t="str">
        <f aca="false">IF(OR(V5="Aprobada"),R5,IF(AND(OR(V5="Aprobada con ajuste",V5="Rechazada"),W5&lt;&gt;""),W5,""))</f>
        <v/>
      </c>
    </row>
    <row r="6" customFormat="false" ht="22.35" hidden="false" customHeight="false" outlineLevel="0" collapsed="false">
      <c r="A6" s="18" t="s">
        <v>131</v>
      </c>
      <c r="B6" s="18" t="s">
        <v>56</v>
      </c>
      <c r="C6" s="18" t="s">
        <v>57</v>
      </c>
      <c r="D6" s="18" t="s">
        <v>128</v>
      </c>
      <c r="E6" s="18" t="n">
        <v>28</v>
      </c>
      <c r="F6" s="18" t="s">
        <v>132</v>
      </c>
      <c r="G6" s="18" t="s">
        <v>133</v>
      </c>
      <c r="H6" s="18" t="s">
        <v>117</v>
      </c>
      <c r="I6" s="18"/>
      <c r="J6" s="18"/>
      <c r="K6" s="18"/>
      <c r="L6" s="18" t="s">
        <v>109</v>
      </c>
      <c r="M6" s="18" t="s">
        <v>109</v>
      </c>
      <c r="N6" s="18"/>
      <c r="O6" s="18"/>
      <c r="P6" s="18"/>
      <c r="Q6" s="18" t="s">
        <v>134</v>
      </c>
      <c r="R6" s="18" t="s">
        <v>135</v>
      </c>
      <c r="S6" s="18" t="s">
        <v>125</v>
      </c>
      <c r="T6" s="18" t="s">
        <v>136</v>
      </c>
      <c r="U6" s="18"/>
      <c r="V6" s="19" t="s">
        <v>29</v>
      </c>
      <c r="W6" s="19"/>
      <c r="X6" s="19"/>
      <c r="Y6" s="20"/>
      <c r="Z6" s="19"/>
      <c r="AA6" s="18" t="str">
        <f aca="false">IF(OR(V6="Aprobada"),R6,IF(AND(OR(V6="Aprobada con ajuste",V6="Rechazada"),W6&lt;&gt;""),W6,""))</f>
        <v/>
      </c>
    </row>
    <row r="7" customFormat="false" ht="32.8" hidden="false" customHeight="false" outlineLevel="0" collapsed="false">
      <c r="A7" s="18" t="s">
        <v>137</v>
      </c>
      <c r="B7" s="18" t="s">
        <v>56</v>
      </c>
      <c r="C7" s="18" t="s">
        <v>57</v>
      </c>
      <c r="D7" s="18" t="s">
        <v>128</v>
      </c>
      <c r="E7" s="18" t="n">
        <v>28</v>
      </c>
      <c r="F7" s="18" t="s">
        <v>138</v>
      </c>
      <c r="G7" s="18" t="s">
        <v>139</v>
      </c>
      <c r="H7" s="18" t="s">
        <v>117</v>
      </c>
      <c r="I7" s="18" t="s">
        <v>140</v>
      </c>
      <c r="J7" s="18"/>
      <c r="K7" s="18"/>
      <c r="L7" s="18" t="s">
        <v>109</v>
      </c>
      <c r="M7" s="18" t="s">
        <v>109</v>
      </c>
      <c r="N7" s="18"/>
      <c r="O7" s="18"/>
      <c r="P7" s="18"/>
      <c r="Q7" s="18" t="s">
        <v>134</v>
      </c>
      <c r="R7" s="18" t="s">
        <v>141</v>
      </c>
      <c r="S7" s="18" t="s">
        <v>125</v>
      </c>
      <c r="T7" s="18" t="s">
        <v>142</v>
      </c>
      <c r="U7" s="18"/>
      <c r="V7" s="19" t="s">
        <v>29</v>
      </c>
      <c r="W7" s="19"/>
      <c r="X7" s="19"/>
      <c r="Y7" s="20"/>
      <c r="Z7" s="19"/>
      <c r="AA7" s="18" t="str">
        <f aca="false">IF(OR(V7="Aprobada"),R7,IF(AND(OR(V7="Aprobada con ajuste",V7="Rechazada"),W7&lt;&gt;""),W7,""))</f>
        <v/>
      </c>
    </row>
    <row r="8" customFormat="false" ht="32.8" hidden="false" customHeight="false" outlineLevel="0" collapsed="false">
      <c r="A8" s="18" t="s">
        <v>143</v>
      </c>
      <c r="B8" s="18" t="s">
        <v>56</v>
      </c>
      <c r="C8" s="18" t="s">
        <v>57</v>
      </c>
      <c r="D8" s="18" t="s">
        <v>128</v>
      </c>
      <c r="E8" s="18" t="n">
        <v>28</v>
      </c>
      <c r="F8" s="18" t="s">
        <v>144</v>
      </c>
      <c r="G8" s="18" t="s">
        <v>145</v>
      </c>
      <c r="H8" s="18" t="s">
        <v>109</v>
      </c>
      <c r="I8" s="18"/>
      <c r="J8" s="18"/>
      <c r="K8" s="18"/>
      <c r="L8" s="18" t="s">
        <v>109</v>
      </c>
      <c r="M8" s="18" t="s">
        <v>109</v>
      </c>
      <c r="N8" s="18"/>
      <c r="O8" s="18"/>
      <c r="P8" s="18" t="s">
        <v>146</v>
      </c>
      <c r="Q8" s="18" t="s">
        <v>123</v>
      </c>
      <c r="R8" s="18" t="s">
        <v>147</v>
      </c>
      <c r="S8" s="18" t="s">
        <v>125</v>
      </c>
      <c r="T8" s="18" t="s">
        <v>148</v>
      </c>
      <c r="U8" s="18"/>
      <c r="V8" s="19" t="s">
        <v>29</v>
      </c>
      <c r="W8" s="19"/>
      <c r="X8" s="19"/>
      <c r="Y8" s="20"/>
      <c r="Z8" s="19"/>
      <c r="AA8" s="18" t="str">
        <f aca="false">IF(OR(V8="Aprobada"),R8,IF(AND(OR(V8="Aprobada con ajuste",V8="Rechazada"),W8&lt;&gt;""),W8,""))</f>
        <v/>
      </c>
    </row>
    <row r="9" customFormat="false" ht="22.35" hidden="false" customHeight="false" outlineLevel="0" collapsed="false">
      <c r="A9" s="18" t="s">
        <v>149</v>
      </c>
      <c r="B9" s="18" t="s">
        <v>56</v>
      </c>
      <c r="C9" s="18" t="s">
        <v>57</v>
      </c>
      <c r="D9" s="18" t="s">
        <v>128</v>
      </c>
      <c r="E9" s="18" t="n">
        <v>28</v>
      </c>
      <c r="F9" s="18" t="s">
        <v>150</v>
      </c>
      <c r="G9" s="18" t="s">
        <v>151</v>
      </c>
      <c r="H9" s="18" t="s">
        <v>117</v>
      </c>
      <c r="I9" s="18" t="s">
        <v>140</v>
      </c>
      <c r="J9" s="18" t="s">
        <v>152</v>
      </c>
      <c r="K9" s="18"/>
      <c r="L9" s="18" t="s">
        <v>117</v>
      </c>
      <c r="M9" s="18" t="s">
        <v>109</v>
      </c>
      <c r="N9" s="18"/>
      <c r="O9" s="18"/>
      <c r="P9" s="18"/>
      <c r="Q9" s="18" t="s">
        <v>110</v>
      </c>
      <c r="R9" s="18" t="s">
        <v>153</v>
      </c>
      <c r="S9" s="18" t="s">
        <v>112</v>
      </c>
      <c r="T9" s="18" t="s">
        <v>113</v>
      </c>
      <c r="U9" s="18"/>
      <c r="V9" s="19" t="s">
        <v>29</v>
      </c>
      <c r="W9" s="19"/>
      <c r="X9" s="19"/>
      <c r="Y9" s="20"/>
      <c r="Z9" s="19"/>
      <c r="AA9" s="18" t="str">
        <f aca="false">IF(OR(V9="Aprobada"),R9,IF(AND(OR(V9="Aprobada con ajuste",V9="Rechazada"),W9&lt;&gt;""),W9,""))</f>
        <v/>
      </c>
    </row>
    <row r="10" customFormat="false" ht="22.35" hidden="false" customHeight="false" outlineLevel="0" collapsed="false">
      <c r="A10" s="18" t="s">
        <v>154</v>
      </c>
      <c r="B10" s="18" t="s">
        <v>56</v>
      </c>
      <c r="C10" s="18" t="s">
        <v>57</v>
      </c>
      <c r="D10" s="18" t="s">
        <v>128</v>
      </c>
      <c r="E10" s="18" t="n">
        <v>28</v>
      </c>
      <c r="F10" s="18" t="s">
        <v>155</v>
      </c>
      <c r="G10" s="18" t="s">
        <v>156</v>
      </c>
      <c r="H10" s="18" t="s">
        <v>117</v>
      </c>
      <c r="I10" s="18"/>
      <c r="J10" s="18"/>
      <c r="K10" s="18"/>
      <c r="L10" s="18" t="s">
        <v>109</v>
      </c>
      <c r="M10" s="18" t="s">
        <v>109</v>
      </c>
      <c r="N10" s="18"/>
      <c r="O10" s="18"/>
      <c r="P10" s="18"/>
      <c r="Q10" s="18" t="s">
        <v>134</v>
      </c>
      <c r="R10" s="18" t="s">
        <v>157</v>
      </c>
      <c r="S10" s="18" t="s">
        <v>112</v>
      </c>
      <c r="T10" s="18" t="s">
        <v>158</v>
      </c>
      <c r="U10" s="18" t="s">
        <v>159</v>
      </c>
      <c r="V10" s="19" t="s">
        <v>29</v>
      </c>
      <c r="W10" s="19"/>
      <c r="X10" s="19"/>
      <c r="Y10" s="20"/>
      <c r="Z10" s="19"/>
      <c r="AA10" s="18" t="str">
        <f aca="false">IF(OR(V10="Aprobada"),R10,IF(AND(OR(V10="Aprobada con ajuste",V10="Rechazada"),W10&lt;&gt;""),W10,""))</f>
        <v/>
      </c>
    </row>
    <row r="11" customFormat="false" ht="32.8" hidden="false" customHeight="false" outlineLevel="0" collapsed="false">
      <c r="A11" s="18" t="s">
        <v>160</v>
      </c>
      <c r="B11" s="18" t="s">
        <v>56</v>
      </c>
      <c r="C11" s="18" t="s">
        <v>57</v>
      </c>
      <c r="D11" s="18" t="s">
        <v>128</v>
      </c>
      <c r="E11" s="18" t="n">
        <v>28</v>
      </c>
      <c r="F11" s="18" t="s">
        <v>161</v>
      </c>
      <c r="G11" s="18" t="s">
        <v>151</v>
      </c>
      <c r="H11" s="18" t="s">
        <v>117</v>
      </c>
      <c r="I11" s="18"/>
      <c r="J11" s="18"/>
      <c r="K11" s="18"/>
      <c r="L11" s="18" t="s">
        <v>109</v>
      </c>
      <c r="M11" s="18" t="s">
        <v>109</v>
      </c>
      <c r="N11" s="18"/>
      <c r="O11" s="18"/>
      <c r="P11" s="18"/>
      <c r="Q11" s="18" t="s">
        <v>134</v>
      </c>
      <c r="R11" s="18" t="s">
        <v>162</v>
      </c>
      <c r="S11" s="18" t="s">
        <v>112</v>
      </c>
      <c r="T11" s="18" t="s">
        <v>163</v>
      </c>
      <c r="U11" s="18" t="s">
        <v>164</v>
      </c>
      <c r="V11" s="19" t="s">
        <v>29</v>
      </c>
      <c r="W11" s="19"/>
      <c r="X11" s="19"/>
      <c r="Y11" s="20"/>
      <c r="Z11" s="19"/>
      <c r="AA11" s="18" t="str">
        <f aca="false">IF(OR(V11="Aprobada"),R11,IF(AND(OR(V11="Aprobada con ajuste",V11="Rechazada"),W11&lt;&gt;""),W11,""))</f>
        <v/>
      </c>
    </row>
    <row r="12" customFormat="false" ht="22.35" hidden="false" customHeight="false" outlineLevel="0" collapsed="false">
      <c r="A12" s="18" t="s">
        <v>165</v>
      </c>
      <c r="B12" s="18" t="s">
        <v>56</v>
      </c>
      <c r="C12" s="18" t="s">
        <v>57</v>
      </c>
      <c r="D12" s="18" t="s">
        <v>128</v>
      </c>
      <c r="E12" s="18" t="n">
        <v>28</v>
      </c>
      <c r="F12" s="18" t="s">
        <v>166</v>
      </c>
      <c r="G12" s="18" t="s">
        <v>167</v>
      </c>
      <c r="H12" s="18" t="s">
        <v>117</v>
      </c>
      <c r="I12" s="18"/>
      <c r="J12" s="18"/>
      <c r="K12" s="18"/>
      <c r="L12" s="18" t="s">
        <v>109</v>
      </c>
      <c r="M12" s="18" t="s">
        <v>109</v>
      </c>
      <c r="N12" s="18"/>
      <c r="O12" s="18"/>
      <c r="P12" s="18"/>
      <c r="Q12" s="18" t="s">
        <v>134</v>
      </c>
      <c r="R12" s="18" t="s">
        <v>168</v>
      </c>
      <c r="S12" s="18" t="s">
        <v>169</v>
      </c>
      <c r="T12" s="18" t="s">
        <v>170</v>
      </c>
      <c r="U12" s="18" t="s">
        <v>171</v>
      </c>
      <c r="V12" s="19" t="s">
        <v>29</v>
      </c>
      <c r="W12" s="19"/>
      <c r="X12" s="19"/>
      <c r="Y12" s="20"/>
      <c r="Z12" s="19"/>
      <c r="AA12" s="18" t="str">
        <f aca="false">IF(OR(V12="Aprobada"),R12,IF(AND(OR(V12="Aprobada con ajuste",V12="Rechazada"),W12&lt;&gt;""),W12,""))</f>
        <v/>
      </c>
    </row>
    <row r="13" customFormat="false" ht="32.8" hidden="false" customHeight="false" outlineLevel="0" collapsed="false">
      <c r="A13" s="18" t="s">
        <v>172</v>
      </c>
      <c r="B13" s="18" t="s">
        <v>56</v>
      </c>
      <c r="C13" s="18" t="s">
        <v>57</v>
      </c>
      <c r="D13" s="18" t="s">
        <v>173</v>
      </c>
      <c r="E13" s="18" t="n">
        <v>46</v>
      </c>
      <c r="F13" s="18" t="s">
        <v>174</v>
      </c>
      <c r="G13" s="18" t="s">
        <v>167</v>
      </c>
      <c r="H13" s="18" t="s">
        <v>109</v>
      </c>
      <c r="I13" s="18"/>
      <c r="J13" s="18"/>
      <c r="K13" s="18"/>
      <c r="L13" s="18" t="s">
        <v>117</v>
      </c>
      <c r="M13" s="18" t="s">
        <v>109</v>
      </c>
      <c r="N13" s="18"/>
      <c r="O13" s="18" t="s">
        <v>175</v>
      </c>
      <c r="P13" s="18"/>
      <c r="Q13" s="18" t="s">
        <v>134</v>
      </c>
      <c r="R13" s="18" t="s">
        <v>176</v>
      </c>
      <c r="S13" s="18" t="s">
        <v>125</v>
      </c>
      <c r="T13" s="18" t="s">
        <v>177</v>
      </c>
      <c r="U13" s="18"/>
      <c r="V13" s="19" t="s">
        <v>29</v>
      </c>
      <c r="W13" s="19"/>
      <c r="X13" s="19"/>
      <c r="Y13" s="20"/>
      <c r="Z13" s="19"/>
      <c r="AA13" s="18" t="str">
        <f aca="false">IF(OR(V13="Aprobada"),R13,IF(AND(OR(V13="Aprobada con ajuste",V13="Rechazada"),W13&lt;&gt;""),W13,""))</f>
        <v/>
      </c>
    </row>
    <row r="14" customFormat="false" ht="32.8" hidden="false" customHeight="false" outlineLevel="0" collapsed="false">
      <c r="A14" s="18" t="s">
        <v>178</v>
      </c>
      <c r="B14" s="18" t="s">
        <v>56</v>
      </c>
      <c r="C14" s="18" t="s">
        <v>57</v>
      </c>
      <c r="D14" s="18" t="s">
        <v>173</v>
      </c>
      <c r="E14" s="18" t="n">
        <v>46</v>
      </c>
      <c r="F14" s="18" t="s">
        <v>179</v>
      </c>
      <c r="G14" s="18" t="s">
        <v>121</v>
      </c>
      <c r="H14" s="18" t="s">
        <v>109</v>
      </c>
      <c r="I14" s="18"/>
      <c r="J14" s="18"/>
      <c r="K14" s="18"/>
      <c r="L14" s="18" t="s">
        <v>117</v>
      </c>
      <c r="M14" s="18" t="s">
        <v>109</v>
      </c>
      <c r="N14" s="18"/>
      <c r="O14" s="18" t="s">
        <v>175</v>
      </c>
      <c r="P14" s="18"/>
      <c r="Q14" s="18" t="s">
        <v>134</v>
      </c>
      <c r="R14" s="18" t="s">
        <v>180</v>
      </c>
      <c r="S14" s="18" t="s">
        <v>125</v>
      </c>
      <c r="T14" s="18" t="s">
        <v>181</v>
      </c>
      <c r="U14" s="18"/>
      <c r="V14" s="19" t="s">
        <v>29</v>
      </c>
      <c r="W14" s="19"/>
      <c r="X14" s="19"/>
      <c r="Y14" s="20"/>
      <c r="Z14" s="19"/>
      <c r="AA14" s="18" t="str">
        <f aca="false">IF(OR(V14="Aprobada"),R14,IF(AND(OR(V14="Aprobada con ajuste",V14="Rechazada"),W14&lt;&gt;""),W14,""))</f>
        <v/>
      </c>
    </row>
    <row r="15" customFormat="false" ht="22.35" hidden="false" customHeight="false" outlineLevel="0" collapsed="false">
      <c r="A15" s="18" t="s">
        <v>182</v>
      </c>
      <c r="B15" s="18" t="s">
        <v>56</v>
      </c>
      <c r="C15" s="18" t="s">
        <v>57</v>
      </c>
      <c r="D15" s="18" t="s">
        <v>173</v>
      </c>
      <c r="E15" s="18" t="n">
        <v>46</v>
      </c>
      <c r="F15" s="18" t="s">
        <v>183</v>
      </c>
      <c r="G15" s="18" t="s">
        <v>184</v>
      </c>
      <c r="H15" s="18" t="s">
        <v>109</v>
      </c>
      <c r="I15" s="18"/>
      <c r="J15" s="18"/>
      <c r="K15" s="18"/>
      <c r="L15" s="18" t="s">
        <v>117</v>
      </c>
      <c r="M15" s="18" t="s">
        <v>109</v>
      </c>
      <c r="N15" s="18"/>
      <c r="O15" s="18"/>
      <c r="P15" s="18"/>
      <c r="Q15" s="18" t="s">
        <v>110</v>
      </c>
      <c r="R15" s="18" t="s">
        <v>185</v>
      </c>
      <c r="S15" s="18" t="s">
        <v>112</v>
      </c>
      <c r="T15" s="18" t="s">
        <v>113</v>
      </c>
      <c r="U15" s="18"/>
      <c r="V15" s="19" t="s">
        <v>29</v>
      </c>
      <c r="W15" s="19"/>
      <c r="X15" s="19"/>
      <c r="Y15" s="20"/>
      <c r="Z15" s="19"/>
      <c r="AA15" s="18" t="str">
        <f aca="false">IF(OR(V15="Aprobada"),R15,IF(AND(OR(V15="Aprobada con ajuste",V15="Rechazada"),W15&lt;&gt;""),W15,""))</f>
        <v/>
      </c>
    </row>
    <row r="16" customFormat="false" ht="43.25" hidden="false" customHeight="false" outlineLevel="0" collapsed="false">
      <c r="A16" s="18" t="s">
        <v>186</v>
      </c>
      <c r="B16" s="18" t="s">
        <v>56</v>
      </c>
      <c r="C16" s="18" t="s">
        <v>57</v>
      </c>
      <c r="D16" s="18" t="s">
        <v>187</v>
      </c>
      <c r="E16" s="18" t="n">
        <v>0</v>
      </c>
      <c r="F16" s="18" t="s">
        <v>188</v>
      </c>
      <c r="G16" s="18" t="s">
        <v>133</v>
      </c>
      <c r="H16" s="18" t="s">
        <v>109</v>
      </c>
      <c r="I16" s="18"/>
      <c r="J16" s="18"/>
      <c r="K16" s="18"/>
      <c r="L16" s="18" t="s">
        <v>109</v>
      </c>
      <c r="M16" s="18" t="s">
        <v>109</v>
      </c>
      <c r="N16" s="18"/>
      <c r="O16" s="18" t="s">
        <v>189</v>
      </c>
      <c r="P16" s="18" t="s">
        <v>190</v>
      </c>
      <c r="Q16" s="18" t="s">
        <v>123</v>
      </c>
      <c r="R16" s="18" t="s">
        <v>191</v>
      </c>
      <c r="S16" s="18" t="s">
        <v>125</v>
      </c>
      <c r="T16" s="18" t="s">
        <v>192</v>
      </c>
      <c r="U16" s="18"/>
      <c r="V16" s="19" t="s">
        <v>29</v>
      </c>
      <c r="W16" s="19"/>
      <c r="X16" s="19"/>
      <c r="Y16" s="20"/>
      <c r="Z16" s="19"/>
      <c r="AA16" s="18" t="str">
        <f aca="false">IF(OR(V16="Aprobada"),R16,IF(AND(OR(V16="Aprobada con ajuste",V16="Rechazada"),W16&lt;&gt;""),W16,""))</f>
        <v/>
      </c>
    </row>
    <row r="17" customFormat="false" ht="22.35" hidden="false" customHeight="false" outlineLevel="0" collapsed="false">
      <c r="A17" s="18" t="s">
        <v>193</v>
      </c>
      <c r="B17" s="18" t="s">
        <v>56</v>
      </c>
      <c r="C17" s="18" t="s">
        <v>57</v>
      </c>
      <c r="D17" s="18" t="s">
        <v>187</v>
      </c>
      <c r="E17" s="18" t="n">
        <v>0</v>
      </c>
      <c r="F17" s="18" t="s">
        <v>194</v>
      </c>
      <c r="G17" s="18" t="s">
        <v>195</v>
      </c>
      <c r="H17" s="18" t="s">
        <v>109</v>
      </c>
      <c r="I17" s="18" t="s">
        <v>140</v>
      </c>
      <c r="J17" s="18" t="s">
        <v>196</v>
      </c>
      <c r="K17" s="18"/>
      <c r="L17" s="18" t="s">
        <v>117</v>
      </c>
      <c r="M17" s="18" t="s">
        <v>109</v>
      </c>
      <c r="N17" s="18"/>
      <c r="O17" s="18" t="s">
        <v>197</v>
      </c>
      <c r="P17" s="18"/>
      <c r="Q17" s="18" t="s">
        <v>134</v>
      </c>
      <c r="R17" s="18" t="s">
        <v>198</v>
      </c>
      <c r="S17" s="18" t="s">
        <v>125</v>
      </c>
      <c r="T17" s="18" t="s">
        <v>199</v>
      </c>
      <c r="U17" s="18"/>
      <c r="V17" s="19" t="s">
        <v>29</v>
      </c>
      <c r="W17" s="19"/>
      <c r="X17" s="19"/>
      <c r="Y17" s="20"/>
      <c r="Z17" s="19"/>
      <c r="AA17" s="18" t="str">
        <f aca="false">IF(OR(V17="Aprobada"),R17,IF(AND(OR(V17="Aprobada con ajuste",V17="Rechazada"),W17&lt;&gt;""),W17,""))</f>
        <v/>
      </c>
    </row>
    <row r="18" customFormat="false" ht="22.35" hidden="false" customHeight="false" outlineLevel="0" collapsed="false">
      <c r="A18" s="18" t="s">
        <v>200</v>
      </c>
      <c r="B18" s="18" t="s">
        <v>56</v>
      </c>
      <c r="C18" s="18" t="s">
        <v>57</v>
      </c>
      <c r="D18" s="18" t="s">
        <v>187</v>
      </c>
      <c r="E18" s="18" t="n">
        <v>0</v>
      </c>
      <c r="F18" s="18" t="s">
        <v>107</v>
      </c>
      <c r="G18" s="18" t="s">
        <v>151</v>
      </c>
      <c r="H18" s="18" t="s">
        <v>109</v>
      </c>
      <c r="I18" s="18" t="s">
        <v>140</v>
      </c>
      <c r="J18" s="18" t="s">
        <v>201</v>
      </c>
      <c r="K18" s="18"/>
      <c r="L18" s="18" t="s">
        <v>117</v>
      </c>
      <c r="M18" s="18" t="s">
        <v>109</v>
      </c>
      <c r="N18" s="18"/>
      <c r="O18" s="18" t="s">
        <v>202</v>
      </c>
      <c r="P18" s="18"/>
      <c r="Q18" s="18" t="s">
        <v>110</v>
      </c>
      <c r="R18" s="18" t="s">
        <v>203</v>
      </c>
      <c r="S18" s="18" t="s">
        <v>112</v>
      </c>
      <c r="T18" s="18" t="s">
        <v>113</v>
      </c>
      <c r="U18" s="18"/>
      <c r="V18" s="19" t="s">
        <v>29</v>
      </c>
      <c r="W18" s="19"/>
      <c r="X18" s="19"/>
      <c r="Y18" s="20"/>
      <c r="Z18" s="19"/>
      <c r="AA18" s="18" t="str">
        <f aca="false">IF(OR(V18="Aprobada"),R18,IF(AND(OR(V18="Aprobada con ajuste",V18="Rechazada"),W18&lt;&gt;""),W18,""))</f>
        <v/>
      </c>
    </row>
    <row r="19" customFormat="false" ht="22.35" hidden="false" customHeight="false" outlineLevel="0" collapsed="false">
      <c r="A19" s="18" t="s">
        <v>204</v>
      </c>
      <c r="B19" s="18" t="s">
        <v>56</v>
      </c>
      <c r="C19" s="18" t="s">
        <v>57</v>
      </c>
      <c r="D19" s="18" t="s">
        <v>187</v>
      </c>
      <c r="E19" s="18" t="n">
        <v>0</v>
      </c>
      <c r="F19" s="18" t="s">
        <v>205</v>
      </c>
      <c r="G19" s="18" t="s">
        <v>206</v>
      </c>
      <c r="H19" s="18" t="s">
        <v>109</v>
      </c>
      <c r="I19" s="18"/>
      <c r="J19" s="18"/>
      <c r="K19" s="18"/>
      <c r="L19" s="18" t="s">
        <v>109</v>
      </c>
      <c r="M19" s="18" t="s">
        <v>109</v>
      </c>
      <c r="N19" s="18"/>
      <c r="O19" s="18"/>
      <c r="P19" s="18"/>
      <c r="Q19" s="18" t="s">
        <v>134</v>
      </c>
      <c r="R19" s="18" t="s">
        <v>207</v>
      </c>
      <c r="S19" s="18" t="s">
        <v>112</v>
      </c>
      <c r="T19" s="18" t="s">
        <v>208</v>
      </c>
      <c r="U19" s="18" t="s">
        <v>209</v>
      </c>
      <c r="V19" s="19" t="s">
        <v>29</v>
      </c>
      <c r="W19" s="19"/>
      <c r="X19" s="19"/>
      <c r="Y19" s="20"/>
      <c r="Z19" s="19"/>
      <c r="AA19" s="18" t="str">
        <f aca="false">IF(OR(V19="Aprobada"),R19,IF(AND(OR(V19="Aprobada con ajuste",V19="Rechazada"),W19&lt;&gt;""),W19,""))</f>
        <v/>
      </c>
    </row>
    <row r="20" customFormat="false" ht="22.35" hidden="false" customHeight="false" outlineLevel="0" collapsed="false">
      <c r="A20" s="18" t="s">
        <v>210</v>
      </c>
      <c r="B20" s="18" t="s">
        <v>56</v>
      </c>
      <c r="C20" s="18" t="s">
        <v>57</v>
      </c>
      <c r="D20" s="18" t="s">
        <v>187</v>
      </c>
      <c r="E20" s="18" t="n">
        <v>0</v>
      </c>
      <c r="F20" s="18" t="s">
        <v>211</v>
      </c>
      <c r="G20" s="18" t="s">
        <v>212</v>
      </c>
      <c r="H20" s="18" t="s">
        <v>109</v>
      </c>
      <c r="I20" s="18"/>
      <c r="J20" s="18"/>
      <c r="K20" s="18"/>
      <c r="L20" s="18" t="s">
        <v>109</v>
      </c>
      <c r="M20" s="18" t="s">
        <v>109</v>
      </c>
      <c r="N20" s="18"/>
      <c r="O20" s="18"/>
      <c r="P20" s="18"/>
      <c r="Q20" s="18" t="s">
        <v>134</v>
      </c>
      <c r="R20" s="18" t="s">
        <v>213</v>
      </c>
      <c r="S20" s="18" t="s">
        <v>112</v>
      </c>
      <c r="T20" s="18" t="s">
        <v>214</v>
      </c>
      <c r="U20" s="18" t="s">
        <v>215</v>
      </c>
      <c r="V20" s="19" t="s">
        <v>29</v>
      </c>
      <c r="W20" s="19"/>
      <c r="X20" s="19"/>
      <c r="Y20" s="20"/>
      <c r="Z20" s="19"/>
      <c r="AA20" s="18" t="str">
        <f aca="false">IF(OR(V20="Aprobada"),R20,IF(AND(OR(V20="Aprobada con ajuste",V20="Rechazada"),W20&lt;&gt;""),W20,""))</f>
        <v/>
      </c>
    </row>
    <row r="21" customFormat="false" ht="22.35" hidden="false" customHeight="false" outlineLevel="0" collapsed="false">
      <c r="A21" s="18" t="s">
        <v>216</v>
      </c>
      <c r="B21" s="18" t="s">
        <v>56</v>
      </c>
      <c r="C21" s="18" t="s">
        <v>57</v>
      </c>
      <c r="D21" s="18" t="s">
        <v>187</v>
      </c>
      <c r="E21" s="18" t="n">
        <v>0</v>
      </c>
      <c r="F21" s="18" t="s">
        <v>217</v>
      </c>
      <c r="G21" s="18" t="s">
        <v>218</v>
      </c>
      <c r="H21" s="18" t="s">
        <v>109</v>
      </c>
      <c r="I21" s="18"/>
      <c r="J21" s="18"/>
      <c r="K21" s="18"/>
      <c r="L21" s="18" t="s">
        <v>109</v>
      </c>
      <c r="M21" s="18" t="s">
        <v>109</v>
      </c>
      <c r="N21" s="18"/>
      <c r="O21" s="18"/>
      <c r="P21" s="18"/>
      <c r="Q21" s="18" t="s">
        <v>134</v>
      </c>
      <c r="R21" s="18" t="s">
        <v>219</v>
      </c>
      <c r="S21" s="18" t="s">
        <v>112</v>
      </c>
      <c r="T21" s="18" t="s">
        <v>220</v>
      </c>
      <c r="U21" s="18" t="s">
        <v>221</v>
      </c>
      <c r="V21" s="19" t="s">
        <v>29</v>
      </c>
      <c r="W21" s="19"/>
      <c r="X21" s="19"/>
      <c r="Y21" s="20"/>
      <c r="Z21" s="19"/>
      <c r="AA21" s="18" t="str">
        <f aca="false">IF(OR(V21="Aprobada"),R21,IF(AND(OR(V21="Aprobada con ajuste",V21="Rechazada"),W21&lt;&gt;""),W21,""))</f>
        <v/>
      </c>
    </row>
    <row r="22" customFormat="false" ht="22.35" hidden="false" customHeight="false" outlineLevel="0" collapsed="false">
      <c r="A22" s="18" t="s">
        <v>222</v>
      </c>
      <c r="B22" s="18" t="s">
        <v>56</v>
      </c>
      <c r="C22" s="18" t="s">
        <v>57</v>
      </c>
      <c r="D22" s="18" t="s">
        <v>187</v>
      </c>
      <c r="E22" s="18" t="n">
        <v>0</v>
      </c>
      <c r="F22" s="18" t="s">
        <v>223</v>
      </c>
      <c r="G22" s="18" t="s">
        <v>116</v>
      </c>
      <c r="H22" s="18" t="s">
        <v>117</v>
      </c>
      <c r="I22" s="18"/>
      <c r="J22" s="18"/>
      <c r="K22" s="18"/>
      <c r="L22" s="18" t="s">
        <v>109</v>
      </c>
      <c r="M22" s="18" t="s">
        <v>109</v>
      </c>
      <c r="N22" s="18"/>
      <c r="O22" s="18"/>
      <c r="P22" s="18"/>
      <c r="Q22" s="18" t="s">
        <v>134</v>
      </c>
      <c r="R22" s="18" t="s">
        <v>224</v>
      </c>
      <c r="S22" s="18" t="s">
        <v>125</v>
      </c>
      <c r="T22" s="18" t="s">
        <v>225</v>
      </c>
      <c r="U22" s="18"/>
      <c r="V22" s="19" t="s">
        <v>29</v>
      </c>
      <c r="W22" s="19"/>
      <c r="X22" s="19"/>
      <c r="Y22" s="20"/>
      <c r="Z22" s="19"/>
      <c r="AA22" s="18" t="str">
        <f aca="false">IF(OR(V22="Aprobada"),R22,IF(AND(OR(V22="Aprobada con ajuste",V22="Rechazada"),W22&lt;&gt;""),W22,""))</f>
        <v/>
      </c>
    </row>
    <row r="23" customFormat="false" ht="32.8" hidden="false" customHeight="false" outlineLevel="0" collapsed="false">
      <c r="A23" s="18" t="s">
        <v>226</v>
      </c>
      <c r="B23" s="18" t="s">
        <v>56</v>
      </c>
      <c r="C23" s="18" t="s">
        <v>57</v>
      </c>
      <c r="D23" s="18" t="s">
        <v>187</v>
      </c>
      <c r="E23" s="18" t="n">
        <v>0</v>
      </c>
      <c r="F23" s="18" t="s">
        <v>227</v>
      </c>
      <c r="G23" s="18" t="s">
        <v>184</v>
      </c>
      <c r="H23" s="18" t="s">
        <v>117</v>
      </c>
      <c r="I23" s="18"/>
      <c r="J23" s="18"/>
      <c r="K23" s="18"/>
      <c r="L23" s="18" t="s">
        <v>109</v>
      </c>
      <c r="M23" s="18" t="s">
        <v>109</v>
      </c>
      <c r="N23" s="18"/>
      <c r="O23" s="18"/>
      <c r="P23" s="18" t="s">
        <v>228</v>
      </c>
      <c r="Q23" s="18" t="s">
        <v>123</v>
      </c>
      <c r="R23" s="18" t="s">
        <v>229</v>
      </c>
      <c r="S23" s="18" t="s">
        <v>125</v>
      </c>
      <c r="T23" s="18" t="s">
        <v>230</v>
      </c>
      <c r="U23" s="18" t="s">
        <v>231</v>
      </c>
      <c r="V23" s="19" t="s">
        <v>29</v>
      </c>
      <c r="W23" s="19"/>
      <c r="X23" s="19"/>
      <c r="Y23" s="20"/>
      <c r="Z23" s="19"/>
      <c r="AA23" s="18" t="str">
        <f aca="false">IF(OR(V23="Aprobada"),R23,IF(AND(OR(V23="Aprobada con ajuste",V23="Rechazada"),W23&lt;&gt;""),W23,""))</f>
        <v/>
      </c>
    </row>
    <row r="24" customFormat="false" ht="22.35" hidden="false" customHeight="false" outlineLevel="0" collapsed="false">
      <c r="A24" s="18" t="s">
        <v>232</v>
      </c>
      <c r="B24" s="18" t="s">
        <v>56</v>
      </c>
      <c r="C24" s="18" t="s">
        <v>57</v>
      </c>
      <c r="D24" s="18" t="s">
        <v>187</v>
      </c>
      <c r="E24" s="18" t="n">
        <v>0</v>
      </c>
      <c r="F24" s="18" t="s">
        <v>233</v>
      </c>
      <c r="G24" s="18" t="s">
        <v>116</v>
      </c>
      <c r="H24" s="18" t="s">
        <v>117</v>
      </c>
      <c r="I24" s="18"/>
      <c r="J24" s="18"/>
      <c r="K24" s="18"/>
      <c r="L24" s="18" t="s">
        <v>109</v>
      </c>
      <c r="M24" s="18" t="s">
        <v>109</v>
      </c>
      <c r="N24" s="18"/>
      <c r="O24" s="18"/>
      <c r="P24" s="18"/>
      <c r="Q24" s="18" t="s">
        <v>134</v>
      </c>
      <c r="R24" s="18" t="s">
        <v>234</v>
      </c>
      <c r="S24" s="18" t="s">
        <v>125</v>
      </c>
      <c r="T24" s="18" t="s">
        <v>235</v>
      </c>
      <c r="U24" s="18"/>
      <c r="V24" s="19" t="s">
        <v>29</v>
      </c>
      <c r="W24" s="19"/>
      <c r="X24" s="19"/>
      <c r="Y24" s="20"/>
      <c r="Z24" s="19"/>
      <c r="AA24" s="18" t="str">
        <f aca="false">IF(OR(V24="Aprobada"),R24,IF(AND(OR(V24="Aprobada con ajuste",V24="Rechazada"),W24&lt;&gt;""),W24,""))</f>
        <v/>
      </c>
    </row>
    <row r="25" customFormat="false" ht="22.35" hidden="false" customHeight="false" outlineLevel="0" collapsed="false">
      <c r="A25" s="18" t="s">
        <v>236</v>
      </c>
      <c r="B25" s="18" t="s">
        <v>56</v>
      </c>
      <c r="C25" s="18" t="s">
        <v>57</v>
      </c>
      <c r="D25" s="18" t="s">
        <v>187</v>
      </c>
      <c r="E25" s="18" t="n">
        <v>0</v>
      </c>
      <c r="F25" s="18" t="s">
        <v>237</v>
      </c>
      <c r="G25" s="18" t="s">
        <v>133</v>
      </c>
      <c r="H25" s="18" t="s">
        <v>117</v>
      </c>
      <c r="I25" s="18"/>
      <c r="J25" s="18"/>
      <c r="K25" s="18"/>
      <c r="L25" s="18" t="s">
        <v>109</v>
      </c>
      <c r="M25" s="18" t="s">
        <v>109</v>
      </c>
      <c r="N25" s="18"/>
      <c r="O25" s="18"/>
      <c r="P25" s="18"/>
      <c r="Q25" s="18" t="s">
        <v>134</v>
      </c>
      <c r="R25" s="18" t="s">
        <v>238</v>
      </c>
      <c r="S25" s="18" t="s">
        <v>169</v>
      </c>
      <c r="T25" s="18" t="s">
        <v>239</v>
      </c>
      <c r="U25" s="18" t="s">
        <v>240</v>
      </c>
      <c r="V25" s="19" t="s">
        <v>29</v>
      </c>
      <c r="W25" s="19"/>
      <c r="X25" s="19"/>
      <c r="Y25" s="20"/>
      <c r="Z25" s="19"/>
      <c r="AA25" s="18" t="str">
        <f aca="false">IF(OR(V25="Aprobada"),R25,IF(AND(OR(V25="Aprobada con ajuste",V25="Rechazada"),W25&lt;&gt;""),W25,""))</f>
        <v/>
      </c>
    </row>
    <row r="26" customFormat="false" ht="22.35" hidden="false" customHeight="false" outlineLevel="0" collapsed="false">
      <c r="A26" s="18" t="s">
        <v>241</v>
      </c>
      <c r="B26" s="18" t="s">
        <v>56</v>
      </c>
      <c r="C26" s="18" t="s">
        <v>57</v>
      </c>
      <c r="D26" s="18" t="s">
        <v>242</v>
      </c>
      <c r="E26" s="18" t="n">
        <v>0</v>
      </c>
      <c r="F26" s="18" t="s">
        <v>243</v>
      </c>
      <c r="G26" s="18" t="s">
        <v>151</v>
      </c>
      <c r="H26" s="18" t="s">
        <v>109</v>
      </c>
      <c r="I26" s="18" t="s">
        <v>140</v>
      </c>
      <c r="J26" s="18" t="s">
        <v>244</v>
      </c>
      <c r="K26" s="18"/>
      <c r="L26" s="18" t="s">
        <v>117</v>
      </c>
      <c r="M26" s="18" t="s">
        <v>109</v>
      </c>
      <c r="N26" s="18"/>
      <c r="O26" s="18"/>
      <c r="P26" s="18"/>
      <c r="Q26" s="18" t="s">
        <v>134</v>
      </c>
      <c r="R26" s="18" t="s">
        <v>245</v>
      </c>
      <c r="S26" s="18" t="s">
        <v>125</v>
      </c>
      <c r="T26" s="18" t="s">
        <v>246</v>
      </c>
      <c r="U26" s="18"/>
      <c r="V26" s="19" t="s">
        <v>29</v>
      </c>
      <c r="W26" s="19"/>
      <c r="X26" s="19"/>
      <c r="Y26" s="20"/>
      <c r="Z26" s="19"/>
      <c r="AA26" s="18" t="str">
        <f aca="false">IF(OR(V26="Aprobada"),R26,IF(AND(OR(V26="Aprobada con ajuste",V26="Rechazada"),W26&lt;&gt;""),W26,""))</f>
        <v/>
      </c>
    </row>
    <row r="27" customFormat="false" ht="22.35" hidden="false" customHeight="false" outlineLevel="0" collapsed="false">
      <c r="A27" s="18" t="s">
        <v>247</v>
      </c>
      <c r="B27" s="18" t="s">
        <v>56</v>
      </c>
      <c r="C27" s="18" t="s">
        <v>57</v>
      </c>
      <c r="D27" s="18" t="s">
        <v>242</v>
      </c>
      <c r="E27" s="18" t="n">
        <v>0</v>
      </c>
      <c r="F27" s="18" t="s">
        <v>248</v>
      </c>
      <c r="G27" s="18" t="s">
        <v>249</v>
      </c>
      <c r="H27" s="18" t="s">
        <v>109</v>
      </c>
      <c r="I27" s="18"/>
      <c r="J27" s="18"/>
      <c r="K27" s="18"/>
      <c r="L27" s="18" t="s">
        <v>109</v>
      </c>
      <c r="M27" s="18" t="s">
        <v>109</v>
      </c>
      <c r="N27" s="18"/>
      <c r="O27" s="18"/>
      <c r="P27" s="18"/>
      <c r="Q27" s="18" t="s">
        <v>134</v>
      </c>
      <c r="R27" s="18" t="s">
        <v>250</v>
      </c>
      <c r="S27" s="18" t="s">
        <v>125</v>
      </c>
      <c r="T27" s="18" t="s">
        <v>251</v>
      </c>
      <c r="U27" s="18"/>
      <c r="V27" s="19" t="s">
        <v>29</v>
      </c>
      <c r="W27" s="19"/>
      <c r="X27" s="19"/>
      <c r="Y27" s="20"/>
      <c r="Z27" s="19"/>
      <c r="AA27" s="18" t="str">
        <f aca="false">IF(OR(V27="Aprobada"),R27,IF(AND(OR(V27="Aprobada con ajuste",V27="Rechazada"),W27&lt;&gt;""),W27,""))</f>
        <v/>
      </c>
    </row>
    <row r="28" customFormat="false" ht="22.35" hidden="false" customHeight="false" outlineLevel="0" collapsed="false">
      <c r="A28" s="18" t="s">
        <v>252</v>
      </c>
      <c r="B28" s="18" t="s">
        <v>56</v>
      </c>
      <c r="C28" s="18" t="s">
        <v>57</v>
      </c>
      <c r="D28" s="18" t="s">
        <v>242</v>
      </c>
      <c r="E28" s="18" t="n">
        <v>0</v>
      </c>
      <c r="F28" s="18" t="s">
        <v>253</v>
      </c>
      <c r="G28" s="18" t="s">
        <v>184</v>
      </c>
      <c r="H28" s="18" t="s">
        <v>109</v>
      </c>
      <c r="I28" s="18"/>
      <c r="J28" s="18"/>
      <c r="K28" s="18"/>
      <c r="L28" s="18" t="s">
        <v>109</v>
      </c>
      <c r="M28" s="18" t="s">
        <v>109</v>
      </c>
      <c r="N28" s="18"/>
      <c r="O28" s="18"/>
      <c r="P28" s="18"/>
      <c r="Q28" s="18" t="s">
        <v>110</v>
      </c>
      <c r="R28" s="18" t="s">
        <v>254</v>
      </c>
      <c r="S28" s="18" t="s">
        <v>112</v>
      </c>
      <c r="T28" s="18" t="s">
        <v>113</v>
      </c>
      <c r="U28" s="18"/>
      <c r="V28" s="19" t="s">
        <v>29</v>
      </c>
      <c r="W28" s="19"/>
      <c r="X28" s="19"/>
      <c r="Y28" s="20"/>
      <c r="Z28" s="19"/>
      <c r="AA28" s="18" t="str">
        <f aca="false">IF(OR(V28="Aprobada"),R28,IF(AND(OR(V28="Aprobada con ajuste",V28="Rechazada"),W28&lt;&gt;""),W28,""))</f>
        <v/>
      </c>
    </row>
    <row r="29" customFormat="false" ht="22.35" hidden="false" customHeight="false" outlineLevel="0" collapsed="false">
      <c r="A29" s="18" t="s">
        <v>255</v>
      </c>
      <c r="B29" s="18" t="s">
        <v>56</v>
      </c>
      <c r="C29" s="18" t="s">
        <v>57</v>
      </c>
      <c r="D29" s="18" t="s">
        <v>242</v>
      </c>
      <c r="E29" s="18" t="n">
        <v>0</v>
      </c>
      <c r="F29" s="18" t="s">
        <v>256</v>
      </c>
      <c r="G29" s="18" t="s">
        <v>195</v>
      </c>
      <c r="H29" s="18" t="s">
        <v>109</v>
      </c>
      <c r="I29" s="18" t="s">
        <v>140</v>
      </c>
      <c r="J29" s="18" t="s">
        <v>257</v>
      </c>
      <c r="K29" s="18"/>
      <c r="L29" s="18" t="s">
        <v>117</v>
      </c>
      <c r="M29" s="18" t="s">
        <v>109</v>
      </c>
      <c r="N29" s="18"/>
      <c r="O29" s="18"/>
      <c r="P29" s="18"/>
      <c r="Q29" s="18" t="s">
        <v>134</v>
      </c>
      <c r="R29" s="18" t="s">
        <v>258</v>
      </c>
      <c r="S29" s="18" t="s">
        <v>125</v>
      </c>
      <c r="T29" s="18" t="s">
        <v>259</v>
      </c>
      <c r="U29" s="18"/>
      <c r="V29" s="19" t="s">
        <v>29</v>
      </c>
      <c r="W29" s="19"/>
      <c r="X29" s="19"/>
      <c r="Y29" s="20"/>
      <c r="Z29" s="19"/>
      <c r="AA29" s="18" t="str">
        <f aca="false">IF(OR(V29="Aprobada"),R29,IF(AND(OR(V29="Aprobada con ajuste",V29="Rechazada"),W29&lt;&gt;""),W29,""))</f>
        <v/>
      </c>
    </row>
    <row r="30" customFormat="false" ht="32.8" hidden="false" customHeight="false" outlineLevel="0" collapsed="false">
      <c r="A30" s="18" t="s">
        <v>260</v>
      </c>
      <c r="B30" s="18" t="s">
        <v>56</v>
      </c>
      <c r="C30" s="18" t="s">
        <v>57</v>
      </c>
      <c r="D30" s="18" t="s">
        <v>242</v>
      </c>
      <c r="E30" s="18" t="n">
        <v>0</v>
      </c>
      <c r="F30" s="18" t="s">
        <v>217</v>
      </c>
      <c r="G30" s="18" t="s">
        <v>218</v>
      </c>
      <c r="H30" s="18" t="s">
        <v>109</v>
      </c>
      <c r="I30" s="18"/>
      <c r="J30" s="18"/>
      <c r="K30" s="18"/>
      <c r="L30" s="18" t="s">
        <v>109</v>
      </c>
      <c r="M30" s="18" t="s">
        <v>109</v>
      </c>
      <c r="N30" s="18"/>
      <c r="O30" s="18"/>
      <c r="P30" s="18"/>
      <c r="Q30" s="18" t="s">
        <v>134</v>
      </c>
      <c r="R30" s="18" t="s">
        <v>261</v>
      </c>
      <c r="S30" s="18" t="s">
        <v>112</v>
      </c>
      <c r="T30" s="18" t="s">
        <v>220</v>
      </c>
      <c r="U30" s="18" t="s">
        <v>262</v>
      </c>
      <c r="V30" s="19" t="s">
        <v>29</v>
      </c>
      <c r="W30" s="19"/>
      <c r="X30" s="19"/>
      <c r="Y30" s="20"/>
      <c r="Z30" s="19"/>
      <c r="AA30" s="18" t="str">
        <f aca="false">IF(OR(V30="Aprobada"),R30,IF(AND(OR(V30="Aprobada con ajuste",V30="Rechazada"),W30&lt;&gt;""),W30,""))</f>
        <v/>
      </c>
    </row>
    <row r="31" customFormat="false" ht="43.25" hidden="false" customHeight="false" outlineLevel="0" collapsed="false">
      <c r="A31" s="18" t="s">
        <v>263</v>
      </c>
      <c r="B31" s="18" t="s">
        <v>56</v>
      </c>
      <c r="C31" s="18" t="s">
        <v>57</v>
      </c>
      <c r="D31" s="18" t="s">
        <v>242</v>
      </c>
      <c r="E31" s="18" t="n">
        <v>0</v>
      </c>
      <c r="F31" s="18" t="s">
        <v>264</v>
      </c>
      <c r="G31" s="18" t="s">
        <v>265</v>
      </c>
      <c r="H31" s="18" t="s">
        <v>109</v>
      </c>
      <c r="I31" s="18"/>
      <c r="J31" s="18"/>
      <c r="K31" s="18"/>
      <c r="L31" s="18" t="s">
        <v>109</v>
      </c>
      <c r="M31" s="18" t="s">
        <v>109</v>
      </c>
      <c r="N31" s="18"/>
      <c r="O31" s="18"/>
      <c r="P31" s="18" t="s">
        <v>266</v>
      </c>
      <c r="Q31" s="18" t="s">
        <v>123</v>
      </c>
      <c r="R31" s="18" t="s">
        <v>267</v>
      </c>
      <c r="S31" s="18" t="s">
        <v>125</v>
      </c>
      <c r="T31" s="18" t="s">
        <v>268</v>
      </c>
      <c r="U31" s="18"/>
      <c r="V31" s="19" t="s">
        <v>29</v>
      </c>
      <c r="W31" s="19"/>
      <c r="X31" s="19"/>
      <c r="Y31" s="20"/>
      <c r="Z31" s="19"/>
      <c r="AA31" s="18" t="str">
        <f aca="false">IF(OR(V31="Aprobada"),R31,IF(AND(OR(V31="Aprobada con ajuste",V31="Rechazada"),W31&lt;&gt;""),W31,""))</f>
        <v/>
      </c>
    </row>
    <row r="32" customFormat="false" ht="22.35" hidden="false" customHeight="false" outlineLevel="0" collapsed="false">
      <c r="A32" s="18" t="s">
        <v>269</v>
      </c>
      <c r="B32" s="18" t="s">
        <v>56</v>
      </c>
      <c r="C32" s="18" t="s">
        <v>57</v>
      </c>
      <c r="D32" s="18" t="s">
        <v>270</v>
      </c>
      <c r="E32" s="18" t="n">
        <v>0</v>
      </c>
      <c r="F32" s="18" t="s">
        <v>271</v>
      </c>
      <c r="G32" s="18" t="s">
        <v>151</v>
      </c>
      <c r="H32" s="18" t="s">
        <v>109</v>
      </c>
      <c r="I32" s="18"/>
      <c r="J32" s="18"/>
      <c r="K32" s="18"/>
      <c r="L32" s="18" t="s">
        <v>109</v>
      </c>
      <c r="M32" s="18" t="s">
        <v>109</v>
      </c>
      <c r="N32" s="18"/>
      <c r="O32" s="18"/>
      <c r="P32" s="18"/>
      <c r="Q32" s="18" t="s">
        <v>134</v>
      </c>
      <c r="R32" s="18" t="s">
        <v>272</v>
      </c>
      <c r="S32" s="18" t="s">
        <v>112</v>
      </c>
      <c r="T32" s="18" t="s">
        <v>273</v>
      </c>
      <c r="U32" s="18" t="s">
        <v>274</v>
      </c>
      <c r="V32" s="19" t="s">
        <v>29</v>
      </c>
      <c r="W32" s="19"/>
      <c r="X32" s="19"/>
      <c r="Y32" s="20"/>
      <c r="Z32" s="19"/>
      <c r="AA32" s="18" t="str">
        <f aca="false">IF(OR(V32="Aprobada"),R32,IF(AND(OR(V32="Aprobada con ajuste",V32="Rechazada"),W32&lt;&gt;""),W32,""))</f>
        <v/>
      </c>
    </row>
    <row r="33" customFormat="false" ht="22.35" hidden="false" customHeight="false" outlineLevel="0" collapsed="false">
      <c r="A33" s="18" t="s">
        <v>275</v>
      </c>
      <c r="B33" s="18" t="s">
        <v>56</v>
      </c>
      <c r="C33" s="18" t="s">
        <v>57</v>
      </c>
      <c r="D33" s="18" t="s">
        <v>270</v>
      </c>
      <c r="E33" s="18" t="n">
        <v>0</v>
      </c>
      <c r="F33" s="18" t="s">
        <v>276</v>
      </c>
      <c r="G33" s="18" t="s">
        <v>151</v>
      </c>
      <c r="H33" s="18" t="s">
        <v>117</v>
      </c>
      <c r="I33" s="18"/>
      <c r="J33" s="18"/>
      <c r="K33" s="18"/>
      <c r="L33" s="18" t="s">
        <v>109</v>
      </c>
      <c r="M33" s="18" t="s">
        <v>109</v>
      </c>
      <c r="N33" s="18"/>
      <c r="O33" s="18"/>
      <c r="P33" s="18"/>
      <c r="Q33" s="18" t="s">
        <v>134</v>
      </c>
      <c r="R33" s="18" t="s">
        <v>277</v>
      </c>
      <c r="S33" s="18" t="s">
        <v>125</v>
      </c>
      <c r="T33" s="18" t="s">
        <v>278</v>
      </c>
      <c r="U33" s="18"/>
      <c r="V33" s="19" t="s">
        <v>29</v>
      </c>
      <c r="W33" s="19"/>
      <c r="X33" s="19"/>
      <c r="Y33" s="20"/>
      <c r="Z33" s="19"/>
      <c r="AA33" s="18" t="str">
        <f aca="false">IF(OR(V33="Aprobada"),R33,IF(AND(OR(V33="Aprobada con ajuste",V33="Rechazada"),W33&lt;&gt;""),W33,""))</f>
        <v/>
      </c>
    </row>
    <row r="34" customFormat="false" ht="22.35" hidden="false" customHeight="false" outlineLevel="0" collapsed="false">
      <c r="A34" s="18" t="s">
        <v>279</v>
      </c>
      <c r="B34" s="18" t="s">
        <v>56</v>
      </c>
      <c r="C34" s="18" t="s">
        <v>57</v>
      </c>
      <c r="D34" s="18" t="s">
        <v>270</v>
      </c>
      <c r="E34" s="18" t="n">
        <v>0</v>
      </c>
      <c r="F34" s="18" t="s">
        <v>280</v>
      </c>
      <c r="G34" s="18" t="s">
        <v>151</v>
      </c>
      <c r="H34" s="18" t="s">
        <v>109</v>
      </c>
      <c r="I34" s="18"/>
      <c r="J34" s="18"/>
      <c r="K34" s="18"/>
      <c r="L34" s="18" t="s">
        <v>109</v>
      </c>
      <c r="M34" s="18" t="s">
        <v>109</v>
      </c>
      <c r="N34" s="18"/>
      <c r="O34" s="18"/>
      <c r="P34" s="18"/>
      <c r="Q34" s="18" t="s">
        <v>134</v>
      </c>
      <c r="R34" s="18" t="s">
        <v>281</v>
      </c>
      <c r="S34" s="18" t="s">
        <v>125</v>
      </c>
      <c r="T34" s="18" t="s">
        <v>282</v>
      </c>
      <c r="U34" s="18"/>
      <c r="V34" s="19" t="s">
        <v>29</v>
      </c>
      <c r="W34" s="19"/>
      <c r="X34" s="19"/>
      <c r="Y34" s="20"/>
      <c r="Z34" s="19"/>
      <c r="AA34" s="18" t="str">
        <f aca="false">IF(OR(V34="Aprobada"),R34,IF(AND(OR(V34="Aprobada con ajuste",V34="Rechazada"),W34&lt;&gt;""),W34,""))</f>
        <v/>
      </c>
    </row>
    <row r="35" customFormat="false" ht="22.35" hidden="false" customHeight="false" outlineLevel="0" collapsed="false">
      <c r="A35" s="18" t="s">
        <v>283</v>
      </c>
      <c r="B35" s="18" t="s">
        <v>56</v>
      </c>
      <c r="C35" s="18" t="s">
        <v>57</v>
      </c>
      <c r="D35" s="18" t="s">
        <v>270</v>
      </c>
      <c r="E35" s="18" t="n">
        <v>0</v>
      </c>
      <c r="F35" s="18" t="s">
        <v>248</v>
      </c>
      <c r="G35" s="18" t="s">
        <v>249</v>
      </c>
      <c r="H35" s="18" t="s">
        <v>109</v>
      </c>
      <c r="I35" s="18"/>
      <c r="J35" s="18"/>
      <c r="K35" s="18"/>
      <c r="L35" s="18" t="s">
        <v>109</v>
      </c>
      <c r="M35" s="18" t="s">
        <v>109</v>
      </c>
      <c r="N35" s="18"/>
      <c r="O35" s="18"/>
      <c r="P35" s="18"/>
      <c r="Q35" s="18" t="s">
        <v>134</v>
      </c>
      <c r="R35" s="18" t="s">
        <v>284</v>
      </c>
      <c r="S35" s="18" t="s">
        <v>125</v>
      </c>
      <c r="T35" s="18" t="s">
        <v>285</v>
      </c>
      <c r="U35" s="18"/>
      <c r="V35" s="19" t="s">
        <v>29</v>
      </c>
      <c r="W35" s="19"/>
      <c r="X35" s="19"/>
      <c r="Y35" s="20"/>
      <c r="Z35" s="19"/>
      <c r="AA35" s="18" t="str">
        <f aca="false">IF(OR(V35="Aprobada"),R35,IF(AND(OR(V35="Aprobada con ajuste",V35="Rechazada"),W35&lt;&gt;""),W35,""))</f>
        <v/>
      </c>
    </row>
    <row r="36" customFormat="false" ht="22.35" hidden="false" customHeight="false" outlineLevel="0" collapsed="false">
      <c r="A36" s="18" t="s">
        <v>286</v>
      </c>
      <c r="B36" s="18" t="s">
        <v>56</v>
      </c>
      <c r="C36" s="18" t="s">
        <v>57</v>
      </c>
      <c r="D36" s="18" t="s">
        <v>270</v>
      </c>
      <c r="E36" s="18" t="n">
        <v>0</v>
      </c>
      <c r="F36" s="18" t="s">
        <v>223</v>
      </c>
      <c r="G36" s="18" t="s">
        <v>116</v>
      </c>
      <c r="H36" s="18" t="s">
        <v>117</v>
      </c>
      <c r="I36" s="18"/>
      <c r="J36" s="18"/>
      <c r="K36" s="18"/>
      <c r="L36" s="18" t="s">
        <v>109</v>
      </c>
      <c r="M36" s="18" t="s">
        <v>109</v>
      </c>
      <c r="N36" s="18"/>
      <c r="O36" s="18"/>
      <c r="P36" s="18"/>
      <c r="Q36" s="18" t="s">
        <v>134</v>
      </c>
      <c r="R36" s="18" t="s">
        <v>287</v>
      </c>
      <c r="S36" s="18" t="s">
        <v>125</v>
      </c>
      <c r="T36" s="18" t="s">
        <v>225</v>
      </c>
      <c r="U36" s="18"/>
      <c r="V36" s="19" t="s">
        <v>29</v>
      </c>
      <c r="W36" s="19"/>
      <c r="X36" s="19"/>
      <c r="Y36" s="20"/>
      <c r="Z36" s="19"/>
      <c r="AA36" s="18" t="str">
        <f aca="false">IF(OR(V36="Aprobada"),R36,IF(AND(OR(V36="Aprobada con ajuste",V36="Rechazada"),W36&lt;&gt;""),W36,""))</f>
        <v/>
      </c>
    </row>
    <row r="37" customFormat="false" ht="22.35" hidden="false" customHeight="false" outlineLevel="0" collapsed="false">
      <c r="A37" s="18" t="s">
        <v>288</v>
      </c>
      <c r="B37" s="18" t="s">
        <v>56</v>
      </c>
      <c r="C37" s="18" t="s">
        <v>57</v>
      </c>
      <c r="D37" s="18" t="s">
        <v>270</v>
      </c>
      <c r="E37" s="18" t="n">
        <v>0</v>
      </c>
      <c r="F37" s="18" t="s">
        <v>289</v>
      </c>
      <c r="G37" s="18" t="s">
        <v>184</v>
      </c>
      <c r="H37" s="18" t="s">
        <v>109</v>
      </c>
      <c r="I37" s="18"/>
      <c r="J37" s="18"/>
      <c r="K37" s="18"/>
      <c r="L37" s="18" t="s">
        <v>109</v>
      </c>
      <c r="M37" s="18" t="s">
        <v>109</v>
      </c>
      <c r="N37" s="18"/>
      <c r="O37" s="18"/>
      <c r="P37" s="18"/>
      <c r="Q37" s="18" t="s">
        <v>134</v>
      </c>
      <c r="R37" s="18" t="s">
        <v>290</v>
      </c>
      <c r="S37" s="18" t="s">
        <v>125</v>
      </c>
      <c r="T37" s="18" t="s">
        <v>291</v>
      </c>
      <c r="U37" s="18"/>
      <c r="V37" s="19" t="s">
        <v>29</v>
      </c>
      <c r="W37" s="19"/>
      <c r="X37" s="19"/>
      <c r="Y37" s="20"/>
      <c r="Z37" s="19"/>
      <c r="AA37" s="18" t="str">
        <f aca="false">IF(OR(V37="Aprobada"),R37,IF(AND(OR(V37="Aprobada con ajuste",V37="Rechazada"),W37&lt;&gt;""),W37,""))</f>
        <v/>
      </c>
    </row>
    <row r="38" customFormat="false" ht="22.35" hidden="false" customHeight="false" outlineLevel="0" collapsed="false">
      <c r="A38" s="18" t="s">
        <v>292</v>
      </c>
      <c r="B38" s="18" t="s">
        <v>56</v>
      </c>
      <c r="C38" s="18" t="s">
        <v>57</v>
      </c>
      <c r="D38" s="18" t="s">
        <v>293</v>
      </c>
      <c r="E38" s="18" t="n">
        <v>0</v>
      </c>
      <c r="F38" s="18" t="s">
        <v>248</v>
      </c>
      <c r="G38" s="18" t="s">
        <v>249</v>
      </c>
      <c r="H38" s="18" t="s">
        <v>109</v>
      </c>
      <c r="I38" s="18"/>
      <c r="J38" s="18"/>
      <c r="K38" s="18"/>
      <c r="L38" s="18" t="s">
        <v>109</v>
      </c>
      <c r="M38" s="18" t="s">
        <v>109</v>
      </c>
      <c r="N38" s="18"/>
      <c r="O38" s="18"/>
      <c r="P38" s="18"/>
      <c r="Q38" s="18" t="s">
        <v>134</v>
      </c>
      <c r="R38" s="18" t="s">
        <v>294</v>
      </c>
      <c r="S38" s="18" t="s">
        <v>125</v>
      </c>
      <c r="T38" s="18" t="s">
        <v>295</v>
      </c>
      <c r="U38" s="18"/>
      <c r="V38" s="19" t="s">
        <v>29</v>
      </c>
      <c r="W38" s="19"/>
      <c r="X38" s="19"/>
      <c r="Y38" s="20"/>
      <c r="Z38" s="19"/>
      <c r="AA38" s="18" t="str">
        <f aca="false">IF(OR(V38="Aprobada"),R38,IF(AND(OR(V38="Aprobada con ajuste",V38="Rechazada"),W38&lt;&gt;""),W38,""))</f>
        <v/>
      </c>
    </row>
    <row r="39" customFormat="false" ht="22.35" hidden="false" customHeight="false" outlineLevel="0" collapsed="false">
      <c r="A39" s="18" t="s">
        <v>296</v>
      </c>
      <c r="B39" s="18" t="s">
        <v>56</v>
      </c>
      <c r="C39" s="18" t="s">
        <v>57</v>
      </c>
      <c r="D39" s="18" t="s">
        <v>293</v>
      </c>
      <c r="E39" s="18" t="n">
        <v>0</v>
      </c>
      <c r="F39" s="18" t="s">
        <v>297</v>
      </c>
      <c r="G39" s="18" t="s">
        <v>184</v>
      </c>
      <c r="H39" s="18" t="s">
        <v>109</v>
      </c>
      <c r="I39" s="18"/>
      <c r="J39" s="18"/>
      <c r="K39" s="18"/>
      <c r="L39" s="18" t="s">
        <v>109</v>
      </c>
      <c r="M39" s="18" t="s">
        <v>109</v>
      </c>
      <c r="N39" s="18"/>
      <c r="O39" s="18"/>
      <c r="P39" s="18"/>
      <c r="Q39" s="18" t="s">
        <v>110</v>
      </c>
      <c r="R39" s="18" t="s">
        <v>298</v>
      </c>
      <c r="S39" s="18" t="s">
        <v>112</v>
      </c>
      <c r="T39" s="18" t="s">
        <v>113</v>
      </c>
      <c r="U39" s="18"/>
      <c r="V39" s="19" t="s">
        <v>29</v>
      </c>
      <c r="W39" s="19"/>
      <c r="X39" s="19"/>
      <c r="Y39" s="20"/>
      <c r="Z39" s="19"/>
      <c r="AA39" s="18" t="str">
        <f aca="false">IF(OR(V39="Aprobada"),R39,IF(AND(OR(V39="Aprobada con ajuste",V39="Rechazada"),W39&lt;&gt;""),W39,""))</f>
        <v/>
      </c>
    </row>
    <row r="40" customFormat="false" ht="64.15" hidden="false" customHeight="false" outlineLevel="0" collapsed="false">
      <c r="A40" s="18" t="s">
        <v>299</v>
      </c>
      <c r="B40" s="18" t="s">
        <v>56</v>
      </c>
      <c r="C40" s="18" t="s">
        <v>57</v>
      </c>
      <c r="D40" s="18" t="s">
        <v>300</v>
      </c>
      <c r="E40" s="18" t="n">
        <v>5</v>
      </c>
      <c r="F40" s="18" t="s">
        <v>301</v>
      </c>
      <c r="G40" s="18" t="s">
        <v>195</v>
      </c>
      <c r="H40" s="18" t="s">
        <v>117</v>
      </c>
      <c r="I40" s="18"/>
      <c r="J40" s="18"/>
      <c r="K40" s="18"/>
      <c r="L40" s="18" t="s">
        <v>109</v>
      </c>
      <c r="M40" s="18" t="s">
        <v>117</v>
      </c>
      <c r="N40" s="18" t="s">
        <v>302</v>
      </c>
      <c r="O40" s="18"/>
      <c r="P40" s="18"/>
      <c r="Q40" s="18" t="s">
        <v>134</v>
      </c>
      <c r="R40" s="18" t="s">
        <v>303</v>
      </c>
      <c r="S40" s="18" t="s">
        <v>125</v>
      </c>
      <c r="T40" s="18" t="s">
        <v>304</v>
      </c>
      <c r="U40" s="18"/>
      <c r="V40" s="19" t="s">
        <v>29</v>
      </c>
      <c r="W40" s="19"/>
      <c r="X40" s="19"/>
      <c r="Y40" s="20"/>
      <c r="Z40" s="19"/>
      <c r="AA40" s="18" t="str">
        <f aca="false">IF(OR(V40="Aprobada"),R40,IF(AND(OR(V40="Aprobada con ajuste",V40="Rechazada"),W40&lt;&gt;""),W40,""))</f>
        <v/>
      </c>
    </row>
    <row r="41" customFormat="false" ht="53.7" hidden="false" customHeight="false" outlineLevel="0" collapsed="false">
      <c r="A41" s="18" t="s">
        <v>305</v>
      </c>
      <c r="B41" s="18" t="s">
        <v>56</v>
      </c>
      <c r="C41" s="18" t="s">
        <v>57</v>
      </c>
      <c r="D41" s="18" t="s">
        <v>300</v>
      </c>
      <c r="E41" s="18" t="n">
        <v>5</v>
      </c>
      <c r="F41" s="18" t="s">
        <v>306</v>
      </c>
      <c r="G41" s="18" t="s">
        <v>108</v>
      </c>
      <c r="H41" s="18" t="s">
        <v>109</v>
      </c>
      <c r="I41" s="18" t="s">
        <v>140</v>
      </c>
      <c r="J41" s="18" t="s">
        <v>307</v>
      </c>
      <c r="K41" s="18"/>
      <c r="L41" s="18" t="s">
        <v>117</v>
      </c>
      <c r="M41" s="18" t="s">
        <v>117</v>
      </c>
      <c r="N41" s="18" t="s">
        <v>308</v>
      </c>
      <c r="O41" s="18"/>
      <c r="P41" s="18"/>
      <c r="Q41" s="18" t="s">
        <v>134</v>
      </c>
      <c r="R41" s="18" t="s">
        <v>309</v>
      </c>
      <c r="S41" s="18" t="s">
        <v>125</v>
      </c>
      <c r="T41" s="18" t="s">
        <v>310</v>
      </c>
      <c r="U41" s="18"/>
      <c r="V41" s="19" t="s">
        <v>29</v>
      </c>
      <c r="W41" s="19"/>
      <c r="X41" s="19"/>
      <c r="Y41" s="20"/>
      <c r="Z41" s="19"/>
      <c r="AA41" s="18" t="str">
        <f aca="false">IF(OR(V41="Aprobada"),R41,IF(AND(OR(V41="Aprobada con ajuste",V41="Rechazada"),W41&lt;&gt;""),W41,""))</f>
        <v/>
      </c>
    </row>
    <row r="42" customFormat="false" ht="22.35" hidden="false" customHeight="false" outlineLevel="0" collapsed="false">
      <c r="A42" s="18" t="s">
        <v>311</v>
      </c>
      <c r="B42" s="18" t="s">
        <v>56</v>
      </c>
      <c r="C42" s="18" t="s">
        <v>57</v>
      </c>
      <c r="D42" s="18" t="s">
        <v>300</v>
      </c>
      <c r="E42" s="18" t="n">
        <v>5</v>
      </c>
      <c r="F42" s="18" t="s">
        <v>312</v>
      </c>
      <c r="G42" s="18" t="s">
        <v>116</v>
      </c>
      <c r="H42" s="18" t="s">
        <v>109</v>
      </c>
      <c r="I42" s="18"/>
      <c r="J42" s="18"/>
      <c r="K42" s="18"/>
      <c r="L42" s="18" t="s">
        <v>109</v>
      </c>
      <c r="M42" s="18" t="s">
        <v>109</v>
      </c>
      <c r="N42" s="18"/>
      <c r="O42" s="18"/>
      <c r="P42" s="18"/>
      <c r="Q42" s="18" t="s">
        <v>134</v>
      </c>
      <c r="R42" s="18" t="s">
        <v>313</v>
      </c>
      <c r="S42" s="18" t="s">
        <v>125</v>
      </c>
      <c r="T42" s="18" t="s">
        <v>314</v>
      </c>
      <c r="U42" s="18"/>
      <c r="V42" s="19" t="s">
        <v>29</v>
      </c>
      <c r="W42" s="19"/>
      <c r="X42" s="19"/>
      <c r="Y42" s="20"/>
      <c r="Z42" s="19"/>
      <c r="AA42" s="18" t="str">
        <f aca="false">IF(OR(V42="Aprobada"),R42,IF(AND(OR(V42="Aprobada con ajuste",V42="Rechazada"),W42&lt;&gt;""),W42,""))</f>
        <v/>
      </c>
    </row>
    <row r="43" customFormat="false" ht="43.25" hidden="false" customHeight="false" outlineLevel="0" collapsed="false">
      <c r="A43" s="18" t="s">
        <v>315</v>
      </c>
      <c r="B43" s="18" t="s">
        <v>56</v>
      </c>
      <c r="C43" s="18" t="s">
        <v>57</v>
      </c>
      <c r="D43" s="18" t="s">
        <v>316</v>
      </c>
      <c r="E43" s="18" t="n">
        <v>5</v>
      </c>
      <c r="F43" s="18" t="s">
        <v>317</v>
      </c>
      <c r="G43" s="18" t="s">
        <v>249</v>
      </c>
      <c r="H43" s="18" t="s">
        <v>117</v>
      </c>
      <c r="I43" s="18" t="s">
        <v>140</v>
      </c>
      <c r="J43" s="18"/>
      <c r="K43" s="18"/>
      <c r="L43" s="18" t="s">
        <v>109</v>
      </c>
      <c r="M43" s="18" t="s">
        <v>117</v>
      </c>
      <c r="N43" s="18" t="s">
        <v>318</v>
      </c>
      <c r="O43" s="18" t="s">
        <v>319</v>
      </c>
      <c r="P43" s="18"/>
      <c r="Q43" s="18" t="s">
        <v>134</v>
      </c>
      <c r="R43" s="18" t="s">
        <v>320</v>
      </c>
      <c r="S43" s="18" t="s">
        <v>112</v>
      </c>
      <c r="T43" s="18" t="s">
        <v>321</v>
      </c>
      <c r="U43" s="18" t="s">
        <v>322</v>
      </c>
      <c r="V43" s="19" t="s">
        <v>29</v>
      </c>
      <c r="W43" s="19"/>
      <c r="X43" s="19"/>
      <c r="Y43" s="20"/>
      <c r="Z43" s="19"/>
      <c r="AA43" s="18" t="str">
        <f aca="false">IF(OR(V43="Aprobada"),R43,IF(AND(OR(V43="Aprobada con ajuste",V43="Rechazada"),W43&lt;&gt;""),W43,""))</f>
        <v/>
      </c>
    </row>
    <row r="44" customFormat="false" ht="32.8" hidden="false" customHeight="false" outlineLevel="0" collapsed="false">
      <c r="A44" s="18" t="s">
        <v>323</v>
      </c>
      <c r="B44" s="18" t="s">
        <v>56</v>
      </c>
      <c r="C44" s="18" t="s">
        <v>57</v>
      </c>
      <c r="D44" s="18" t="s">
        <v>316</v>
      </c>
      <c r="E44" s="18" t="n">
        <v>5</v>
      </c>
      <c r="F44" s="18" t="s">
        <v>132</v>
      </c>
      <c r="G44" s="18" t="s">
        <v>324</v>
      </c>
      <c r="H44" s="18" t="s">
        <v>117</v>
      </c>
      <c r="I44" s="18"/>
      <c r="J44" s="18"/>
      <c r="K44" s="18"/>
      <c r="L44" s="18" t="s">
        <v>109</v>
      </c>
      <c r="M44" s="18" t="s">
        <v>109</v>
      </c>
      <c r="N44" s="18"/>
      <c r="O44" s="18"/>
      <c r="P44" s="18" t="s">
        <v>325</v>
      </c>
      <c r="Q44" s="18" t="s">
        <v>123</v>
      </c>
      <c r="R44" s="18" t="s">
        <v>326</v>
      </c>
      <c r="S44" s="18" t="s">
        <v>112</v>
      </c>
      <c r="T44" s="18" t="s">
        <v>327</v>
      </c>
      <c r="U44" s="18" t="s">
        <v>328</v>
      </c>
      <c r="V44" s="19" t="s">
        <v>29</v>
      </c>
      <c r="W44" s="19"/>
      <c r="X44" s="19"/>
      <c r="Y44" s="20"/>
      <c r="Z44" s="19"/>
      <c r="AA44" s="18" t="str">
        <f aca="false">IF(OR(V44="Aprobada"),R44,IF(AND(OR(V44="Aprobada con ajuste",V44="Rechazada"),W44&lt;&gt;""),W44,""))</f>
        <v/>
      </c>
    </row>
    <row r="45" customFormat="false" ht="22.35" hidden="false" customHeight="false" outlineLevel="0" collapsed="false">
      <c r="A45" s="18" t="s">
        <v>329</v>
      </c>
      <c r="B45" s="18" t="s">
        <v>56</v>
      </c>
      <c r="C45" s="18" t="s">
        <v>57</v>
      </c>
      <c r="D45" s="18" t="s">
        <v>316</v>
      </c>
      <c r="E45" s="18" t="n">
        <v>5</v>
      </c>
      <c r="F45" s="18" t="s">
        <v>330</v>
      </c>
      <c r="G45" s="18" t="s">
        <v>324</v>
      </c>
      <c r="H45" s="18" t="s">
        <v>117</v>
      </c>
      <c r="I45" s="18"/>
      <c r="J45" s="18"/>
      <c r="K45" s="18"/>
      <c r="L45" s="18" t="s">
        <v>109</v>
      </c>
      <c r="M45" s="18" t="s">
        <v>109</v>
      </c>
      <c r="N45" s="18"/>
      <c r="O45" s="18" t="s">
        <v>331</v>
      </c>
      <c r="P45" s="18" t="s">
        <v>332</v>
      </c>
      <c r="Q45" s="18" t="s">
        <v>134</v>
      </c>
      <c r="R45" s="18" t="s">
        <v>333</v>
      </c>
      <c r="S45" s="18" t="s">
        <v>125</v>
      </c>
      <c r="T45" s="18" t="s">
        <v>334</v>
      </c>
      <c r="U45" s="18"/>
      <c r="V45" s="19" t="s">
        <v>29</v>
      </c>
      <c r="W45" s="19"/>
      <c r="X45" s="19"/>
      <c r="Y45" s="20"/>
      <c r="Z45" s="19"/>
      <c r="AA45" s="18" t="str">
        <f aca="false">IF(OR(V45="Aprobada"),R45,IF(AND(OR(V45="Aprobada con ajuste",V45="Rechazada"),W45&lt;&gt;""),W45,""))</f>
        <v/>
      </c>
    </row>
    <row r="46" customFormat="false" ht="43.25" hidden="false" customHeight="false" outlineLevel="0" collapsed="false">
      <c r="A46" s="18" t="s">
        <v>335</v>
      </c>
      <c r="B46" s="18" t="s">
        <v>56</v>
      </c>
      <c r="C46" s="18" t="s">
        <v>57</v>
      </c>
      <c r="D46" s="18" t="s">
        <v>316</v>
      </c>
      <c r="E46" s="18" t="n">
        <v>5</v>
      </c>
      <c r="F46" s="18" t="s">
        <v>336</v>
      </c>
      <c r="G46" s="18" t="s">
        <v>337</v>
      </c>
      <c r="H46" s="18" t="s">
        <v>109</v>
      </c>
      <c r="I46" s="18" t="s">
        <v>140</v>
      </c>
      <c r="J46" s="18" t="s">
        <v>338</v>
      </c>
      <c r="K46" s="18"/>
      <c r="L46" s="18" t="s">
        <v>117</v>
      </c>
      <c r="M46" s="18" t="s">
        <v>109</v>
      </c>
      <c r="N46" s="18"/>
      <c r="O46" s="18" t="s">
        <v>339</v>
      </c>
      <c r="P46" s="18" t="s">
        <v>340</v>
      </c>
      <c r="Q46" s="18" t="s">
        <v>134</v>
      </c>
      <c r="R46" s="18" t="s">
        <v>341</v>
      </c>
      <c r="S46" s="18" t="s">
        <v>125</v>
      </c>
      <c r="T46" s="18" t="s">
        <v>246</v>
      </c>
      <c r="U46" s="18"/>
      <c r="V46" s="19" t="s">
        <v>29</v>
      </c>
      <c r="W46" s="19"/>
      <c r="X46" s="19"/>
      <c r="Y46" s="20"/>
      <c r="Z46" s="19"/>
      <c r="AA46" s="18" t="str">
        <f aca="false">IF(OR(V46="Aprobada"),R46,IF(AND(OR(V46="Aprobada con ajuste",V46="Rechazada"),W46&lt;&gt;""),W46,""))</f>
        <v/>
      </c>
    </row>
    <row r="47" customFormat="false" ht="43.25" hidden="false" customHeight="false" outlineLevel="0" collapsed="false">
      <c r="A47" s="18" t="s">
        <v>342</v>
      </c>
      <c r="B47" s="18" t="s">
        <v>56</v>
      </c>
      <c r="C47" s="18" t="s">
        <v>57</v>
      </c>
      <c r="D47" s="18" t="s">
        <v>316</v>
      </c>
      <c r="E47" s="18" t="n">
        <v>5</v>
      </c>
      <c r="F47" s="18" t="s">
        <v>343</v>
      </c>
      <c r="G47" s="18" t="s">
        <v>344</v>
      </c>
      <c r="H47" s="18" t="s">
        <v>109</v>
      </c>
      <c r="I47" s="18" t="s">
        <v>140</v>
      </c>
      <c r="J47" s="18"/>
      <c r="K47" s="18"/>
      <c r="L47" s="18" t="s">
        <v>109</v>
      </c>
      <c r="M47" s="18" t="s">
        <v>109</v>
      </c>
      <c r="N47" s="18"/>
      <c r="O47" s="18" t="s">
        <v>339</v>
      </c>
      <c r="P47" s="18" t="s">
        <v>345</v>
      </c>
      <c r="Q47" s="18" t="s">
        <v>123</v>
      </c>
      <c r="R47" s="18" t="s">
        <v>346</v>
      </c>
      <c r="S47" s="18" t="s">
        <v>125</v>
      </c>
      <c r="T47" s="18" t="s">
        <v>347</v>
      </c>
      <c r="U47" s="18"/>
      <c r="V47" s="19" t="s">
        <v>29</v>
      </c>
      <c r="W47" s="19"/>
      <c r="X47" s="19"/>
      <c r="Y47" s="20"/>
      <c r="Z47" s="19"/>
      <c r="AA47" s="18" t="str">
        <f aca="false">IF(OR(V47="Aprobada"),R47,IF(AND(OR(V47="Aprobada con ajuste",V47="Rechazada"),W47&lt;&gt;""),W47,""))</f>
        <v/>
      </c>
    </row>
    <row r="48" customFormat="false" ht="43.25" hidden="false" customHeight="false" outlineLevel="0" collapsed="false">
      <c r="A48" s="18" t="s">
        <v>348</v>
      </c>
      <c r="B48" s="18" t="s">
        <v>56</v>
      </c>
      <c r="C48" s="18" t="s">
        <v>57</v>
      </c>
      <c r="D48" s="18" t="s">
        <v>316</v>
      </c>
      <c r="E48" s="18" t="n">
        <v>5</v>
      </c>
      <c r="F48" s="18" t="s">
        <v>349</v>
      </c>
      <c r="G48" s="18" t="s">
        <v>344</v>
      </c>
      <c r="H48" s="18" t="s">
        <v>109</v>
      </c>
      <c r="I48" s="18" t="s">
        <v>140</v>
      </c>
      <c r="J48" s="18"/>
      <c r="K48" s="18"/>
      <c r="L48" s="18" t="s">
        <v>109</v>
      </c>
      <c r="M48" s="18" t="s">
        <v>109</v>
      </c>
      <c r="N48" s="18"/>
      <c r="O48" s="18" t="s">
        <v>339</v>
      </c>
      <c r="P48" s="18" t="s">
        <v>350</v>
      </c>
      <c r="Q48" s="18" t="s">
        <v>134</v>
      </c>
      <c r="R48" s="18" t="s">
        <v>351</v>
      </c>
      <c r="S48" s="18" t="s">
        <v>125</v>
      </c>
      <c r="T48" s="18" t="s">
        <v>352</v>
      </c>
      <c r="U48" s="18"/>
      <c r="V48" s="19" t="s">
        <v>29</v>
      </c>
      <c r="W48" s="19"/>
      <c r="X48" s="19"/>
      <c r="Y48" s="20"/>
      <c r="Z48" s="19"/>
      <c r="AA48" s="18" t="str">
        <f aca="false">IF(OR(V48="Aprobada"),R48,IF(AND(OR(V48="Aprobada con ajuste",V48="Rechazada"),W48&lt;&gt;""),W48,""))</f>
        <v/>
      </c>
    </row>
    <row r="49" customFormat="false" ht="32.8" hidden="false" customHeight="false" outlineLevel="0" collapsed="false">
      <c r="A49" s="18" t="s">
        <v>353</v>
      </c>
      <c r="B49" s="18" t="s">
        <v>56</v>
      </c>
      <c r="C49" s="18" t="s">
        <v>57</v>
      </c>
      <c r="D49" s="18" t="s">
        <v>316</v>
      </c>
      <c r="E49" s="18" t="n">
        <v>5</v>
      </c>
      <c r="F49" s="18" t="s">
        <v>354</v>
      </c>
      <c r="G49" s="18" t="s">
        <v>108</v>
      </c>
      <c r="H49" s="18" t="s">
        <v>117</v>
      </c>
      <c r="I49" s="18" t="s">
        <v>140</v>
      </c>
      <c r="J49" s="18" t="s">
        <v>355</v>
      </c>
      <c r="K49" s="18"/>
      <c r="L49" s="18" t="s">
        <v>117</v>
      </c>
      <c r="M49" s="18" t="s">
        <v>109</v>
      </c>
      <c r="N49" s="18"/>
      <c r="O49" s="18"/>
      <c r="P49" s="18" t="s">
        <v>356</v>
      </c>
      <c r="Q49" s="18" t="s">
        <v>134</v>
      </c>
      <c r="R49" s="18" t="s">
        <v>357</v>
      </c>
      <c r="S49" s="18" t="s">
        <v>125</v>
      </c>
      <c r="T49" s="18" t="s">
        <v>358</v>
      </c>
      <c r="U49" s="18"/>
      <c r="V49" s="19" t="s">
        <v>29</v>
      </c>
      <c r="W49" s="19"/>
      <c r="X49" s="19"/>
      <c r="Y49" s="20"/>
      <c r="Z49" s="19"/>
      <c r="AA49" s="18" t="str">
        <f aca="false">IF(OR(V49="Aprobada"),R49,IF(AND(OR(V49="Aprobada con ajuste",V49="Rechazada"),W49&lt;&gt;""),W49,""))</f>
        <v/>
      </c>
    </row>
    <row r="50" customFormat="false" ht="22.35" hidden="false" customHeight="false" outlineLevel="0" collapsed="false">
      <c r="A50" s="18" t="s">
        <v>359</v>
      </c>
      <c r="B50" s="18" t="s">
        <v>56</v>
      </c>
      <c r="C50" s="18" t="s">
        <v>57</v>
      </c>
      <c r="D50" s="18" t="s">
        <v>316</v>
      </c>
      <c r="E50" s="18" t="n">
        <v>5</v>
      </c>
      <c r="F50" s="18" t="s">
        <v>360</v>
      </c>
      <c r="G50" s="18" t="s">
        <v>139</v>
      </c>
      <c r="H50" s="18" t="s">
        <v>117</v>
      </c>
      <c r="I50" s="18"/>
      <c r="J50" s="18"/>
      <c r="K50" s="18"/>
      <c r="L50" s="18" t="s">
        <v>109</v>
      </c>
      <c r="M50" s="18" t="s">
        <v>109</v>
      </c>
      <c r="N50" s="18"/>
      <c r="O50" s="18"/>
      <c r="P50" s="18"/>
      <c r="Q50" s="18" t="s">
        <v>134</v>
      </c>
      <c r="R50" s="18" t="s">
        <v>361</v>
      </c>
      <c r="S50" s="18" t="s">
        <v>112</v>
      </c>
      <c r="T50" s="18" t="s">
        <v>362</v>
      </c>
      <c r="U50" s="18" t="s">
        <v>363</v>
      </c>
      <c r="V50" s="19" t="s">
        <v>29</v>
      </c>
      <c r="W50" s="19"/>
      <c r="X50" s="19"/>
      <c r="Y50" s="20"/>
      <c r="Z50" s="19"/>
      <c r="AA50" s="18" t="str">
        <f aca="false">IF(OR(V50="Aprobada"),R50,IF(AND(OR(V50="Aprobada con ajuste",V50="Rechazada"),W50&lt;&gt;""),W50,""))</f>
        <v/>
      </c>
    </row>
    <row r="51" customFormat="false" ht="32.8" hidden="false" customHeight="false" outlineLevel="0" collapsed="false">
      <c r="A51" s="18" t="s">
        <v>364</v>
      </c>
      <c r="B51" s="18" t="s">
        <v>56</v>
      </c>
      <c r="C51" s="18" t="s">
        <v>57</v>
      </c>
      <c r="D51" s="18" t="s">
        <v>316</v>
      </c>
      <c r="E51" s="18" t="n">
        <v>5</v>
      </c>
      <c r="F51" s="18" t="s">
        <v>107</v>
      </c>
      <c r="G51" s="18" t="s">
        <v>108</v>
      </c>
      <c r="H51" s="18" t="s">
        <v>117</v>
      </c>
      <c r="I51" s="18" t="s">
        <v>140</v>
      </c>
      <c r="J51" s="18" t="s">
        <v>365</v>
      </c>
      <c r="K51" s="18"/>
      <c r="L51" s="18" t="s">
        <v>117</v>
      </c>
      <c r="M51" s="18" t="s">
        <v>109</v>
      </c>
      <c r="N51" s="18"/>
      <c r="O51" s="18"/>
      <c r="P51" s="18" t="s">
        <v>366</v>
      </c>
      <c r="Q51" s="18" t="s">
        <v>110</v>
      </c>
      <c r="R51" s="18" t="s">
        <v>367</v>
      </c>
      <c r="S51" s="18" t="s">
        <v>112</v>
      </c>
      <c r="T51" s="18" t="s">
        <v>113</v>
      </c>
      <c r="U51" s="18"/>
      <c r="V51" s="19" t="s">
        <v>29</v>
      </c>
      <c r="W51" s="19"/>
      <c r="X51" s="19"/>
      <c r="Y51" s="20"/>
      <c r="Z51" s="19"/>
      <c r="AA51" s="18" t="str">
        <f aca="false">IF(OR(V51="Aprobada"),R51,IF(AND(OR(V51="Aprobada con ajuste",V51="Rechazada"),W51&lt;&gt;""),W51,""))</f>
        <v/>
      </c>
    </row>
    <row r="52" customFormat="false" ht="32.8" hidden="false" customHeight="false" outlineLevel="0" collapsed="false">
      <c r="A52" s="18" t="s">
        <v>368</v>
      </c>
      <c r="B52" s="18" t="s">
        <v>56</v>
      </c>
      <c r="C52" s="18" t="s">
        <v>57</v>
      </c>
      <c r="D52" s="18" t="s">
        <v>316</v>
      </c>
      <c r="E52" s="18" t="n">
        <v>5</v>
      </c>
      <c r="F52" s="18" t="s">
        <v>369</v>
      </c>
      <c r="G52" s="18" t="s">
        <v>116</v>
      </c>
      <c r="H52" s="18" t="s">
        <v>117</v>
      </c>
      <c r="I52" s="18"/>
      <c r="J52" s="18"/>
      <c r="K52" s="18"/>
      <c r="L52" s="18" t="s">
        <v>109</v>
      </c>
      <c r="M52" s="18" t="s">
        <v>109</v>
      </c>
      <c r="N52" s="18"/>
      <c r="O52" s="18"/>
      <c r="P52" s="18"/>
      <c r="Q52" s="18" t="s">
        <v>134</v>
      </c>
      <c r="R52" s="18" t="s">
        <v>370</v>
      </c>
      <c r="S52" s="18" t="s">
        <v>112</v>
      </c>
      <c r="T52" s="18" t="s">
        <v>225</v>
      </c>
      <c r="U52" s="18" t="s">
        <v>371</v>
      </c>
      <c r="V52" s="19" t="s">
        <v>29</v>
      </c>
      <c r="W52" s="19"/>
      <c r="X52" s="19"/>
      <c r="Y52" s="20"/>
      <c r="Z52" s="19"/>
      <c r="AA52" s="18" t="str">
        <f aca="false">IF(OR(V52="Aprobada"),R52,IF(AND(OR(V52="Aprobada con ajuste",V52="Rechazada"),W52&lt;&gt;""),W52,""))</f>
        <v/>
      </c>
    </row>
    <row r="53" customFormat="false" ht="22.35" hidden="false" customHeight="false" outlineLevel="0" collapsed="false">
      <c r="A53" s="18" t="s">
        <v>372</v>
      </c>
      <c r="B53" s="18" t="s">
        <v>56</v>
      </c>
      <c r="C53" s="18" t="s">
        <v>57</v>
      </c>
      <c r="D53" s="18" t="s">
        <v>316</v>
      </c>
      <c r="E53" s="18" t="n">
        <v>5</v>
      </c>
      <c r="F53" s="18" t="s">
        <v>373</v>
      </c>
      <c r="G53" s="18" t="s">
        <v>145</v>
      </c>
      <c r="H53" s="18" t="s">
        <v>109</v>
      </c>
      <c r="I53" s="18"/>
      <c r="J53" s="18"/>
      <c r="K53" s="18"/>
      <c r="L53" s="18" t="s">
        <v>109</v>
      </c>
      <c r="M53" s="18" t="s">
        <v>109</v>
      </c>
      <c r="N53" s="18"/>
      <c r="O53" s="18"/>
      <c r="P53" s="18"/>
      <c r="Q53" s="18" t="s">
        <v>110</v>
      </c>
      <c r="R53" s="18" t="s">
        <v>374</v>
      </c>
      <c r="S53" s="18" t="s">
        <v>112</v>
      </c>
      <c r="T53" s="18" t="s">
        <v>113</v>
      </c>
      <c r="U53" s="18"/>
      <c r="V53" s="19" t="s">
        <v>29</v>
      </c>
      <c r="W53" s="19"/>
      <c r="X53" s="19"/>
      <c r="Y53" s="20"/>
      <c r="Z53" s="19"/>
      <c r="AA53" s="18" t="str">
        <f aca="false">IF(OR(V53="Aprobada"),R53,IF(AND(OR(V53="Aprobada con ajuste",V53="Rechazada"),W53&lt;&gt;""),W53,""))</f>
        <v/>
      </c>
    </row>
    <row r="54" customFormat="false" ht="53.7" hidden="false" customHeight="false" outlineLevel="0" collapsed="false">
      <c r="A54" s="18" t="s">
        <v>375</v>
      </c>
      <c r="B54" s="18" t="s">
        <v>56</v>
      </c>
      <c r="C54" s="18" t="s">
        <v>57</v>
      </c>
      <c r="D54" s="18" t="s">
        <v>376</v>
      </c>
      <c r="E54" s="18" t="n">
        <v>2</v>
      </c>
      <c r="F54" s="18" t="s">
        <v>377</v>
      </c>
      <c r="G54" s="18" t="s">
        <v>156</v>
      </c>
      <c r="H54" s="18" t="s">
        <v>109</v>
      </c>
      <c r="I54" s="18" t="s">
        <v>140</v>
      </c>
      <c r="J54" s="18"/>
      <c r="K54" s="18"/>
      <c r="L54" s="18" t="s">
        <v>109</v>
      </c>
      <c r="M54" s="18" t="s">
        <v>109</v>
      </c>
      <c r="N54" s="18"/>
      <c r="O54" s="18" t="s">
        <v>378</v>
      </c>
      <c r="P54" s="18" t="s">
        <v>379</v>
      </c>
      <c r="Q54" s="18" t="s">
        <v>123</v>
      </c>
      <c r="R54" s="18" t="s">
        <v>380</v>
      </c>
      <c r="S54" s="18" t="s">
        <v>125</v>
      </c>
      <c r="T54" s="18" t="s">
        <v>381</v>
      </c>
      <c r="U54" s="18" t="s">
        <v>382</v>
      </c>
      <c r="V54" s="19" t="s">
        <v>29</v>
      </c>
      <c r="W54" s="19"/>
      <c r="X54" s="19"/>
      <c r="Y54" s="20"/>
      <c r="Z54" s="19"/>
      <c r="AA54" s="18" t="str">
        <f aca="false">IF(OR(V54="Aprobada"),R54,IF(AND(OR(V54="Aprobada con ajuste",V54="Rechazada"),W54&lt;&gt;""),W54,""))</f>
        <v/>
      </c>
    </row>
    <row r="55" customFormat="false" ht="32.8" hidden="false" customHeight="false" outlineLevel="0" collapsed="false">
      <c r="A55" s="18" t="s">
        <v>383</v>
      </c>
      <c r="B55" s="18" t="s">
        <v>56</v>
      </c>
      <c r="C55" s="18" t="s">
        <v>57</v>
      </c>
      <c r="D55" s="18" t="s">
        <v>376</v>
      </c>
      <c r="E55" s="18" t="n">
        <v>2</v>
      </c>
      <c r="F55" s="18" t="s">
        <v>360</v>
      </c>
      <c r="G55" s="18" t="s">
        <v>139</v>
      </c>
      <c r="H55" s="18" t="s">
        <v>109</v>
      </c>
      <c r="I55" s="18" t="s">
        <v>140</v>
      </c>
      <c r="J55" s="18"/>
      <c r="K55" s="18"/>
      <c r="L55" s="18" t="s">
        <v>109</v>
      </c>
      <c r="M55" s="18" t="s">
        <v>109</v>
      </c>
      <c r="N55" s="18"/>
      <c r="O55" s="18"/>
      <c r="P55" s="18" t="s">
        <v>384</v>
      </c>
      <c r="Q55" s="18" t="s">
        <v>134</v>
      </c>
      <c r="R55" s="18" t="s">
        <v>385</v>
      </c>
      <c r="S55" s="18" t="s">
        <v>125</v>
      </c>
      <c r="T55" s="18" t="s">
        <v>386</v>
      </c>
      <c r="U55" s="18"/>
      <c r="V55" s="19" t="s">
        <v>29</v>
      </c>
      <c r="W55" s="19"/>
      <c r="X55" s="19"/>
      <c r="Y55" s="20"/>
      <c r="Z55" s="19"/>
      <c r="AA55" s="18" t="str">
        <f aca="false">IF(OR(V55="Aprobada"),R55,IF(AND(OR(V55="Aprobada con ajuste",V55="Rechazada"),W55&lt;&gt;""),W55,""))</f>
        <v/>
      </c>
    </row>
    <row r="56" customFormat="false" ht="32.8" hidden="false" customHeight="false" outlineLevel="0" collapsed="false">
      <c r="A56" s="18" t="s">
        <v>387</v>
      </c>
      <c r="B56" s="18" t="s">
        <v>56</v>
      </c>
      <c r="C56" s="18" t="s">
        <v>57</v>
      </c>
      <c r="D56" s="18" t="s">
        <v>376</v>
      </c>
      <c r="E56" s="18" t="n">
        <v>2</v>
      </c>
      <c r="F56" s="18" t="s">
        <v>107</v>
      </c>
      <c r="G56" s="18" t="s">
        <v>108</v>
      </c>
      <c r="H56" s="18" t="s">
        <v>109</v>
      </c>
      <c r="I56" s="18"/>
      <c r="J56" s="18"/>
      <c r="K56" s="18"/>
      <c r="L56" s="18" t="s">
        <v>109</v>
      </c>
      <c r="M56" s="18" t="s">
        <v>109</v>
      </c>
      <c r="N56" s="18"/>
      <c r="O56" s="18"/>
      <c r="P56" s="18" t="s">
        <v>388</v>
      </c>
      <c r="Q56" s="18" t="s">
        <v>110</v>
      </c>
      <c r="R56" s="18" t="s">
        <v>389</v>
      </c>
      <c r="S56" s="18" t="s">
        <v>112</v>
      </c>
      <c r="T56" s="18" t="s">
        <v>113</v>
      </c>
      <c r="U56" s="18"/>
      <c r="V56" s="19" t="s">
        <v>29</v>
      </c>
      <c r="W56" s="19"/>
      <c r="X56" s="19"/>
      <c r="Y56" s="20"/>
      <c r="Z56" s="19"/>
      <c r="AA56" s="18" t="str">
        <f aca="false">IF(OR(V56="Aprobada"),R56,IF(AND(OR(V56="Aprobada con ajuste",V56="Rechazada"),W56&lt;&gt;""),W56,""))</f>
        <v/>
      </c>
    </row>
    <row r="57" customFormat="false" ht="32.8" hidden="false" customHeight="false" outlineLevel="0" collapsed="false">
      <c r="A57" s="18" t="s">
        <v>390</v>
      </c>
      <c r="B57" s="18" t="s">
        <v>56</v>
      </c>
      <c r="C57" s="18" t="s">
        <v>57</v>
      </c>
      <c r="D57" s="18" t="s">
        <v>376</v>
      </c>
      <c r="E57" s="18" t="n">
        <v>2</v>
      </c>
      <c r="F57" s="18" t="s">
        <v>115</v>
      </c>
      <c r="G57" s="18" t="s">
        <v>116</v>
      </c>
      <c r="H57" s="18" t="s">
        <v>117</v>
      </c>
      <c r="I57" s="18"/>
      <c r="J57" s="18"/>
      <c r="K57" s="18"/>
      <c r="L57" s="18" t="s">
        <v>109</v>
      </c>
      <c r="M57" s="18" t="s">
        <v>109</v>
      </c>
      <c r="N57" s="18"/>
      <c r="O57" s="18"/>
      <c r="P57" s="18" t="s">
        <v>391</v>
      </c>
      <c r="Q57" s="18" t="s">
        <v>110</v>
      </c>
      <c r="R57" s="18" t="s">
        <v>118</v>
      </c>
      <c r="S57" s="18" t="s">
        <v>112</v>
      </c>
      <c r="T57" s="18" t="s">
        <v>113</v>
      </c>
      <c r="U57" s="18"/>
      <c r="V57" s="19" t="s">
        <v>29</v>
      </c>
      <c r="W57" s="19"/>
      <c r="X57" s="19"/>
      <c r="Y57" s="20"/>
      <c r="Z57" s="19"/>
      <c r="AA57" s="18" t="str">
        <f aca="false">IF(OR(V57="Aprobada"),R57,IF(AND(OR(V57="Aprobada con ajuste",V57="Rechazada"),W57&lt;&gt;""),W57,""))</f>
        <v/>
      </c>
    </row>
    <row r="58" customFormat="false" ht="32.8" hidden="false" customHeight="false" outlineLevel="0" collapsed="false">
      <c r="A58" s="18" t="s">
        <v>392</v>
      </c>
      <c r="B58" s="18" t="s">
        <v>56</v>
      </c>
      <c r="C58" s="18" t="s">
        <v>57</v>
      </c>
      <c r="D58" s="18" t="s">
        <v>376</v>
      </c>
      <c r="E58" s="18" t="n">
        <v>2</v>
      </c>
      <c r="F58" s="18" t="s">
        <v>393</v>
      </c>
      <c r="G58" s="18" t="s">
        <v>394</v>
      </c>
      <c r="H58" s="18" t="s">
        <v>117</v>
      </c>
      <c r="I58" s="18" t="s">
        <v>140</v>
      </c>
      <c r="J58" s="18"/>
      <c r="K58" s="18"/>
      <c r="L58" s="18" t="s">
        <v>109</v>
      </c>
      <c r="M58" s="18" t="s">
        <v>109</v>
      </c>
      <c r="N58" s="18"/>
      <c r="O58" s="18"/>
      <c r="P58" s="18" t="s">
        <v>395</v>
      </c>
      <c r="Q58" s="18" t="s">
        <v>110</v>
      </c>
      <c r="R58" s="18" t="s">
        <v>396</v>
      </c>
      <c r="S58" s="18" t="s">
        <v>112</v>
      </c>
      <c r="T58" s="18" t="s">
        <v>113</v>
      </c>
      <c r="U58" s="18"/>
      <c r="V58" s="19" t="s">
        <v>29</v>
      </c>
      <c r="W58" s="19"/>
      <c r="X58" s="19"/>
      <c r="Y58" s="20"/>
      <c r="Z58" s="19"/>
      <c r="AA58" s="18" t="str">
        <f aca="false">IF(OR(V58="Aprobada"),R58,IF(AND(OR(V58="Aprobada con ajuste",V58="Rechazada"),W58&lt;&gt;""),W58,""))</f>
        <v/>
      </c>
    </row>
    <row r="59" customFormat="false" ht="53.7" hidden="false" customHeight="false" outlineLevel="0" collapsed="false">
      <c r="A59" s="18" t="s">
        <v>397</v>
      </c>
      <c r="B59" s="18" t="s">
        <v>56</v>
      </c>
      <c r="C59" s="18" t="s">
        <v>57</v>
      </c>
      <c r="D59" s="18" t="s">
        <v>376</v>
      </c>
      <c r="E59" s="18" t="n">
        <v>2</v>
      </c>
      <c r="F59" s="18" t="s">
        <v>306</v>
      </c>
      <c r="G59" s="18" t="s">
        <v>108</v>
      </c>
      <c r="H59" s="18" t="s">
        <v>117</v>
      </c>
      <c r="I59" s="18" t="s">
        <v>140</v>
      </c>
      <c r="J59" s="18" t="s">
        <v>307</v>
      </c>
      <c r="K59" s="18"/>
      <c r="L59" s="18" t="s">
        <v>117</v>
      </c>
      <c r="M59" s="18" t="s">
        <v>117</v>
      </c>
      <c r="N59" s="18" t="s">
        <v>308</v>
      </c>
      <c r="O59" s="18" t="s">
        <v>398</v>
      </c>
      <c r="P59" s="18" t="s">
        <v>399</v>
      </c>
      <c r="Q59" s="18" t="s">
        <v>123</v>
      </c>
      <c r="R59" s="18" t="s">
        <v>400</v>
      </c>
      <c r="S59" s="18" t="s">
        <v>125</v>
      </c>
      <c r="T59" s="18" t="s">
        <v>401</v>
      </c>
      <c r="U59" s="18"/>
      <c r="V59" s="19" t="s">
        <v>29</v>
      </c>
      <c r="W59" s="19"/>
      <c r="X59" s="19"/>
      <c r="Y59" s="20"/>
      <c r="Z59" s="19"/>
      <c r="AA59" s="18" t="str">
        <f aca="false">IF(OR(V59="Aprobada"),R59,IF(AND(OR(V59="Aprobada con ajuste",V59="Rechazada"),W59&lt;&gt;""),W59,""))</f>
        <v/>
      </c>
    </row>
    <row r="60" customFormat="false" ht="22.35" hidden="false" customHeight="false" outlineLevel="0" collapsed="false">
      <c r="A60" s="18" t="s">
        <v>402</v>
      </c>
      <c r="B60" s="18" t="s">
        <v>56</v>
      </c>
      <c r="C60" s="18" t="s">
        <v>57</v>
      </c>
      <c r="D60" s="18" t="s">
        <v>403</v>
      </c>
      <c r="E60" s="18" t="n">
        <v>0</v>
      </c>
      <c r="F60" s="18" t="s">
        <v>404</v>
      </c>
      <c r="G60" s="18" t="s">
        <v>184</v>
      </c>
      <c r="H60" s="18" t="s">
        <v>109</v>
      </c>
      <c r="I60" s="18"/>
      <c r="J60" s="18"/>
      <c r="K60" s="18"/>
      <c r="L60" s="18" t="s">
        <v>109</v>
      </c>
      <c r="M60" s="18" t="s">
        <v>109</v>
      </c>
      <c r="N60" s="18"/>
      <c r="O60" s="18"/>
      <c r="P60" s="18"/>
      <c r="Q60" s="18" t="s">
        <v>110</v>
      </c>
      <c r="R60" s="18" t="s">
        <v>405</v>
      </c>
      <c r="S60" s="18" t="s">
        <v>112</v>
      </c>
      <c r="T60" s="18" t="s">
        <v>113</v>
      </c>
      <c r="U60" s="18"/>
      <c r="V60" s="19" t="s">
        <v>29</v>
      </c>
      <c r="W60" s="19"/>
      <c r="X60" s="19"/>
      <c r="Y60" s="20"/>
      <c r="Z60" s="19"/>
      <c r="AA60" s="18" t="str">
        <f aca="false">IF(OR(V60="Aprobada"),R60,IF(AND(OR(V60="Aprobada con ajuste",V60="Rechazada"),W60&lt;&gt;""),W60,""))</f>
        <v/>
      </c>
    </row>
    <row r="61" customFormat="false" ht="64.15" hidden="false" customHeight="false" outlineLevel="0" collapsed="false">
      <c r="A61" s="18" t="s">
        <v>406</v>
      </c>
      <c r="B61" s="18" t="s">
        <v>56</v>
      </c>
      <c r="C61" s="18" t="s">
        <v>57</v>
      </c>
      <c r="D61" s="18" t="s">
        <v>407</v>
      </c>
      <c r="E61" s="18" t="n">
        <v>5</v>
      </c>
      <c r="F61" s="18" t="s">
        <v>408</v>
      </c>
      <c r="G61" s="18" t="s">
        <v>151</v>
      </c>
      <c r="H61" s="18" t="s">
        <v>109</v>
      </c>
      <c r="I61" s="18" t="s">
        <v>409</v>
      </c>
      <c r="J61" s="18"/>
      <c r="K61" s="18"/>
      <c r="L61" s="18" t="s">
        <v>109</v>
      </c>
      <c r="M61" s="18" t="s">
        <v>117</v>
      </c>
      <c r="N61" s="18" t="s">
        <v>410</v>
      </c>
      <c r="O61" s="18" t="s">
        <v>411</v>
      </c>
      <c r="P61" s="18"/>
      <c r="Q61" s="18" t="s">
        <v>110</v>
      </c>
      <c r="R61" s="18" t="s">
        <v>412</v>
      </c>
      <c r="S61" s="18" t="s">
        <v>112</v>
      </c>
      <c r="T61" s="18" t="s">
        <v>113</v>
      </c>
      <c r="U61" s="18"/>
      <c r="V61" s="19" t="s">
        <v>29</v>
      </c>
      <c r="W61" s="19"/>
      <c r="X61" s="19"/>
      <c r="Y61" s="20"/>
      <c r="Z61" s="19"/>
      <c r="AA61" s="18" t="str">
        <f aca="false">IF(OR(V61="Aprobada"),R61,IF(AND(OR(V61="Aprobada con ajuste",V61="Rechazada"),W61&lt;&gt;""),W61,""))</f>
        <v/>
      </c>
    </row>
    <row r="62" customFormat="false" ht="22.35" hidden="false" customHeight="false" outlineLevel="0" collapsed="false">
      <c r="A62" s="18" t="s">
        <v>413</v>
      </c>
      <c r="B62" s="18" t="s">
        <v>56</v>
      </c>
      <c r="C62" s="18" t="s">
        <v>57</v>
      </c>
      <c r="D62" s="18" t="s">
        <v>407</v>
      </c>
      <c r="E62" s="18" t="n">
        <v>5</v>
      </c>
      <c r="F62" s="18" t="s">
        <v>129</v>
      </c>
      <c r="G62" s="18" t="s">
        <v>414</v>
      </c>
      <c r="H62" s="18" t="s">
        <v>109</v>
      </c>
      <c r="I62" s="18"/>
      <c r="J62" s="18"/>
      <c r="K62" s="18"/>
      <c r="L62" s="18" t="s">
        <v>109</v>
      </c>
      <c r="M62" s="18" t="s">
        <v>109</v>
      </c>
      <c r="N62" s="18"/>
      <c r="O62" s="18"/>
      <c r="P62" s="18"/>
      <c r="Q62" s="18" t="s">
        <v>110</v>
      </c>
      <c r="R62" s="18" t="s">
        <v>415</v>
      </c>
      <c r="S62" s="18" t="s">
        <v>112</v>
      </c>
      <c r="T62" s="18" t="s">
        <v>113</v>
      </c>
      <c r="U62" s="18"/>
      <c r="V62" s="19" t="s">
        <v>29</v>
      </c>
      <c r="W62" s="19"/>
      <c r="X62" s="19"/>
      <c r="Y62" s="20"/>
      <c r="Z62" s="19"/>
      <c r="AA62" s="18" t="str">
        <f aca="false">IF(OR(V62="Aprobada"),R62,IF(AND(OR(V62="Aprobada con ajuste",V62="Rechazada"),W62&lt;&gt;""),W62,""))</f>
        <v/>
      </c>
    </row>
    <row r="63" customFormat="false" ht="22.35" hidden="false" customHeight="false" outlineLevel="0" collapsed="false">
      <c r="A63" s="18" t="s">
        <v>416</v>
      </c>
      <c r="B63" s="18" t="s">
        <v>56</v>
      </c>
      <c r="C63" s="18" t="s">
        <v>57</v>
      </c>
      <c r="D63" s="18" t="s">
        <v>407</v>
      </c>
      <c r="E63" s="18" t="n">
        <v>5</v>
      </c>
      <c r="F63" s="18" t="s">
        <v>417</v>
      </c>
      <c r="G63" s="18" t="s">
        <v>394</v>
      </c>
      <c r="H63" s="18" t="s">
        <v>109</v>
      </c>
      <c r="I63" s="18"/>
      <c r="J63" s="18"/>
      <c r="K63" s="18"/>
      <c r="L63" s="18" t="s">
        <v>109</v>
      </c>
      <c r="M63" s="18" t="s">
        <v>109</v>
      </c>
      <c r="N63" s="18"/>
      <c r="O63" s="18"/>
      <c r="P63" s="18"/>
      <c r="Q63" s="18" t="s">
        <v>110</v>
      </c>
      <c r="R63" s="18" t="s">
        <v>418</v>
      </c>
      <c r="S63" s="18" t="s">
        <v>112</v>
      </c>
      <c r="T63" s="18" t="s">
        <v>113</v>
      </c>
      <c r="U63" s="18"/>
      <c r="V63" s="19" t="s">
        <v>29</v>
      </c>
      <c r="W63" s="19"/>
      <c r="X63" s="19"/>
      <c r="Y63" s="20"/>
      <c r="Z63" s="19"/>
      <c r="AA63" s="18" t="str">
        <f aca="false">IF(OR(V63="Aprobada"),R63,IF(AND(OR(V63="Aprobada con ajuste",V63="Rechazada"),W63&lt;&gt;""),W63,""))</f>
        <v/>
      </c>
    </row>
    <row r="64" customFormat="false" ht="22.35" hidden="false" customHeight="false" outlineLevel="0" collapsed="false">
      <c r="A64" s="18" t="s">
        <v>419</v>
      </c>
      <c r="B64" s="18" t="s">
        <v>56</v>
      </c>
      <c r="C64" s="18" t="s">
        <v>57</v>
      </c>
      <c r="D64" s="18" t="s">
        <v>407</v>
      </c>
      <c r="E64" s="18" t="n">
        <v>5</v>
      </c>
      <c r="F64" s="18" t="s">
        <v>393</v>
      </c>
      <c r="G64" s="18" t="s">
        <v>394</v>
      </c>
      <c r="H64" s="18" t="s">
        <v>109</v>
      </c>
      <c r="I64" s="18"/>
      <c r="J64" s="18"/>
      <c r="K64" s="18"/>
      <c r="L64" s="18" t="s">
        <v>109</v>
      </c>
      <c r="M64" s="18" t="s">
        <v>109</v>
      </c>
      <c r="N64" s="18"/>
      <c r="O64" s="18"/>
      <c r="P64" s="18"/>
      <c r="Q64" s="18" t="s">
        <v>110</v>
      </c>
      <c r="R64" s="18" t="s">
        <v>396</v>
      </c>
      <c r="S64" s="18" t="s">
        <v>112</v>
      </c>
      <c r="T64" s="18" t="s">
        <v>113</v>
      </c>
      <c r="U64" s="18"/>
      <c r="V64" s="19" t="s">
        <v>29</v>
      </c>
      <c r="W64" s="19"/>
      <c r="X64" s="19"/>
      <c r="Y64" s="20"/>
      <c r="Z64" s="19"/>
      <c r="AA64" s="18" t="str">
        <f aca="false">IF(OR(V64="Aprobada"),R64,IF(AND(OR(V64="Aprobada con ajuste",V64="Rechazada"),W64&lt;&gt;""),W64,""))</f>
        <v/>
      </c>
    </row>
    <row r="65" customFormat="false" ht="22.35" hidden="false" customHeight="false" outlineLevel="0" collapsed="false">
      <c r="A65" s="18" t="s">
        <v>420</v>
      </c>
      <c r="B65" s="18" t="s">
        <v>56</v>
      </c>
      <c r="C65" s="18" t="s">
        <v>57</v>
      </c>
      <c r="D65" s="18" t="s">
        <v>421</v>
      </c>
      <c r="E65" s="18" t="n">
        <v>575</v>
      </c>
      <c r="F65" s="18" t="s">
        <v>422</v>
      </c>
      <c r="G65" s="18" t="s">
        <v>151</v>
      </c>
      <c r="H65" s="18" t="s">
        <v>117</v>
      </c>
      <c r="I65" s="18"/>
      <c r="J65" s="18"/>
      <c r="K65" s="18"/>
      <c r="L65" s="18" t="s">
        <v>109</v>
      </c>
      <c r="M65" s="18" t="s">
        <v>109</v>
      </c>
      <c r="N65" s="18"/>
      <c r="O65" s="18" t="s">
        <v>423</v>
      </c>
      <c r="P65" s="18"/>
      <c r="Q65" s="18" t="s">
        <v>134</v>
      </c>
      <c r="R65" s="18" t="s">
        <v>424</v>
      </c>
      <c r="S65" s="18" t="s">
        <v>125</v>
      </c>
      <c r="T65" s="18" t="s">
        <v>425</v>
      </c>
      <c r="U65" s="18"/>
      <c r="V65" s="19" t="s">
        <v>29</v>
      </c>
      <c r="W65" s="19"/>
      <c r="X65" s="19"/>
      <c r="Y65" s="20"/>
      <c r="Z65" s="19"/>
      <c r="AA65" s="18" t="str">
        <f aca="false">IF(OR(V65="Aprobada"),R65,IF(AND(OR(V65="Aprobada con ajuste",V65="Rechazada"),W65&lt;&gt;""),W65,""))</f>
        <v/>
      </c>
    </row>
    <row r="66" customFormat="false" ht="22.35" hidden="false" customHeight="false" outlineLevel="0" collapsed="false">
      <c r="A66" s="18" t="s">
        <v>426</v>
      </c>
      <c r="B66" s="18" t="s">
        <v>56</v>
      </c>
      <c r="C66" s="18" t="s">
        <v>57</v>
      </c>
      <c r="D66" s="18" t="s">
        <v>421</v>
      </c>
      <c r="E66" s="18" t="n">
        <v>575</v>
      </c>
      <c r="F66" s="18" t="s">
        <v>306</v>
      </c>
      <c r="G66" s="18" t="s">
        <v>133</v>
      </c>
      <c r="H66" s="18" t="s">
        <v>117</v>
      </c>
      <c r="I66" s="18"/>
      <c r="J66" s="18"/>
      <c r="K66" s="18"/>
      <c r="L66" s="18" t="s">
        <v>109</v>
      </c>
      <c r="M66" s="18" t="s">
        <v>109</v>
      </c>
      <c r="N66" s="18"/>
      <c r="O66" s="18"/>
      <c r="P66" s="18"/>
      <c r="Q66" s="18" t="s">
        <v>134</v>
      </c>
      <c r="R66" s="18" t="s">
        <v>427</v>
      </c>
      <c r="S66" s="18" t="s">
        <v>112</v>
      </c>
      <c r="T66" s="18" t="s">
        <v>428</v>
      </c>
      <c r="U66" s="18" t="s">
        <v>429</v>
      </c>
      <c r="V66" s="19" t="s">
        <v>29</v>
      </c>
      <c r="W66" s="19"/>
      <c r="X66" s="19"/>
      <c r="Y66" s="20"/>
      <c r="Z66" s="19"/>
      <c r="AA66" s="18" t="str">
        <f aca="false">IF(OR(V66="Aprobada"),R66,IF(AND(OR(V66="Aprobada con ajuste",V66="Rechazada"),W66&lt;&gt;""),W66,""))</f>
        <v/>
      </c>
    </row>
    <row r="67" customFormat="false" ht="22.35" hidden="false" customHeight="false" outlineLevel="0" collapsed="false">
      <c r="A67" s="18" t="s">
        <v>430</v>
      </c>
      <c r="B67" s="18" t="s">
        <v>56</v>
      </c>
      <c r="C67" s="18" t="s">
        <v>57</v>
      </c>
      <c r="D67" s="18" t="s">
        <v>421</v>
      </c>
      <c r="E67" s="18" t="n">
        <v>575</v>
      </c>
      <c r="F67" s="18" t="s">
        <v>431</v>
      </c>
      <c r="G67" s="18" t="s">
        <v>195</v>
      </c>
      <c r="H67" s="18" t="s">
        <v>117</v>
      </c>
      <c r="I67" s="18"/>
      <c r="J67" s="18"/>
      <c r="K67" s="18"/>
      <c r="L67" s="18" t="s">
        <v>109</v>
      </c>
      <c r="M67" s="18" t="s">
        <v>109</v>
      </c>
      <c r="N67" s="18"/>
      <c r="O67" s="18"/>
      <c r="P67" s="18"/>
      <c r="Q67" s="18" t="s">
        <v>134</v>
      </c>
      <c r="R67" s="18" t="s">
        <v>432</v>
      </c>
      <c r="S67" s="18" t="s">
        <v>125</v>
      </c>
      <c r="T67" s="18" t="s">
        <v>433</v>
      </c>
      <c r="U67" s="18"/>
      <c r="V67" s="19" t="s">
        <v>29</v>
      </c>
      <c r="W67" s="19"/>
      <c r="X67" s="19"/>
      <c r="Y67" s="20"/>
      <c r="Z67" s="19"/>
      <c r="AA67" s="18" t="str">
        <f aca="false">IF(OR(V67="Aprobada"),R67,IF(AND(OR(V67="Aprobada con ajuste",V67="Rechazada"),W67&lt;&gt;""),W67,""))</f>
        <v/>
      </c>
    </row>
    <row r="68" customFormat="false" ht="22.35" hidden="false" customHeight="false" outlineLevel="0" collapsed="false">
      <c r="A68" s="18" t="s">
        <v>434</v>
      </c>
      <c r="B68" s="18" t="s">
        <v>56</v>
      </c>
      <c r="C68" s="18" t="s">
        <v>57</v>
      </c>
      <c r="D68" s="18" t="s">
        <v>421</v>
      </c>
      <c r="E68" s="18" t="n">
        <v>575</v>
      </c>
      <c r="F68" s="18" t="s">
        <v>435</v>
      </c>
      <c r="G68" s="18" t="s">
        <v>436</v>
      </c>
      <c r="H68" s="18" t="s">
        <v>117</v>
      </c>
      <c r="I68" s="18"/>
      <c r="J68" s="18"/>
      <c r="K68" s="18"/>
      <c r="L68" s="18" t="s">
        <v>109</v>
      </c>
      <c r="M68" s="18" t="s">
        <v>109</v>
      </c>
      <c r="N68" s="18"/>
      <c r="O68" s="18"/>
      <c r="P68" s="18"/>
      <c r="Q68" s="18" t="s">
        <v>134</v>
      </c>
      <c r="R68" s="18" t="s">
        <v>437</v>
      </c>
      <c r="S68" s="18" t="s">
        <v>125</v>
      </c>
      <c r="T68" s="18" t="s">
        <v>438</v>
      </c>
      <c r="U68" s="18"/>
      <c r="V68" s="19" t="s">
        <v>29</v>
      </c>
      <c r="W68" s="19"/>
      <c r="X68" s="19"/>
      <c r="Y68" s="20"/>
      <c r="Z68" s="19"/>
      <c r="AA68" s="18" t="str">
        <f aca="false">IF(OR(V68="Aprobada"),R68,IF(AND(OR(V68="Aprobada con ajuste",V68="Rechazada"),W68&lt;&gt;""),W68,""))</f>
        <v/>
      </c>
    </row>
    <row r="69" customFormat="false" ht="22.35" hidden="false" customHeight="false" outlineLevel="0" collapsed="false">
      <c r="A69" s="18" t="s">
        <v>439</v>
      </c>
      <c r="B69" s="18" t="s">
        <v>56</v>
      </c>
      <c r="C69" s="18" t="s">
        <v>57</v>
      </c>
      <c r="D69" s="18" t="s">
        <v>421</v>
      </c>
      <c r="E69" s="18" t="n">
        <v>575</v>
      </c>
      <c r="F69" s="18" t="s">
        <v>440</v>
      </c>
      <c r="G69" s="18" t="s">
        <v>436</v>
      </c>
      <c r="H69" s="18" t="s">
        <v>117</v>
      </c>
      <c r="I69" s="18"/>
      <c r="J69" s="18"/>
      <c r="K69" s="18"/>
      <c r="L69" s="18" t="s">
        <v>109</v>
      </c>
      <c r="M69" s="18" t="s">
        <v>109</v>
      </c>
      <c r="N69" s="18"/>
      <c r="O69" s="18"/>
      <c r="P69" s="18"/>
      <c r="Q69" s="18" t="s">
        <v>134</v>
      </c>
      <c r="R69" s="18" t="s">
        <v>441</v>
      </c>
      <c r="S69" s="18" t="s">
        <v>125</v>
      </c>
      <c r="T69" s="18" t="s">
        <v>442</v>
      </c>
      <c r="U69" s="18"/>
      <c r="V69" s="19" t="s">
        <v>29</v>
      </c>
      <c r="W69" s="19"/>
      <c r="X69" s="19"/>
      <c r="Y69" s="20"/>
      <c r="Z69" s="19"/>
      <c r="AA69" s="18" t="str">
        <f aca="false">IF(OR(V69="Aprobada"),R69,IF(AND(OR(V69="Aprobada con ajuste",V69="Rechazada"),W69&lt;&gt;""),W69,""))</f>
        <v/>
      </c>
    </row>
    <row r="70" customFormat="false" ht="22.35" hidden="false" customHeight="false" outlineLevel="0" collapsed="false">
      <c r="A70" s="18" t="s">
        <v>443</v>
      </c>
      <c r="B70" s="18" t="s">
        <v>56</v>
      </c>
      <c r="C70" s="18" t="s">
        <v>57</v>
      </c>
      <c r="D70" s="18" t="s">
        <v>421</v>
      </c>
      <c r="E70" s="18" t="n">
        <v>575</v>
      </c>
      <c r="F70" s="18" t="s">
        <v>444</v>
      </c>
      <c r="G70" s="18" t="s">
        <v>195</v>
      </c>
      <c r="H70" s="18" t="s">
        <v>117</v>
      </c>
      <c r="I70" s="18"/>
      <c r="J70" s="18"/>
      <c r="K70" s="18"/>
      <c r="L70" s="18" t="s">
        <v>109</v>
      </c>
      <c r="M70" s="18" t="s">
        <v>109</v>
      </c>
      <c r="N70" s="18"/>
      <c r="O70" s="18"/>
      <c r="P70" s="18"/>
      <c r="Q70" s="18" t="s">
        <v>134</v>
      </c>
      <c r="R70" s="18" t="s">
        <v>445</v>
      </c>
      <c r="S70" s="18" t="s">
        <v>112</v>
      </c>
      <c r="T70" s="18" t="s">
        <v>446</v>
      </c>
      <c r="U70" s="18" t="s">
        <v>447</v>
      </c>
      <c r="V70" s="19" t="s">
        <v>29</v>
      </c>
      <c r="W70" s="19"/>
      <c r="X70" s="19"/>
      <c r="Y70" s="20"/>
      <c r="Z70" s="19"/>
      <c r="AA70" s="18" t="str">
        <f aca="false">IF(OR(V70="Aprobada"),R70,IF(AND(OR(V70="Aprobada con ajuste",V70="Rechazada"),W70&lt;&gt;""),W70,""))</f>
        <v/>
      </c>
    </row>
    <row r="71" customFormat="false" ht="22.35" hidden="false" customHeight="false" outlineLevel="0" collapsed="false">
      <c r="A71" s="18" t="s">
        <v>448</v>
      </c>
      <c r="B71" s="18" t="s">
        <v>56</v>
      </c>
      <c r="C71" s="18" t="s">
        <v>57</v>
      </c>
      <c r="D71" s="18" t="s">
        <v>421</v>
      </c>
      <c r="E71" s="18" t="n">
        <v>575</v>
      </c>
      <c r="F71" s="18" t="s">
        <v>449</v>
      </c>
      <c r="G71" s="18" t="s">
        <v>151</v>
      </c>
      <c r="H71" s="18" t="s">
        <v>117</v>
      </c>
      <c r="I71" s="18"/>
      <c r="J71" s="18"/>
      <c r="K71" s="18"/>
      <c r="L71" s="18" t="s">
        <v>109</v>
      </c>
      <c r="M71" s="18" t="s">
        <v>109</v>
      </c>
      <c r="N71" s="18"/>
      <c r="O71" s="18"/>
      <c r="P71" s="18"/>
      <c r="Q71" s="18" t="s">
        <v>134</v>
      </c>
      <c r="R71" s="18" t="s">
        <v>450</v>
      </c>
      <c r="S71" s="18" t="s">
        <v>112</v>
      </c>
      <c r="T71" s="18" t="s">
        <v>451</v>
      </c>
      <c r="U71" s="18" t="s">
        <v>452</v>
      </c>
      <c r="V71" s="19" t="s">
        <v>29</v>
      </c>
      <c r="W71" s="19"/>
      <c r="X71" s="19"/>
      <c r="Y71" s="20"/>
      <c r="Z71" s="19"/>
      <c r="AA71" s="18" t="str">
        <f aca="false">IF(OR(V71="Aprobada"),R71,IF(AND(OR(V71="Aprobada con ajuste",V71="Rechazada"),W71&lt;&gt;""),W71,""))</f>
        <v/>
      </c>
    </row>
    <row r="72" customFormat="false" ht="22.35" hidden="false" customHeight="false" outlineLevel="0" collapsed="false">
      <c r="A72" s="18" t="s">
        <v>453</v>
      </c>
      <c r="B72" s="18" t="s">
        <v>56</v>
      </c>
      <c r="C72" s="18" t="s">
        <v>57</v>
      </c>
      <c r="D72" s="18" t="s">
        <v>421</v>
      </c>
      <c r="E72" s="18" t="n">
        <v>575</v>
      </c>
      <c r="F72" s="18" t="s">
        <v>454</v>
      </c>
      <c r="G72" s="18" t="s">
        <v>108</v>
      </c>
      <c r="H72" s="18" t="s">
        <v>117</v>
      </c>
      <c r="I72" s="18"/>
      <c r="J72" s="18"/>
      <c r="K72" s="18"/>
      <c r="L72" s="18" t="s">
        <v>109</v>
      </c>
      <c r="M72" s="18" t="s">
        <v>109</v>
      </c>
      <c r="N72" s="18"/>
      <c r="O72" s="18"/>
      <c r="P72" s="18"/>
      <c r="Q72" s="18" t="s">
        <v>134</v>
      </c>
      <c r="R72" s="18" t="s">
        <v>455</v>
      </c>
      <c r="S72" s="18" t="s">
        <v>125</v>
      </c>
      <c r="T72" s="18" t="s">
        <v>456</v>
      </c>
      <c r="U72" s="18"/>
      <c r="V72" s="19" t="s">
        <v>29</v>
      </c>
      <c r="W72" s="19"/>
      <c r="X72" s="19"/>
      <c r="Y72" s="20"/>
      <c r="Z72" s="19"/>
      <c r="AA72" s="18" t="str">
        <f aca="false">IF(OR(V72="Aprobada"),R72,IF(AND(OR(V72="Aprobada con ajuste",V72="Rechazada"),W72&lt;&gt;""),W72,""))</f>
        <v/>
      </c>
    </row>
    <row r="73" customFormat="false" ht="22.35" hidden="false" customHeight="false" outlineLevel="0" collapsed="false">
      <c r="A73" s="18" t="s">
        <v>457</v>
      </c>
      <c r="B73" s="18" t="s">
        <v>56</v>
      </c>
      <c r="C73" s="18" t="s">
        <v>57</v>
      </c>
      <c r="D73" s="18" t="s">
        <v>421</v>
      </c>
      <c r="E73" s="18" t="n">
        <v>575</v>
      </c>
      <c r="F73" s="18" t="s">
        <v>458</v>
      </c>
      <c r="G73" s="18" t="s">
        <v>459</v>
      </c>
      <c r="H73" s="18" t="s">
        <v>117</v>
      </c>
      <c r="I73" s="18"/>
      <c r="J73" s="18"/>
      <c r="K73" s="18"/>
      <c r="L73" s="18" t="s">
        <v>109</v>
      </c>
      <c r="M73" s="18" t="s">
        <v>109</v>
      </c>
      <c r="N73" s="18"/>
      <c r="O73" s="18"/>
      <c r="P73" s="18"/>
      <c r="Q73" s="18" t="s">
        <v>134</v>
      </c>
      <c r="R73" s="18" t="s">
        <v>460</v>
      </c>
      <c r="S73" s="18" t="s">
        <v>125</v>
      </c>
      <c r="T73" s="18" t="s">
        <v>461</v>
      </c>
      <c r="U73" s="18"/>
      <c r="V73" s="19" t="s">
        <v>29</v>
      </c>
      <c r="W73" s="19"/>
      <c r="X73" s="19"/>
      <c r="Y73" s="20"/>
      <c r="Z73" s="19"/>
      <c r="AA73" s="18" t="str">
        <f aca="false">IF(OR(V73="Aprobada"),R73,IF(AND(OR(V73="Aprobada con ajuste",V73="Rechazada"),W73&lt;&gt;""),W73,""))</f>
        <v/>
      </c>
    </row>
    <row r="74" customFormat="false" ht="22.35" hidden="false" customHeight="false" outlineLevel="0" collapsed="false">
      <c r="A74" s="18" t="s">
        <v>462</v>
      </c>
      <c r="B74" s="18" t="s">
        <v>56</v>
      </c>
      <c r="C74" s="18" t="s">
        <v>57</v>
      </c>
      <c r="D74" s="18" t="s">
        <v>421</v>
      </c>
      <c r="E74" s="18" t="n">
        <v>575</v>
      </c>
      <c r="F74" s="18" t="s">
        <v>463</v>
      </c>
      <c r="G74" s="18" t="s">
        <v>116</v>
      </c>
      <c r="H74" s="18" t="s">
        <v>117</v>
      </c>
      <c r="I74" s="18"/>
      <c r="J74" s="18"/>
      <c r="K74" s="18"/>
      <c r="L74" s="18" t="s">
        <v>109</v>
      </c>
      <c r="M74" s="18" t="s">
        <v>109</v>
      </c>
      <c r="N74" s="18"/>
      <c r="O74" s="18"/>
      <c r="P74" s="18"/>
      <c r="Q74" s="18" t="s">
        <v>134</v>
      </c>
      <c r="R74" s="18" t="s">
        <v>464</v>
      </c>
      <c r="S74" s="18" t="s">
        <v>112</v>
      </c>
      <c r="T74" s="18" t="s">
        <v>225</v>
      </c>
      <c r="U74" s="18" t="s">
        <v>465</v>
      </c>
      <c r="V74" s="19" t="s">
        <v>29</v>
      </c>
      <c r="W74" s="19"/>
      <c r="X74" s="19"/>
      <c r="Y74" s="20"/>
      <c r="Z74" s="19"/>
      <c r="AA74" s="18" t="str">
        <f aca="false">IF(OR(V74="Aprobada"),R74,IF(AND(OR(V74="Aprobada con ajuste",V74="Rechazada"),W74&lt;&gt;""),W74,""))</f>
        <v/>
      </c>
    </row>
    <row r="75" customFormat="false" ht="22.35" hidden="false" customHeight="false" outlineLevel="0" collapsed="false">
      <c r="A75" s="18" t="s">
        <v>466</v>
      </c>
      <c r="B75" s="18" t="s">
        <v>56</v>
      </c>
      <c r="C75" s="18" t="s">
        <v>57</v>
      </c>
      <c r="D75" s="18" t="s">
        <v>421</v>
      </c>
      <c r="E75" s="18" t="n">
        <v>575</v>
      </c>
      <c r="F75" s="18" t="s">
        <v>467</v>
      </c>
      <c r="G75" s="18" t="s">
        <v>156</v>
      </c>
      <c r="H75" s="18" t="s">
        <v>117</v>
      </c>
      <c r="I75" s="18"/>
      <c r="J75" s="18"/>
      <c r="K75" s="18"/>
      <c r="L75" s="18" t="s">
        <v>109</v>
      </c>
      <c r="M75" s="18" t="s">
        <v>109</v>
      </c>
      <c r="N75" s="18"/>
      <c r="O75" s="18"/>
      <c r="P75" s="18"/>
      <c r="Q75" s="18" t="s">
        <v>134</v>
      </c>
      <c r="R75" s="18" t="s">
        <v>468</v>
      </c>
      <c r="S75" s="18" t="s">
        <v>125</v>
      </c>
      <c r="T75" s="18" t="s">
        <v>158</v>
      </c>
      <c r="U75" s="18"/>
      <c r="V75" s="19" t="s">
        <v>29</v>
      </c>
      <c r="W75" s="19"/>
      <c r="X75" s="19"/>
      <c r="Y75" s="20"/>
      <c r="Z75" s="19"/>
      <c r="AA75" s="18" t="str">
        <f aca="false">IF(OR(V75="Aprobada"),R75,IF(AND(OR(V75="Aprobada con ajuste",V75="Rechazada"),W75&lt;&gt;""),W75,""))</f>
        <v/>
      </c>
    </row>
    <row r="76" customFormat="false" ht="22.35" hidden="false" customHeight="false" outlineLevel="0" collapsed="false">
      <c r="A76" s="18" t="s">
        <v>469</v>
      </c>
      <c r="B76" s="18" t="s">
        <v>56</v>
      </c>
      <c r="C76" s="18" t="s">
        <v>57</v>
      </c>
      <c r="D76" s="18" t="s">
        <v>421</v>
      </c>
      <c r="E76" s="18" t="n">
        <v>575</v>
      </c>
      <c r="F76" s="18" t="s">
        <v>470</v>
      </c>
      <c r="G76" s="18" t="s">
        <v>156</v>
      </c>
      <c r="H76" s="18" t="s">
        <v>117</v>
      </c>
      <c r="I76" s="18"/>
      <c r="J76" s="18"/>
      <c r="K76" s="18"/>
      <c r="L76" s="18" t="s">
        <v>109</v>
      </c>
      <c r="M76" s="18" t="s">
        <v>109</v>
      </c>
      <c r="N76" s="18"/>
      <c r="O76" s="18"/>
      <c r="P76" s="18"/>
      <c r="Q76" s="18" t="s">
        <v>134</v>
      </c>
      <c r="R76" s="18" t="s">
        <v>471</v>
      </c>
      <c r="S76" s="18" t="s">
        <v>125</v>
      </c>
      <c r="T76" s="18" t="s">
        <v>158</v>
      </c>
      <c r="U76" s="18"/>
      <c r="V76" s="19" t="s">
        <v>29</v>
      </c>
      <c r="W76" s="19"/>
      <c r="X76" s="19"/>
      <c r="Y76" s="20"/>
      <c r="Z76" s="19"/>
      <c r="AA76" s="18" t="str">
        <f aca="false">IF(OR(V76="Aprobada"),R76,IF(AND(OR(V76="Aprobada con ajuste",V76="Rechazada"),W76&lt;&gt;""),W76,""))</f>
        <v/>
      </c>
    </row>
    <row r="77" customFormat="false" ht="32.8" hidden="false" customHeight="false" outlineLevel="0" collapsed="false">
      <c r="A77" s="18" t="s">
        <v>472</v>
      </c>
      <c r="B77" s="18" t="s">
        <v>56</v>
      </c>
      <c r="C77" s="18" t="s">
        <v>57</v>
      </c>
      <c r="D77" s="18" t="s">
        <v>421</v>
      </c>
      <c r="E77" s="18" t="n">
        <v>575</v>
      </c>
      <c r="F77" s="18" t="s">
        <v>205</v>
      </c>
      <c r="G77" s="18" t="s">
        <v>156</v>
      </c>
      <c r="H77" s="18" t="s">
        <v>117</v>
      </c>
      <c r="I77" s="18"/>
      <c r="J77" s="18"/>
      <c r="K77" s="18"/>
      <c r="L77" s="18" t="s">
        <v>109</v>
      </c>
      <c r="M77" s="18" t="s">
        <v>109</v>
      </c>
      <c r="N77" s="18"/>
      <c r="O77" s="18"/>
      <c r="P77" s="18"/>
      <c r="Q77" s="18" t="s">
        <v>134</v>
      </c>
      <c r="R77" s="18" t="s">
        <v>473</v>
      </c>
      <c r="S77" s="18" t="s">
        <v>112</v>
      </c>
      <c r="T77" s="18" t="s">
        <v>474</v>
      </c>
      <c r="U77" s="18" t="s">
        <v>475</v>
      </c>
      <c r="V77" s="19" t="s">
        <v>29</v>
      </c>
      <c r="W77" s="19"/>
      <c r="X77" s="19"/>
      <c r="Y77" s="20"/>
      <c r="Z77" s="19"/>
      <c r="AA77" s="18" t="str">
        <f aca="false">IF(OR(V77="Aprobada"),R77,IF(AND(OR(V77="Aprobada con ajuste",V77="Rechazada"),W77&lt;&gt;""),W77,""))</f>
        <v/>
      </c>
    </row>
    <row r="78" customFormat="false" ht="22.35" hidden="false" customHeight="false" outlineLevel="0" collapsed="false">
      <c r="A78" s="18" t="s">
        <v>476</v>
      </c>
      <c r="B78" s="18" t="s">
        <v>56</v>
      </c>
      <c r="C78" s="18" t="s">
        <v>57</v>
      </c>
      <c r="D78" s="18" t="s">
        <v>421</v>
      </c>
      <c r="E78" s="18" t="n">
        <v>575</v>
      </c>
      <c r="F78" s="18" t="s">
        <v>354</v>
      </c>
      <c r="G78" s="18" t="s">
        <v>108</v>
      </c>
      <c r="H78" s="18" t="s">
        <v>117</v>
      </c>
      <c r="I78" s="18"/>
      <c r="J78" s="18"/>
      <c r="K78" s="18"/>
      <c r="L78" s="18" t="s">
        <v>109</v>
      </c>
      <c r="M78" s="18" t="s">
        <v>109</v>
      </c>
      <c r="N78" s="18"/>
      <c r="O78" s="18"/>
      <c r="P78" s="18"/>
      <c r="Q78" s="18" t="s">
        <v>134</v>
      </c>
      <c r="R78" s="18" t="s">
        <v>477</v>
      </c>
      <c r="S78" s="18" t="s">
        <v>125</v>
      </c>
      <c r="T78" s="18" t="s">
        <v>478</v>
      </c>
      <c r="U78" s="18"/>
      <c r="V78" s="19" t="s">
        <v>29</v>
      </c>
      <c r="W78" s="19"/>
      <c r="X78" s="19"/>
      <c r="Y78" s="20"/>
      <c r="Z78" s="19"/>
      <c r="AA78" s="18" t="str">
        <f aca="false">IF(OR(V78="Aprobada"),R78,IF(AND(OR(V78="Aprobada con ajuste",V78="Rechazada"),W78&lt;&gt;""),W78,""))</f>
        <v/>
      </c>
    </row>
    <row r="79" customFormat="false" ht="22.35" hidden="false" customHeight="false" outlineLevel="0" collapsed="false">
      <c r="A79" s="18" t="s">
        <v>479</v>
      </c>
      <c r="B79" s="18" t="s">
        <v>56</v>
      </c>
      <c r="C79" s="18" t="s">
        <v>57</v>
      </c>
      <c r="D79" s="18" t="s">
        <v>421</v>
      </c>
      <c r="E79" s="18" t="n">
        <v>575</v>
      </c>
      <c r="F79" s="18" t="s">
        <v>480</v>
      </c>
      <c r="G79" s="18" t="s">
        <v>151</v>
      </c>
      <c r="H79" s="18" t="s">
        <v>117</v>
      </c>
      <c r="I79" s="18"/>
      <c r="J79" s="18"/>
      <c r="K79" s="18"/>
      <c r="L79" s="18" t="s">
        <v>109</v>
      </c>
      <c r="M79" s="18" t="s">
        <v>109</v>
      </c>
      <c r="N79" s="18"/>
      <c r="O79" s="18" t="s">
        <v>481</v>
      </c>
      <c r="P79" s="18"/>
      <c r="Q79" s="18" t="s">
        <v>134</v>
      </c>
      <c r="R79" s="18" t="s">
        <v>482</v>
      </c>
      <c r="S79" s="18" t="s">
        <v>125</v>
      </c>
      <c r="T79" s="18" t="s">
        <v>483</v>
      </c>
      <c r="U79" s="18"/>
      <c r="V79" s="19" t="s">
        <v>29</v>
      </c>
      <c r="W79" s="19"/>
      <c r="X79" s="19"/>
      <c r="Y79" s="20"/>
      <c r="Z79" s="19"/>
      <c r="AA79" s="18" t="str">
        <f aca="false">IF(OR(V79="Aprobada"),R79,IF(AND(OR(V79="Aprobada con ajuste",V79="Rechazada"),W79&lt;&gt;""),W79,""))</f>
        <v/>
      </c>
    </row>
    <row r="80" customFormat="false" ht="22.35" hidden="false" customHeight="false" outlineLevel="0" collapsed="false">
      <c r="A80" s="18" t="s">
        <v>484</v>
      </c>
      <c r="B80" s="18" t="s">
        <v>56</v>
      </c>
      <c r="C80" s="18" t="s">
        <v>57</v>
      </c>
      <c r="D80" s="18" t="s">
        <v>421</v>
      </c>
      <c r="E80" s="18" t="n">
        <v>575</v>
      </c>
      <c r="F80" s="18" t="s">
        <v>485</v>
      </c>
      <c r="G80" s="18" t="s">
        <v>486</v>
      </c>
      <c r="H80" s="18" t="s">
        <v>117</v>
      </c>
      <c r="I80" s="18"/>
      <c r="J80" s="18"/>
      <c r="K80" s="18"/>
      <c r="L80" s="18" t="s">
        <v>109</v>
      </c>
      <c r="M80" s="18" t="s">
        <v>109</v>
      </c>
      <c r="N80" s="18"/>
      <c r="O80" s="18"/>
      <c r="P80" s="18"/>
      <c r="Q80" s="18" t="s">
        <v>134</v>
      </c>
      <c r="R80" s="18" t="s">
        <v>487</v>
      </c>
      <c r="S80" s="18" t="s">
        <v>125</v>
      </c>
      <c r="T80" s="18" t="s">
        <v>488</v>
      </c>
      <c r="U80" s="18"/>
      <c r="V80" s="19" t="s">
        <v>29</v>
      </c>
      <c r="W80" s="19"/>
      <c r="X80" s="19"/>
      <c r="Y80" s="20"/>
      <c r="Z80" s="19"/>
      <c r="AA80" s="18" t="str">
        <f aca="false">IF(OR(V80="Aprobada"),R80,IF(AND(OR(V80="Aprobada con ajuste",V80="Rechazada"),W80&lt;&gt;""),W80,""))</f>
        <v/>
      </c>
    </row>
    <row r="81" customFormat="false" ht="22.35" hidden="false" customHeight="false" outlineLevel="0" collapsed="false">
      <c r="A81" s="18" t="s">
        <v>489</v>
      </c>
      <c r="B81" s="18" t="s">
        <v>56</v>
      </c>
      <c r="C81" s="18" t="s">
        <v>57</v>
      </c>
      <c r="D81" s="18" t="s">
        <v>421</v>
      </c>
      <c r="E81" s="18" t="n">
        <v>575</v>
      </c>
      <c r="F81" s="18" t="s">
        <v>490</v>
      </c>
      <c r="G81" s="18" t="s">
        <v>133</v>
      </c>
      <c r="H81" s="18" t="s">
        <v>117</v>
      </c>
      <c r="I81" s="18"/>
      <c r="J81" s="18"/>
      <c r="K81" s="18"/>
      <c r="L81" s="18" t="s">
        <v>109</v>
      </c>
      <c r="M81" s="18" t="s">
        <v>109</v>
      </c>
      <c r="N81" s="18"/>
      <c r="O81" s="18"/>
      <c r="P81" s="18"/>
      <c r="Q81" s="18" t="s">
        <v>134</v>
      </c>
      <c r="R81" s="18" t="s">
        <v>491</v>
      </c>
      <c r="S81" s="18" t="s">
        <v>112</v>
      </c>
      <c r="T81" s="18" t="s">
        <v>129</v>
      </c>
      <c r="U81" s="18" t="s">
        <v>492</v>
      </c>
      <c r="V81" s="19" t="s">
        <v>29</v>
      </c>
      <c r="W81" s="19"/>
      <c r="X81" s="19"/>
      <c r="Y81" s="20"/>
      <c r="Z81" s="19"/>
      <c r="AA81" s="18" t="str">
        <f aca="false">IF(OR(V81="Aprobada"),R81,IF(AND(OR(V81="Aprobada con ajuste",V81="Rechazada"),W81&lt;&gt;""),W81,""))</f>
        <v/>
      </c>
    </row>
    <row r="82" customFormat="false" ht="22.35" hidden="false" customHeight="false" outlineLevel="0" collapsed="false">
      <c r="A82" s="18" t="s">
        <v>493</v>
      </c>
      <c r="B82" s="18" t="s">
        <v>56</v>
      </c>
      <c r="C82" s="18" t="s">
        <v>57</v>
      </c>
      <c r="D82" s="18" t="s">
        <v>421</v>
      </c>
      <c r="E82" s="18" t="n">
        <v>575</v>
      </c>
      <c r="F82" s="18" t="s">
        <v>417</v>
      </c>
      <c r="G82" s="18" t="s">
        <v>151</v>
      </c>
      <c r="H82" s="18" t="s">
        <v>117</v>
      </c>
      <c r="I82" s="18"/>
      <c r="J82" s="18"/>
      <c r="K82" s="18"/>
      <c r="L82" s="18" t="s">
        <v>109</v>
      </c>
      <c r="M82" s="18" t="s">
        <v>109</v>
      </c>
      <c r="N82" s="18"/>
      <c r="O82" s="18"/>
      <c r="P82" s="18"/>
      <c r="Q82" s="18" t="s">
        <v>110</v>
      </c>
      <c r="R82" s="18" t="s">
        <v>418</v>
      </c>
      <c r="S82" s="18" t="s">
        <v>112</v>
      </c>
      <c r="T82" s="18" t="s">
        <v>113</v>
      </c>
      <c r="U82" s="18"/>
      <c r="V82" s="19" t="s">
        <v>29</v>
      </c>
      <c r="W82" s="19"/>
      <c r="X82" s="19"/>
      <c r="Y82" s="20"/>
      <c r="Z82" s="19"/>
      <c r="AA82" s="18" t="str">
        <f aca="false">IF(OR(V82="Aprobada"),R82,IF(AND(OR(V82="Aprobada con ajuste",V82="Rechazada"),W82&lt;&gt;""),W82,""))</f>
        <v/>
      </c>
    </row>
    <row r="83" customFormat="false" ht="22.35" hidden="false" customHeight="false" outlineLevel="0" collapsed="false">
      <c r="A83" s="18" t="s">
        <v>494</v>
      </c>
      <c r="B83" s="18" t="s">
        <v>56</v>
      </c>
      <c r="C83" s="18" t="s">
        <v>57</v>
      </c>
      <c r="D83" s="18" t="s">
        <v>421</v>
      </c>
      <c r="E83" s="18" t="n">
        <v>575</v>
      </c>
      <c r="F83" s="18" t="s">
        <v>393</v>
      </c>
      <c r="G83" s="18" t="s">
        <v>151</v>
      </c>
      <c r="H83" s="18" t="s">
        <v>117</v>
      </c>
      <c r="I83" s="18"/>
      <c r="J83" s="18"/>
      <c r="K83" s="18"/>
      <c r="L83" s="18" t="s">
        <v>109</v>
      </c>
      <c r="M83" s="18" t="s">
        <v>109</v>
      </c>
      <c r="N83" s="18"/>
      <c r="O83" s="18"/>
      <c r="P83" s="18"/>
      <c r="Q83" s="18" t="s">
        <v>110</v>
      </c>
      <c r="R83" s="18" t="s">
        <v>396</v>
      </c>
      <c r="S83" s="18" t="s">
        <v>112</v>
      </c>
      <c r="T83" s="18" t="s">
        <v>113</v>
      </c>
      <c r="U83" s="18"/>
      <c r="V83" s="19" t="s">
        <v>29</v>
      </c>
      <c r="W83" s="19"/>
      <c r="X83" s="19"/>
      <c r="Y83" s="20"/>
      <c r="Z83" s="19"/>
      <c r="AA83" s="18" t="str">
        <f aca="false">IF(OR(V83="Aprobada"),R83,IF(AND(OR(V83="Aprobada con ajuste",V83="Rechazada"),W83&lt;&gt;""),W83,""))</f>
        <v/>
      </c>
    </row>
    <row r="84" customFormat="false" ht="22.35" hidden="false" customHeight="false" outlineLevel="0" collapsed="false">
      <c r="A84" s="18" t="s">
        <v>495</v>
      </c>
      <c r="B84" s="18" t="s">
        <v>56</v>
      </c>
      <c r="C84" s="18" t="s">
        <v>57</v>
      </c>
      <c r="D84" s="18" t="s">
        <v>421</v>
      </c>
      <c r="E84" s="18" t="n">
        <v>575</v>
      </c>
      <c r="F84" s="18" t="s">
        <v>496</v>
      </c>
      <c r="G84" s="18" t="s">
        <v>337</v>
      </c>
      <c r="H84" s="18" t="s">
        <v>117</v>
      </c>
      <c r="I84" s="18"/>
      <c r="J84" s="18"/>
      <c r="K84" s="18"/>
      <c r="L84" s="18" t="s">
        <v>109</v>
      </c>
      <c r="M84" s="18" t="s">
        <v>109</v>
      </c>
      <c r="N84" s="18"/>
      <c r="O84" s="18" t="s">
        <v>497</v>
      </c>
      <c r="P84" s="18"/>
      <c r="Q84" s="18" t="s">
        <v>134</v>
      </c>
      <c r="R84" s="18" t="s">
        <v>498</v>
      </c>
      <c r="S84" s="18" t="s">
        <v>125</v>
      </c>
      <c r="T84" s="18" t="s">
        <v>499</v>
      </c>
      <c r="U84" s="18"/>
      <c r="V84" s="19" t="s">
        <v>29</v>
      </c>
      <c r="W84" s="19"/>
      <c r="X84" s="19"/>
      <c r="Y84" s="20"/>
      <c r="Z84" s="19"/>
      <c r="AA84" s="18" t="str">
        <f aca="false">IF(OR(V84="Aprobada"),R84,IF(AND(OR(V84="Aprobada con ajuste",V84="Rechazada"),W84&lt;&gt;""),W84,""))</f>
        <v/>
      </c>
    </row>
    <row r="85" customFormat="false" ht="22.35" hidden="false" customHeight="false" outlineLevel="0" collapsed="false">
      <c r="A85" s="18" t="s">
        <v>500</v>
      </c>
      <c r="B85" s="18" t="s">
        <v>56</v>
      </c>
      <c r="C85" s="18" t="s">
        <v>57</v>
      </c>
      <c r="D85" s="18" t="s">
        <v>421</v>
      </c>
      <c r="E85" s="18" t="n">
        <v>575</v>
      </c>
      <c r="F85" s="18" t="s">
        <v>343</v>
      </c>
      <c r="G85" s="18" t="s">
        <v>195</v>
      </c>
      <c r="H85" s="18" t="s">
        <v>117</v>
      </c>
      <c r="I85" s="18"/>
      <c r="J85" s="18"/>
      <c r="K85" s="18"/>
      <c r="L85" s="18" t="s">
        <v>109</v>
      </c>
      <c r="M85" s="18" t="s">
        <v>109</v>
      </c>
      <c r="N85" s="18"/>
      <c r="O85" s="18" t="s">
        <v>497</v>
      </c>
      <c r="P85" s="18"/>
      <c r="Q85" s="18" t="s">
        <v>134</v>
      </c>
      <c r="R85" s="18" t="s">
        <v>501</v>
      </c>
      <c r="S85" s="18" t="s">
        <v>125</v>
      </c>
      <c r="T85" s="18" t="s">
        <v>502</v>
      </c>
      <c r="U85" s="18"/>
      <c r="V85" s="19" t="s">
        <v>29</v>
      </c>
      <c r="W85" s="19"/>
      <c r="X85" s="19"/>
      <c r="Y85" s="20"/>
      <c r="Z85" s="19"/>
      <c r="AA85" s="18" t="str">
        <f aca="false">IF(OR(V85="Aprobada"),R85,IF(AND(OR(V85="Aprobada con ajuste",V85="Rechazada"),W85&lt;&gt;""),W85,""))</f>
        <v/>
      </c>
    </row>
    <row r="86" customFormat="false" ht="22.35" hidden="false" customHeight="false" outlineLevel="0" collapsed="false">
      <c r="A86" s="18" t="s">
        <v>503</v>
      </c>
      <c r="B86" s="18" t="s">
        <v>56</v>
      </c>
      <c r="C86" s="18" t="s">
        <v>57</v>
      </c>
      <c r="D86" s="18" t="s">
        <v>421</v>
      </c>
      <c r="E86" s="18" t="n">
        <v>575</v>
      </c>
      <c r="F86" s="18" t="s">
        <v>349</v>
      </c>
      <c r="G86" s="18" t="s">
        <v>195</v>
      </c>
      <c r="H86" s="18" t="s">
        <v>117</v>
      </c>
      <c r="I86" s="18"/>
      <c r="J86" s="18"/>
      <c r="K86" s="18"/>
      <c r="L86" s="18" t="s">
        <v>109</v>
      </c>
      <c r="M86" s="18" t="s">
        <v>109</v>
      </c>
      <c r="N86" s="18"/>
      <c r="O86" s="18" t="s">
        <v>497</v>
      </c>
      <c r="P86" s="18"/>
      <c r="Q86" s="18" t="s">
        <v>134</v>
      </c>
      <c r="R86" s="18" t="s">
        <v>504</v>
      </c>
      <c r="S86" s="18" t="s">
        <v>125</v>
      </c>
      <c r="T86" s="18" t="s">
        <v>502</v>
      </c>
      <c r="U86" s="18"/>
      <c r="V86" s="19" t="s">
        <v>29</v>
      </c>
      <c r="W86" s="19"/>
      <c r="X86" s="19"/>
      <c r="Y86" s="20"/>
      <c r="Z86" s="19"/>
      <c r="AA86" s="18" t="str">
        <f aca="false">IF(OR(V86="Aprobada"),R86,IF(AND(OR(V86="Aprobada con ajuste",V86="Rechazada"),W86&lt;&gt;""),W86,""))</f>
        <v/>
      </c>
    </row>
    <row r="87" customFormat="false" ht="22.35" hidden="false" customHeight="false" outlineLevel="0" collapsed="false">
      <c r="A87" s="18" t="s">
        <v>505</v>
      </c>
      <c r="B87" s="18" t="s">
        <v>56</v>
      </c>
      <c r="C87" s="18" t="s">
        <v>57</v>
      </c>
      <c r="D87" s="18" t="s">
        <v>421</v>
      </c>
      <c r="E87" s="18" t="n">
        <v>575</v>
      </c>
      <c r="F87" s="18" t="s">
        <v>506</v>
      </c>
      <c r="G87" s="18" t="s">
        <v>195</v>
      </c>
      <c r="H87" s="18" t="s">
        <v>117</v>
      </c>
      <c r="I87" s="18"/>
      <c r="J87" s="18"/>
      <c r="K87" s="18"/>
      <c r="L87" s="18" t="s">
        <v>109</v>
      </c>
      <c r="M87" s="18" t="s">
        <v>109</v>
      </c>
      <c r="N87" s="18"/>
      <c r="O87" s="18"/>
      <c r="P87" s="18"/>
      <c r="Q87" s="18" t="s">
        <v>134</v>
      </c>
      <c r="R87" s="18" t="s">
        <v>507</v>
      </c>
      <c r="S87" s="18" t="s">
        <v>112</v>
      </c>
      <c r="T87" s="18" t="s">
        <v>508</v>
      </c>
      <c r="U87" s="18" t="s">
        <v>509</v>
      </c>
      <c r="V87" s="19" t="s">
        <v>29</v>
      </c>
      <c r="W87" s="19"/>
      <c r="X87" s="19"/>
      <c r="Y87" s="20"/>
      <c r="Z87" s="19"/>
      <c r="AA87" s="18" t="str">
        <f aca="false">IF(OR(V87="Aprobada"),R87,IF(AND(OR(V87="Aprobada con ajuste",V87="Rechazada"),W87&lt;&gt;""),W87,""))</f>
        <v/>
      </c>
    </row>
    <row r="88" customFormat="false" ht="22.35" hidden="false" customHeight="false" outlineLevel="0" collapsed="false">
      <c r="A88" s="18" t="s">
        <v>510</v>
      </c>
      <c r="B88" s="18" t="s">
        <v>56</v>
      </c>
      <c r="C88" s="18" t="s">
        <v>57</v>
      </c>
      <c r="D88" s="18" t="s">
        <v>421</v>
      </c>
      <c r="E88" s="18" t="n">
        <v>575</v>
      </c>
      <c r="F88" s="18" t="s">
        <v>128</v>
      </c>
      <c r="G88" s="18" t="s">
        <v>167</v>
      </c>
      <c r="H88" s="18" t="s">
        <v>117</v>
      </c>
      <c r="I88" s="18"/>
      <c r="J88" s="18"/>
      <c r="K88" s="18"/>
      <c r="L88" s="18" t="s">
        <v>109</v>
      </c>
      <c r="M88" s="18" t="s">
        <v>109</v>
      </c>
      <c r="N88" s="18"/>
      <c r="O88" s="18" t="s">
        <v>497</v>
      </c>
      <c r="P88" s="18"/>
      <c r="Q88" s="18" t="s">
        <v>134</v>
      </c>
      <c r="R88" s="18" t="s">
        <v>511</v>
      </c>
      <c r="S88" s="18" t="s">
        <v>125</v>
      </c>
      <c r="T88" s="18" t="s">
        <v>499</v>
      </c>
      <c r="U88" s="18"/>
      <c r="V88" s="19" t="s">
        <v>29</v>
      </c>
      <c r="W88" s="19"/>
      <c r="X88" s="19"/>
      <c r="Y88" s="20"/>
      <c r="Z88" s="19"/>
      <c r="AA88" s="18" t="str">
        <f aca="false">IF(OR(V88="Aprobada"),R88,IF(AND(OR(V88="Aprobada con ajuste",V88="Rechazada"),W88&lt;&gt;""),W88,""))</f>
        <v/>
      </c>
    </row>
    <row r="89" customFormat="false" ht="22.35" hidden="false" customHeight="false" outlineLevel="0" collapsed="false">
      <c r="A89" s="18" t="s">
        <v>512</v>
      </c>
      <c r="B89" s="18" t="s">
        <v>56</v>
      </c>
      <c r="C89" s="18" t="s">
        <v>57</v>
      </c>
      <c r="D89" s="18" t="s">
        <v>421</v>
      </c>
      <c r="E89" s="18" t="n">
        <v>575</v>
      </c>
      <c r="F89" s="18" t="s">
        <v>513</v>
      </c>
      <c r="G89" s="18" t="s">
        <v>151</v>
      </c>
      <c r="H89" s="18" t="s">
        <v>117</v>
      </c>
      <c r="I89" s="18"/>
      <c r="J89" s="18"/>
      <c r="K89" s="18"/>
      <c r="L89" s="18" t="s">
        <v>109</v>
      </c>
      <c r="M89" s="18" t="s">
        <v>109</v>
      </c>
      <c r="N89" s="18"/>
      <c r="O89" s="18"/>
      <c r="P89" s="18"/>
      <c r="Q89" s="18" t="s">
        <v>134</v>
      </c>
      <c r="R89" s="18" t="s">
        <v>514</v>
      </c>
      <c r="S89" s="18" t="s">
        <v>169</v>
      </c>
      <c r="T89" s="18" t="s">
        <v>515</v>
      </c>
      <c r="U89" s="18" t="s">
        <v>516</v>
      </c>
      <c r="V89" s="19" t="s">
        <v>29</v>
      </c>
      <c r="W89" s="19"/>
      <c r="X89" s="19"/>
      <c r="Y89" s="20"/>
      <c r="Z89" s="19"/>
      <c r="AA89" s="18" t="str">
        <f aca="false">IF(OR(V89="Aprobada"),R89,IF(AND(OR(V89="Aprobada con ajuste",V89="Rechazada"),W89&lt;&gt;""),W89,""))</f>
        <v/>
      </c>
    </row>
    <row r="90" customFormat="false" ht="22.35" hidden="false" customHeight="false" outlineLevel="0" collapsed="false">
      <c r="A90" s="18" t="s">
        <v>517</v>
      </c>
      <c r="B90" s="18" t="s">
        <v>56</v>
      </c>
      <c r="C90" s="18" t="s">
        <v>57</v>
      </c>
      <c r="D90" s="18" t="s">
        <v>421</v>
      </c>
      <c r="E90" s="18" t="n">
        <v>575</v>
      </c>
      <c r="F90" s="18" t="s">
        <v>518</v>
      </c>
      <c r="G90" s="18" t="s">
        <v>151</v>
      </c>
      <c r="H90" s="18" t="s">
        <v>117</v>
      </c>
      <c r="I90" s="18"/>
      <c r="J90" s="18"/>
      <c r="K90" s="18"/>
      <c r="L90" s="18" t="s">
        <v>109</v>
      </c>
      <c r="M90" s="18" t="s">
        <v>109</v>
      </c>
      <c r="N90" s="18"/>
      <c r="O90" s="18"/>
      <c r="P90" s="18"/>
      <c r="Q90" s="18" t="s">
        <v>134</v>
      </c>
      <c r="R90" s="18" t="s">
        <v>519</v>
      </c>
      <c r="S90" s="18" t="s">
        <v>169</v>
      </c>
      <c r="T90" s="18" t="s">
        <v>515</v>
      </c>
      <c r="U90" s="18" t="s">
        <v>520</v>
      </c>
      <c r="V90" s="19" t="s">
        <v>29</v>
      </c>
      <c r="W90" s="19"/>
      <c r="X90" s="19"/>
      <c r="Y90" s="20"/>
      <c r="Z90" s="19"/>
      <c r="AA90" s="18" t="str">
        <f aca="false">IF(OR(V90="Aprobada"),R90,IF(AND(OR(V90="Aprobada con ajuste",V90="Rechazada"),W90&lt;&gt;""),W90,""))</f>
        <v/>
      </c>
    </row>
    <row r="91" customFormat="false" ht="22.35" hidden="false" customHeight="false" outlineLevel="0" collapsed="false">
      <c r="A91" s="18" t="s">
        <v>521</v>
      </c>
      <c r="B91" s="18" t="s">
        <v>56</v>
      </c>
      <c r="C91" s="18" t="s">
        <v>57</v>
      </c>
      <c r="D91" s="18" t="s">
        <v>421</v>
      </c>
      <c r="E91" s="18" t="n">
        <v>575</v>
      </c>
      <c r="F91" s="18" t="s">
        <v>522</v>
      </c>
      <c r="G91" s="18" t="s">
        <v>184</v>
      </c>
      <c r="H91" s="18" t="s">
        <v>109</v>
      </c>
      <c r="I91" s="18"/>
      <c r="J91" s="18"/>
      <c r="K91" s="18"/>
      <c r="L91" s="18" t="s">
        <v>109</v>
      </c>
      <c r="M91" s="18" t="s">
        <v>109</v>
      </c>
      <c r="N91" s="18"/>
      <c r="O91" s="18"/>
      <c r="P91" s="18"/>
      <c r="Q91" s="18" t="s">
        <v>134</v>
      </c>
      <c r="R91" s="18" t="s">
        <v>523</v>
      </c>
      <c r="S91" s="18" t="s">
        <v>125</v>
      </c>
      <c r="T91" s="18" t="s">
        <v>291</v>
      </c>
      <c r="U91" s="18"/>
      <c r="V91" s="19" t="s">
        <v>29</v>
      </c>
      <c r="W91" s="19"/>
      <c r="X91" s="19"/>
      <c r="Y91" s="20"/>
      <c r="Z91" s="19"/>
      <c r="AA91" s="18" t="str">
        <f aca="false">IF(OR(V91="Aprobada"),R91,IF(AND(OR(V91="Aprobada con ajuste",V91="Rechazada"),W91&lt;&gt;""),W91,""))</f>
        <v/>
      </c>
    </row>
    <row r="92" customFormat="false" ht="22.35" hidden="false" customHeight="false" outlineLevel="0" collapsed="false">
      <c r="A92" s="18" t="s">
        <v>524</v>
      </c>
      <c r="B92" s="18" t="s">
        <v>56</v>
      </c>
      <c r="C92" s="18" t="s">
        <v>57</v>
      </c>
      <c r="D92" s="18" t="s">
        <v>525</v>
      </c>
      <c r="E92" s="18" t="n">
        <v>0</v>
      </c>
      <c r="F92" s="18" t="s">
        <v>107</v>
      </c>
      <c r="G92" s="18" t="s">
        <v>151</v>
      </c>
      <c r="H92" s="18" t="s">
        <v>109</v>
      </c>
      <c r="I92" s="18" t="s">
        <v>140</v>
      </c>
      <c r="J92" s="18" t="s">
        <v>526</v>
      </c>
      <c r="K92" s="18"/>
      <c r="L92" s="18" t="s">
        <v>117</v>
      </c>
      <c r="M92" s="18" t="s">
        <v>109</v>
      </c>
      <c r="N92" s="18"/>
      <c r="O92" s="18"/>
      <c r="P92" s="18"/>
      <c r="Q92" s="18" t="s">
        <v>110</v>
      </c>
      <c r="R92" s="18" t="s">
        <v>527</v>
      </c>
      <c r="S92" s="18" t="s">
        <v>112</v>
      </c>
      <c r="T92" s="18" t="s">
        <v>113</v>
      </c>
      <c r="U92" s="18"/>
      <c r="V92" s="19" t="s">
        <v>29</v>
      </c>
      <c r="W92" s="19"/>
      <c r="X92" s="19"/>
      <c r="Y92" s="20"/>
      <c r="Z92" s="19"/>
      <c r="AA92" s="18" t="str">
        <f aca="false">IF(OR(V92="Aprobada"),R92,IF(AND(OR(V92="Aprobada con ajuste",V92="Rechazada"),W92&lt;&gt;""),W92,""))</f>
        <v/>
      </c>
    </row>
    <row r="93" customFormat="false" ht="22.35" hidden="false" customHeight="false" outlineLevel="0" collapsed="false">
      <c r="A93" s="18" t="s">
        <v>528</v>
      </c>
      <c r="B93" s="18" t="s">
        <v>56</v>
      </c>
      <c r="C93" s="18" t="s">
        <v>57</v>
      </c>
      <c r="D93" s="18" t="s">
        <v>525</v>
      </c>
      <c r="E93" s="18" t="n">
        <v>0</v>
      </c>
      <c r="F93" s="18" t="s">
        <v>529</v>
      </c>
      <c r="G93" s="18" t="s">
        <v>184</v>
      </c>
      <c r="H93" s="18" t="s">
        <v>117</v>
      </c>
      <c r="I93" s="18"/>
      <c r="J93" s="18"/>
      <c r="K93" s="18"/>
      <c r="L93" s="18" t="s">
        <v>109</v>
      </c>
      <c r="M93" s="18" t="s">
        <v>109</v>
      </c>
      <c r="N93" s="18"/>
      <c r="O93" s="18"/>
      <c r="P93" s="18"/>
      <c r="Q93" s="18" t="s">
        <v>110</v>
      </c>
      <c r="R93" s="18" t="s">
        <v>530</v>
      </c>
      <c r="S93" s="18" t="s">
        <v>112</v>
      </c>
      <c r="T93" s="18" t="s">
        <v>113</v>
      </c>
      <c r="U93" s="18"/>
      <c r="V93" s="19" t="s">
        <v>29</v>
      </c>
      <c r="W93" s="19"/>
      <c r="X93" s="19"/>
      <c r="Y93" s="20"/>
      <c r="Z93" s="19"/>
      <c r="AA93" s="18" t="str">
        <f aca="false">IF(OR(V93="Aprobada"),R93,IF(AND(OR(V93="Aprobada con ajuste",V93="Rechazada"),W93&lt;&gt;""),W93,""))</f>
        <v/>
      </c>
    </row>
    <row r="94" customFormat="false" ht="22.35" hidden="false" customHeight="false" outlineLevel="0" collapsed="false">
      <c r="A94" s="18" t="s">
        <v>531</v>
      </c>
      <c r="B94" s="18" t="s">
        <v>56</v>
      </c>
      <c r="C94" s="18" t="s">
        <v>57</v>
      </c>
      <c r="D94" s="18" t="s">
        <v>525</v>
      </c>
      <c r="E94" s="18" t="n">
        <v>0</v>
      </c>
      <c r="F94" s="18" t="s">
        <v>532</v>
      </c>
      <c r="G94" s="18" t="s">
        <v>249</v>
      </c>
      <c r="H94" s="18" t="s">
        <v>117</v>
      </c>
      <c r="I94" s="18"/>
      <c r="J94" s="18"/>
      <c r="K94" s="18"/>
      <c r="L94" s="18" t="s">
        <v>109</v>
      </c>
      <c r="M94" s="18" t="s">
        <v>109</v>
      </c>
      <c r="N94" s="18"/>
      <c r="O94" s="18"/>
      <c r="P94" s="18"/>
      <c r="Q94" s="18" t="s">
        <v>110</v>
      </c>
      <c r="R94" s="18" t="s">
        <v>533</v>
      </c>
      <c r="S94" s="18" t="s">
        <v>112</v>
      </c>
      <c r="T94" s="18" t="s">
        <v>113</v>
      </c>
      <c r="U94" s="18"/>
      <c r="V94" s="19" t="s">
        <v>29</v>
      </c>
      <c r="W94" s="19"/>
      <c r="X94" s="19"/>
      <c r="Y94" s="20"/>
      <c r="Z94" s="19"/>
      <c r="AA94" s="18" t="str">
        <f aca="false">IF(OR(V94="Aprobada"),R94,IF(AND(OR(V94="Aprobada con ajuste",V94="Rechazada"),W94&lt;&gt;""),W94,""))</f>
        <v/>
      </c>
    </row>
    <row r="95" customFormat="false" ht="32.8" hidden="false" customHeight="false" outlineLevel="0" collapsed="false">
      <c r="A95" s="18" t="s">
        <v>534</v>
      </c>
      <c r="B95" s="18" t="s">
        <v>58</v>
      </c>
      <c r="C95" s="18" t="s">
        <v>59</v>
      </c>
      <c r="D95" s="18" t="s">
        <v>535</v>
      </c>
      <c r="E95" s="18" t="n">
        <v>814</v>
      </c>
      <c r="F95" s="18" t="s">
        <v>536</v>
      </c>
      <c r="G95" s="18" t="s">
        <v>116</v>
      </c>
      <c r="H95" s="18" t="s">
        <v>109</v>
      </c>
      <c r="I95" s="18"/>
      <c r="J95" s="18"/>
      <c r="K95" s="18"/>
      <c r="L95" s="18" t="s">
        <v>109</v>
      </c>
      <c r="M95" s="18" t="s">
        <v>109</v>
      </c>
      <c r="N95" s="18"/>
      <c r="O95" s="18" t="s">
        <v>537</v>
      </c>
      <c r="P95" s="18" t="s">
        <v>538</v>
      </c>
      <c r="Q95" s="18" t="s">
        <v>134</v>
      </c>
      <c r="R95" s="18" t="s">
        <v>539</v>
      </c>
      <c r="S95" s="18" t="s">
        <v>125</v>
      </c>
      <c r="T95" s="18" t="s">
        <v>540</v>
      </c>
      <c r="U95" s="18"/>
      <c r="V95" s="19" t="s">
        <v>29</v>
      </c>
      <c r="W95" s="19"/>
      <c r="X95" s="19"/>
      <c r="Y95" s="20"/>
      <c r="Z95" s="19"/>
      <c r="AA95" s="18" t="str">
        <f aca="false">IF(OR(V95="Aprobada"),R95,IF(AND(OR(V95="Aprobada con ajuste",V95="Rechazada"),W95&lt;&gt;""),W95,""))</f>
        <v/>
      </c>
    </row>
    <row r="96" customFormat="false" ht="32.8" hidden="false" customHeight="false" outlineLevel="0" collapsed="false">
      <c r="A96" s="18" t="s">
        <v>541</v>
      </c>
      <c r="B96" s="18" t="s">
        <v>58</v>
      </c>
      <c r="C96" s="18" t="s">
        <v>59</v>
      </c>
      <c r="D96" s="18" t="s">
        <v>535</v>
      </c>
      <c r="E96" s="18" t="n">
        <v>814</v>
      </c>
      <c r="F96" s="18" t="s">
        <v>542</v>
      </c>
      <c r="G96" s="18" t="s">
        <v>116</v>
      </c>
      <c r="H96" s="18" t="s">
        <v>109</v>
      </c>
      <c r="I96" s="18"/>
      <c r="J96" s="18"/>
      <c r="K96" s="18"/>
      <c r="L96" s="18" t="s">
        <v>109</v>
      </c>
      <c r="M96" s="18" t="s">
        <v>109</v>
      </c>
      <c r="N96" s="18"/>
      <c r="O96" s="18" t="s">
        <v>543</v>
      </c>
      <c r="P96" s="18" t="s">
        <v>544</v>
      </c>
      <c r="Q96" s="18" t="s">
        <v>134</v>
      </c>
      <c r="R96" s="18" t="s">
        <v>545</v>
      </c>
      <c r="S96" s="18" t="s">
        <v>112</v>
      </c>
      <c r="T96" s="18" t="s">
        <v>546</v>
      </c>
      <c r="U96" s="18" t="s">
        <v>547</v>
      </c>
      <c r="V96" s="19" t="s">
        <v>29</v>
      </c>
      <c r="W96" s="19"/>
      <c r="X96" s="19"/>
      <c r="Y96" s="20"/>
      <c r="Z96" s="19"/>
      <c r="AA96" s="18" t="str">
        <f aca="false">IF(OR(V96="Aprobada"),R96,IF(AND(OR(V96="Aprobada con ajuste",V96="Rechazada"),W96&lt;&gt;""),W96,""))</f>
        <v/>
      </c>
    </row>
    <row r="97" customFormat="false" ht="32.8" hidden="false" customHeight="false" outlineLevel="0" collapsed="false">
      <c r="A97" s="18" t="s">
        <v>548</v>
      </c>
      <c r="B97" s="18" t="s">
        <v>58</v>
      </c>
      <c r="C97" s="18" t="s">
        <v>59</v>
      </c>
      <c r="D97" s="18" t="s">
        <v>535</v>
      </c>
      <c r="E97" s="18" t="n">
        <v>814</v>
      </c>
      <c r="F97" s="18" t="s">
        <v>549</v>
      </c>
      <c r="G97" s="18" t="s">
        <v>116</v>
      </c>
      <c r="H97" s="18" t="s">
        <v>109</v>
      </c>
      <c r="I97" s="18"/>
      <c r="J97" s="18"/>
      <c r="K97" s="18"/>
      <c r="L97" s="18" t="s">
        <v>109</v>
      </c>
      <c r="M97" s="18" t="s">
        <v>109</v>
      </c>
      <c r="N97" s="18"/>
      <c r="O97" s="18"/>
      <c r="P97" s="18" t="s">
        <v>550</v>
      </c>
      <c r="Q97" s="18" t="s">
        <v>134</v>
      </c>
      <c r="R97" s="18" t="s">
        <v>551</v>
      </c>
      <c r="S97" s="18" t="s">
        <v>112</v>
      </c>
      <c r="T97" s="18" t="s">
        <v>552</v>
      </c>
      <c r="U97" s="18" t="s">
        <v>547</v>
      </c>
      <c r="V97" s="19" t="s">
        <v>29</v>
      </c>
      <c r="W97" s="19"/>
      <c r="X97" s="19"/>
      <c r="Y97" s="20"/>
      <c r="Z97" s="19"/>
      <c r="AA97" s="18" t="str">
        <f aca="false">IF(OR(V97="Aprobada"),R97,IF(AND(OR(V97="Aprobada con ajuste",V97="Rechazada"),W97&lt;&gt;""),W97,""))</f>
        <v/>
      </c>
    </row>
    <row r="98" customFormat="false" ht="53.7" hidden="false" customHeight="false" outlineLevel="0" collapsed="false">
      <c r="A98" s="18" t="s">
        <v>553</v>
      </c>
      <c r="B98" s="18" t="s">
        <v>58</v>
      </c>
      <c r="C98" s="18" t="s">
        <v>59</v>
      </c>
      <c r="D98" s="18" t="s">
        <v>535</v>
      </c>
      <c r="E98" s="18" t="n">
        <v>814</v>
      </c>
      <c r="F98" s="18" t="s">
        <v>107</v>
      </c>
      <c r="G98" s="18" t="s">
        <v>116</v>
      </c>
      <c r="H98" s="18" t="s">
        <v>109</v>
      </c>
      <c r="I98" s="18"/>
      <c r="J98" s="18"/>
      <c r="K98" s="18"/>
      <c r="L98" s="18" t="s">
        <v>109</v>
      </c>
      <c r="M98" s="18" t="s">
        <v>117</v>
      </c>
      <c r="N98" s="18" t="s">
        <v>554</v>
      </c>
      <c r="O98" s="18"/>
      <c r="P98" s="18" t="s">
        <v>555</v>
      </c>
      <c r="Q98" s="18" t="s">
        <v>110</v>
      </c>
      <c r="R98" s="18" t="s">
        <v>556</v>
      </c>
      <c r="S98" s="18" t="s">
        <v>112</v>
      </c>
      <c r="T98" s="18" t="s">
        <v>113</v>
      </c>
      <c r="U98" s="18"/>
      <c r="V98" s="19" t="s">
        <v>29</v>
      </c>
      <c r="W98" s="19"/>
      <c r="X98" s="19"/>
      <c r="Y98" s="20"/>
      <c r="Z98" s="19"/>
      <c r="AA98" s="18" t="str">
        <f aca="false">IF(OR(V98="Aprobada"),R98,IF(AND(OR(V98="Aprobada con ajuste",V98="Rechazada"),W98&lt;&gt;""),W98,""))</f>
        <v/>
      </c>
    </row>
    <row r="99" customFormat="false" ht="32.8" hidden="false" customHeight="false" outlineLevel="0" collapsed="false">
      <c r="A99" s="18" t="s">
        <v>557</v>
      </c>
      <c r="B99" s="18" t="s">
        <v>58</v>
      </c>
      <c r="C99" s="18" t="s">
        <v>59</v>
      </c>
      <c r="D99" s="18" t="s">
        <v>535</v>
      </c>
      <c r="E99" s="18" t="n">
        <v>814</v>
      </c>
      <c r="F99" s="18" t="s">
        <v>558</v>
      </c>
      <c r="G99" s="18" t="s">
        <v>116</v>
      </c>
      <c r="H99" s="18" t="s">
        <v>117</v>
      </c>
      <c r="I99" s="18"/>
      <c r="J99" s="18"/>
      <c r="K99" s="18"/>
      <c r="L99" s="18" t="s">
        <v>109</v>
      </c>
      <c r="M99" s="18" t="s">
        <v>109</v>
      </c>
      <c r="N99" s="18"/>
      <c r="O99" s="18" t="s">
        <v>559</v>
      </c>
      <c r="P99" s="18" t="s">
        <v>560</v>
      </c>
      <c r="Q99" s="18" t="s">
        <v>134</v>
      </c>
      <c r="R99" s="18" t="s">
        <v>561</v>
      </c>
      <c r="S99" s="18" t="s">
        <v>112</v>
      </c>
      <c r="T99" s="18" t="s">
        <v>540</v>
      </c>
      <c r="U99" s="18" t="s">
        <v>562</v>
      </c>
      <c r="V99" s="19" t="s">
        <v>29</v>
      </c>
      <c r="W99" s="19"/>
      <c r="X99" s="19"/>
      <c r="Y99" s="20"/>
      <c r="Z99" s="19"/>
      <c r="AA99" s="18" t="str">
        <f aca="false">IF(OR(V99="Aprobada"),R99,IF(AND(OR(V99="Aprobada con ajuste",V99="Rechazada"),W99&lt;&gt;""),W99,""))</f>
        <v/>
      </c>
    </row>
    <row r="100" customFormat="false" ht="32.8" hidden="false" customHeight="false" outlineLevel="0" collapsed="false">
      <c r="A100" s="18" t="s">
        <v>563</v>
      </c>
      <c r="B100" s="18" t="s">
        <v>58</v>
      </c>
      <c r="C100" s="18" t="s">
        <v>59</v>
      </c>
      <c r="D100" s="18" t="s">
        <v>535</v>
      </c>
      <c r="E100" s="18" t="n">
        <v>814</v>
      </c>
      <c r="F100" s="18" t="s">
        <v>564</v>
      </c>
      <c r="G100" s="18" t="s">
        <v>139</v>
      </c>
      <c r="H100" s="18" t="s">
        <v>109</v>
      </c>
      <c r="I100" s="18"/>
      <c r="J100" s="18"/>
      <c r="K100" s="18"/>
      <c r="L100" s="18" t="s">
        <v>109</v>
      </c>
      <c r="M100" s="18" t="s">
        <v>109</v>
      </c>
      <c r="N100" s="18"/>
      <c r="O100" s="18"/>
      <c r="P100" s="18" t="s">
        <v>565</v>
      </c>
      <c r="Q100" s="18" t="s">
        <v>134</v>
      </c>
      <c r="R100" s="18" t="s">
        <v>566</v>
      </c>
      <c r="S100" s="18" t="s">
        <v>112</v>
      </c>
      <c r="T100" s="18" t="s">
        <v>567</v>
      </c>
      <c r="U100" s="18" t="s">
        <v>568</v>
      </c>
      <c r="V100" s="19" t="s">
        <v>29</v>
      </c>
      <c r="W100" s="19"/>
      <c r="X100" s="19"/>
      <c r="Y100" s="20"/>
      <c r="Z100" s="19"/>
      <c r="AA100" s="18" t="str">
        <f aca="false">IF(OR(V100="Aprobada"),R100,IF(AND(OR(V100="Aprobada con ajuste",V100="Rechazada"),W100&lt;&gt;""),W100,""))</f>
        <v/>
      </c>
    </row>
    <row r="101" customFormat="false" ht="32.8" hidden="false" customHeight="false" outlineLevel="0" collapsed="false">
      <c r="A101" s="18" t="s">
        <v>569</v>
      </c>
      <c r="B101" s="18" t="s">
        <v>58</v>
      </c>
      <c r="C101" s="18" t="s">
        <v>59</v>
      </c>
      <c r="D101" s="18" t="s">
        <v>535</v>
      </c>
      <c r="E101" s="18" t="n">
        <v>814</v>
      </c>
      <c r="F101" s="18" t="s">
        <v>570</v>
      </c>
      <c r="G101" s="18" t="s">
        <v>116</v>
      </c>
      <c r="H101" s="18" t="s">
        <v>117</v>
      </c>
      <c r="I101" s="18"/>
      <c r="J101" s="18"/>
      <c r="K101" s="18"/>
      <c r="L101" s="18" t="s">
        <v>109</v>
      </c>
      <c r="M101" s="18" t="s">
        <v>109</v>
      </c>
      <c r="N101" s="18"/>
      <c r="O101" s="18"/>
      <c r="P101" s="18" t="s">
        <v>571</v>
      </c>
      <c r="Q101" s="18" t="s">
        <v>134</v>
      </c>
      <c r="R101" s="18" t="s">
        <v>572</v>
      </c>
      <c r="S101" s="18" t="s">
        <v>125</v>
      </c>
      <c r="T101" s="18" t="s">
        <v>129</v>
      </c>
      <c r="U101" s="18"/>
      <c r="V101" s="19" t="s">
        <v>29</v>
      </c>
      <c r="W101" s="19"/>
      <c r="X101" s="19"/>
      <c r="Y101" s="20"/>
      <c r="Z101" s="19"/>
      <c r="AA101" s="18" t="str">
        <f aca="false">IF(OR(V101="Aprobada"),R101,IF(AND(OR(V101="Aprobada con ajuste",V101="Rechazada"),W101&lt;&gt;""),W101,""))</f>
        <v/>
      </c>
    </row>
    <row r="102" customFormat="false" ht="32.8" hidden="false" customHeight="false" outlineLevel="0" collapsed="false">
      <c r="A102" s="18" t="s">
        <v>573</v>
      </c>
      <c r="B102" s="18" t="s">
        <v>58</v>
      </c>
      <c r="C102" s="18" t="s">
        <v>59</v>
      </c>
      <c r="D102" s="18" t="s">
        <v>535</v>
      </c>
      <c r="E102" s="18" t="n">
        <v>814</v>
      </c>
      <c r="F102" s="18" t="s">
        <v>574</v>
      </c>
      <c r="G102" s="18" t="s">
        <v>139</v>
      </c>
      <c r="H102" s="18" t="s">
        <v>117</v>
      </c>
      <c r="I102" s="18"/>
      <c r="J102" s="18"/>
      <c r="K102" s="18"/>
      <c r="L102" s="18" t="s">
        <v>109</v>
      </c>
      <c r="M102" s="18" t="s">
        <v>109</v>
      </c>
      <c r="N102" s="18"/>
      <c r="O102" s="18"/>
      <c r="P102" s="18" t="s">
        <v>575</v>
      </c>
      <c r="Q102" s="18" t="s">
        <v>134</v>
      </c>
      <c r="R102" s="18" t="s">
        <v>576</v>
      </c>
      <c r="S102" s="18" t="s">
        <v>112</v>
      </c>
      <c r="T102" s="18" t="s">
        <v>577</v>
      </c>
      <c r="U102" s="18" t="s">
        <v>578</v>
      </c>
      <c r="V102" s="19" t="s">
        <v>29</v>
      </c>
      <c r="W102" s="19"/>
      <c r="X102" s="19"/>
      <c r="Y102" s="20"/>
      <c r="Z102" s="19"/>
      <c r="AA102" s="18" t="str">
        <f aca="false">IF(OR(V102="Aprobada"),R102,IF(AND(OR(V102="Aprobada con ajuste",V102="Rechazada"),W102&lt;&gt;""),W102,""))</f>
        <v/>
      </c>
    </row>
    <row r="103" customFormat="false" ht="32.8" hidden="false" customHeight="false" outlineLevel="0" collapsed="false">
      <c r="A103" s="18" t="s">
        <v>579</v>
      </c>
      <c r="B103" s="18" t="s">
        <v>58</v>
      </c>
      <c r="C103" s="18" t="s">
        <v>59</v>
      </c>
      <c r="D103" s="18" t="s">
        <v>535</v>
      </c>
      <c r="E103" s="18" t="n">
        <v>814</v>
      </c>
      <c r="F103" s="18" t="s">
        <v>580</v>
      </c>
      <c r="G103" s="18" t="s">
        <v>116</v>
      </c>
      <c r="H103" s="18" t="s">
        <v>117</v>
      </c>
      <c r="I103" s="18"/>
      <c r="J103" s="18"/>
      <c r="K103" s="18"/>
      <c r="L103" s="18" t="s">
        <v>109</v>
      </c>
      <c r="M103" s="18" t="s">
        <v>109</v>
      </c>
      <c r="N103" s="18"/>
      <c r="O103" s="18"/>
      <c r="P103" s="18" t="s">
        <v>581</v>
      </c>
      <c r="Q103" s="18" t="s">
        <v>134</v>
      </c>
      <c r="R103" s="18" t="s">
        <v>582</v>
      </c>
      <c r="S103" s="18" t="s">
        <v>125</v>
      </c>
      <c r="T103" s="18" t="s">
        <v>583</v>
      </c>
      <c r="U103" s="18"/>
      <c r="V103" s="19" t="s">
        <v>29</v>
      </c>
      <c r="W103" s="19"/>
      <c r="X103" s="19"/>
      <c r="Y103" s="20"/>
      <c r="Z103" s="19"/>
      <c r="AA103" s="18" t="str">
        <f aca="false">IF(OR(V103="Aprobada"),R103,IF(AND(OR(V103="Aprobada con ajuste",V103="Rechazada"),W103&lt;&gt;""),W103,""))</f>
        <v/>
      </c>
    </row>
    <row r="104" customFormat="false" ht="32.8" hidden="false" customHeight="false" outlineLevel="0" collapsed="false">
      <c r="A104" s="18" t="s">
        <v>584</v>
      </c>
      <c r="B104" s="18" t="s">
        <v>58</v>
      </c>
      <c r="C104" s="18" t="s">
        <v>59</v>
      </c>
      <c r="D104" s="18" t="s">
        <v>535</v>
      </c>
      <c r="E104" s="18" t="n">
        <v>814</v>
      </c>
      <c r="F104" s="18" t="s">
        <v>585</v>
      </c>
      <c r="G104" s="18" t="s">
        <v>116</v>
      </c>
      <c r="H104" s="18" t="s">
        <v>117</v>
      </c>
      <c r="I104" s="18"/>
      <c r="J104" s="18"/>
      <c r="K104" s="18"/>
      <c r="L104" s="18" t="s">
        <v>109</v>
      </c>
      <c r="M104" s="18" t="s">
        <v>109</v>
      </c>
      <c r="N104" s="18"/>
      <c r="O104" s="18"/>
      <c r="P104" s="18" t="s">
        <v>586</v>
      </c>
      <c r="Q104" s="18" t="s">
        <v>134</v>
      </c>
      <c r="R104" s="18" t="s">
        <v>587</v>
      </c>
      <c r="S104" s="18" t="s">
        <v>125</v>
      </c>
      <c r="T104" s="18" t="s">
        <v>588</v>
      </c>
      <c r="U104" s="18"/>
      <c r="V104" s="19" t="s">
        <v>29</v>
      </c>
      <c r="W104" s="19"/>
      <c r="X104" s="19"/>
      <c r="Y104" s="20"/>
      <c r="Z104" s="19"/>
      <c r="AA104" s="18" t="str">
        <f aca="false">IF(OR(V104="Aprobada"),R104,IF(AND(OR(V104="Aprobada con ajuste",V104="Rechazada"),W104&lt;&gt;""),W104,""))</f>
        <v/>
      </c>
    </row>
    <row r="105" customFormat="false" ht="32.8" hidden="false" customHeight="false" outlineLevel="0" collapsed="false">
      <c r="A105" s="18" t="s">
        <v>589</v>
      </c>
      <c r="B105" s="18" t="s">
        <v>58</v>
      </c>
      <c r="C105" s="18" t="s">
        <v>59</v>
      </c>
      <c r="D105" s="18" t="s">
        <v>535</v>
      </c>
      <c r="E105" s="18" t="n">
        <v>814</v>
      </c>
      <c r="F105" s="18" t="s">
        <v>590</v>
      </c>
      <c r="G105" s="18" t="s">
        <v>116</v>
      </c>
      <c r="H105" s="18" t="s">
        <v>117</v>
      </c>
      <c r="I105" s="18"/>
      <c r="J105" s="18"/>
      <c r="K105" s="18"/>
      <c r="L105" s="18" t="s">
        <v>109</v>
      </c>
      <c r="M105" s="18" t="s">
        <v>109</v>
      </c>
      <c r="N105" s="18"/>
      <c r="O105" s="18" t="s">
        <v>591</v>
      </c>
      <c r="P105" s="18" t="s">
        <v>592</v>
      </c>
      <c r="Q105" s="18" t="s">
        <v>134</v>
      </c>
      <c r="R105" s="18" t="s">
        <v>593</v>
      </c>
      <c r="S105" s="18" t="s">
        <v>112</v>
      </c>
      <c r="T105" s="18" t="s">
        <v>540</v>
      </c>
      <c r="U105" s="18" t="s">
        <v>594</v>
      </c>
      <c r="V105" s="19" t="s">
        <v>29</v>
      </c>
      <c r="W105" s="19"/>
      <c r="X105" s="19"/>
      <c r="Y105" s="20"/>
      <c r="Z105" s="19"/>
      <c r="AA105" s="18" t="str">
        <f aca="false">IF(OR(V105="Aprobada"),R105,IF(AND(OR(V105="Aprobada con ajuste",V105="Rechazada"),W105&lt;&gt;""),W105,""))</f>
        <v/>
      </c>
    </row>
    <row r="106" customFormat="false" ht="32.8" hidden="false" customHeight="false" outlineLevel="0" collapsed="false">
      <c r="A106" s="18" t="s">
        <v>595</v>
      </c>
      <c r="B106" s="18" t="s">
        <v>58</v>
      </c>
      <c r="C106" s="18" t="s">
        <v>59</v>
      </c>
      <c r="D106" s="18" t="s">
        <v>535</v>
      </c>
      <c r="E106" s="18" t="n">
        <v>814</v>
      </c>
      <c r="F106" s="18" t="s">
        <v>596</v>
      </c>
      <c r="G106" s="18" t="s">
        <v>116</v>
      </c>
      <c r="H106" s="18" t="s">
        <v>117</v>
      </c>
      <c r="I106" s="18"/>
      <c r="J106" s="18"/>
      <c r="K106" s="18"/>
      <c r="L106" s="18" t="s">
        <v>109</v>
      </c>
      <c r="M106" s="18" t="s">
        <v>109</v>
      </c>
      <c r="N106" s="18"/>
      <c r="O106" s="18" t="s">
        <v>597</v>
      </c>
      <c r="P106" s="18" t="s">
        <v>598</v>
      </c>
      <c r="Q106" s="18" t="s">
        <v>134</v>
      </c>
      <c r="R106" s="18" t="s">
        <v>599</v>
      </c>
      <c r="S106" s="18" t="s">
        <v>112</v>
      </c>
      <c r="T106" s="18" t="s">
        <v>600</v>
      </c>
      <c r="U106" s="18" t="s">
        <v>601</v>
      </c>
      <c r="V106" s="19" t="s">
        <v>29</v>
      </c>
      <c r="W106" s="19"/>
      <c r="X106" s="19"/>
      <c r="Y106" s="20"/>
      <c r="Z106" s="19"/>
      <c r="AA106" s="18" t="str">
        <f aca="false">IF(OR(V106="Aprobada"),R106,IF(AND(OR(V106="Aprobada con ajuste",V106="Rechazada"),W106&lt;&gt;""),W106,""))</f>
        <v/>
      </c>
    </row>
    <row r="107" customFormat="false" ht="32.8" hidden="false" customHeight="false" outlineLevel="0" collapsed="false">
      <c r="A107" s="18" t="s">
        <v>602</v>
      </c>
      <c r="B107" s="18" t="s">
        <v>58</v>
      </c>
      <c r="C107" s="18" t="s">
        <v>59</v>
      </c>
      <c r="D107" s="18" t="s">
        <v>535</v>
      </c>
      <c r="E107" s="18" t="n">
        <v>814</v>
      </c>
      <c r="F107" s="18" t="s">
        <v>603</v>
      </c>
      <c r="G107" s="18" t="s">
        <v>116</v>
      </c>
      <c r="H107" s="18" t="s">
        <v>117</v>
      </c>
      <c r="I107" s="18"/>
      <c r="J107" s="18"/>
      <c r="K107" s="18"/>
      <c r="L107" s="18" t="s">
        <v>109</v>
      </c>
      <c r="M107" s="18" t="s">
        <v>109</v>
      </c>
      <c r="N107" s="18"/>
      <c r="O107" s="18"/>
      <c r="P107" s="18" t="s">
        <v>604</v>
      </c>
      <c r="Q107" s="18" t="s">
        <v>134</v>
      </c>
      <c r="R107" s="18" t="s">
        <v>605</v>
      </c>
      <c r="S107" s="18" t="s">
        <v>169</v>
      </c>
      <c r="T107" s="18" t="s">
        <v>606</v>
      </c>
      <c r="U107" s="18" t="s">
        <v>607</v>
      </c>
      <c r="V107" s="19" t="s">
        <v>29</v>
      </c>
      <c r="W107" s="19"/>
      <c r="X107" s="19"/>
      <c r="Y107" s="20"/>
      <c r="Z107" s="19"/>
      <c r="AA107" s="18" t="str">
        <f aca="false">IF(OR(V107="Aprobada"),R107,IF(AND(OR(V107="Aprobada con ajuste",V107="Rechazada"),W107&lt;&gt;""),W107,""))</f>
        <v/>
      </c>
    </row>
    <row r="108" customFormat="false" ht="32.8" hidden="false" customHeight="false" outlineLevel="0" collapsed="false">
      <c r="A108" s="18" t="s">
        <v>608</v>
      </c>
      <c r="B108" s="18" t="s">
        <v>58</v>
      </c>
      <c r="C108" s="18" t="s">
        <v>59</v>
      </c>
      <c r="D108" s="18" t="s">
        <v>535</v>
      </c>
      <c r="E108" s="18" t="n">
        <v>814</v>
      </c>
      <c r="F108" s="18" t="s">
        <v>609</v>
      </c>
      <c r="G108" s="18" t="s">
        <v>116</v>
      </c>
      <c r="H108" s="18" t="s">
        <v>117</v>
      </c>
      <c r="I108" s="18"/>
      <c r="J108" s="18"/>
      <c r="K108" s="18"/>
      <c r="L108" s="18" t="s">
        <v>109</v>
      </c>
      <c r="M108" s="18" t="s">
        <v>109</v>
      </c>
      <c r="N108" s="18"/>
      <c r="O108" s="18"/>
      <c r="P108" s="18" t="s">
        <v>610</v>
      </c>
      <c r="Q108" s="18" t="s">
        <v>134</v>
      </c>
      <c r="R108" s="18" t="s">
        <v>611</v>
      </c>
      <c r="S108" s="18" t="s">
        <v>112</v>
      </c>
      <c r="T108" s="18" t="s">
        <v>225</v>
      </c>
      <c r="U108" s="18" t="s">
        <v>612</v>
      </c>
      <c r="V108" s="19" t="s">
        <v>29</v>
      </c>
      <c r="W108" s="19"/>
      <c r="X108" s="19"/>
      <c r="Y108" s="20"/>
      <c r="Z108" s="19"/>
      <c r="AA108" s="18" t="str">
        <f aca="false">IF(OR(V108="Aprobada"),R108,IF(AND(OR(V108="Aprobada con ajuste",V108="Rechazada"),W108&lt;&gt;""),W108,""))</f>
        <v/>
      </c>
    </row>
    <row r="109" customFormat="false" ht="32.8" hidden="false" customHeight="false" outlineLevel="0" collapsed="false">
      <c r="A109" s="18" t="s">
        <v>613</v>
      </c>
      <c r="B109" s="18" t="s">
        <v>58</v>
      </c>
      <c r="C109" s="18" t="s">
        <v>59</v>
      </c>
      <c r="D109" s="18" t="s">
        <v>535</v>
      </c>
      <c r="E109" s="18" t="n">
        <v>814</v>
      </c>
      <c r="F109" s="18" t="s">
        <v>614</v>
      </c>
      <c r="G109" s="18" t="s">
        <v>116</v>
      </c>
      <c r="H109" s="18" t="s">
        <v>117</v>
      </c>
      <c r="I109" s="18"/>
      <c r="J109" s="18"/>
      <c r="K109" s="18"/>
      <c r="L109" s="18" t="s">
        <v>109</v>
      </c>
      <c r="M109" s="18" t="s">
        <v>109</v>
      </c>
      <c r="N109" s="18"/>
      <c r="O109" s="18"/>
      <c r="P109" s="18" t="s">
        <v>615</v>
      </c>
      <c r="Q109" s="18" t="s">
        <v>134</v>
      </c>
      <c r="R109" s="18" t="s">
        <v>616</v>
      </c>
      <c r="S109" s="18" t="s">
        <v>112</v>
      </c>
      <c r="T109" s="18" t="s">
        <v>617</v>
      </c>
      <c r="U109" s="18" t="s">
        <v>618</v>
      </c>
      <c r="V109" s="19" t="s">
        <v>29</v>
      </c>
      <c r="W109" s="19"/>
      <c r="X109" s="19"/>
      <c r="Y109" s="20"/>
      <c r="Z109" s="19"/>
      <c r="AA109" s="18" t="str">
        <f aca="false">IF(OR(V109="Aprobada"),R109,IF(AND(OR(V109="Aprobada con ajuste",V109="Rechazada"),W109&lt;&gt;""),W109,""))</f>
        <v/>
      </c>
    </row>
    <row r="110" customFormat="false" ht="32.8" hidden="false" customHeight="false" outlineLevel="0" collapsed="false">
      <c r="A110" s="18" t="s">
        <v>619</v>
      </c>
      <c r="B110" s="18" t="s">
        <v>58</v>
      </c>
      <c r="C110" s="18" t="s">
        <v>59</v>
      </c>
      <c r="D110" s="18" t="s">
        <v>535</v>
      </c>
      <c r="E110" s="18" t="n">
        <v>814</v>
      </c>
      <c r="F110" s="18" t="s">
        <v>620</v>
      </c>
      <c r="G110" s="18" t="s">
        <v>116</v>
      </c>
      <c r="H110" s="18" t="s">
        <v>117</v>
      </c>
      <c r="I110" s="18"/>
      <c r="J110" s="18"/>
      <c r="K110" s="18"/>
      <c r="L110" s="18" t="s">
        <v>109</v>
      </c>
      <c r="M110" s="18" t="s">
        <v>109</v>
      </c>
      <c r="N110" s="18"/>
      <c r="O110" s="18"/>
      <c r="P110" s="18" t="s">
        <v>621</v>
      </c>
      <c r="Q110" s="18" t="s">
        <v>134</v>
      </c>
      <c r="R110" s="18" t="s">
        <v>622</v>
      </c>
      <c r="S110" s="18" t="s">
        <v>112</v>
      </c>
      <c r="T110" s="18" t="s">
        <v>617</v>
      </c>
      <c r="U110" s="18" t="s">
        <v>623</v>
      </c>
      <c r="V110" s="19" t="s">
        <v>29</v>
      </c>
      <c r="W110" s="19"/>
      <c r="X110" s="19"/>
      <c r="Y110" s="20"/>
      <c r="Z110" s="19"/>
      <c r="AA110" s="18" t="str">
        <f aca="false">IF(OR(V110="Aprobada"),R110,IF(AND(OR(V110="Aprobada con ajuste",V110="Rechazada"),W110&lt;&gt;""),W110,""))</f>
        <v/>
      </c>
    </row>
    <row r="111" customFormat="false" ht="32.8" hidden="false" customHeight="false" outlineLevel="0" collapsed="false">
      <c r="A111" s="18" t="s">
        <v>624</v>
      </c>
      <c r="B111" s="18" t="s">
        <v>58</v>
      </c>
      <c r="C111" s="18" t="s">
        <v>59</v>
      </c>
      <c r="D111" s="18" t="s">
        <v>535</v>
      </c>
      <c r="E111" s="18" t="n">
        <v>814</v>
      </c>
      <c r="F111" s="18" t="s">
        <v>625</v>
      </c>
      <c r="G111" s="18" t="s">
        <v>116</v>
      </c>
      <c r="H111" s="18" t="s">
        <v>117</v>
      </c>
      <c r="I111" s="18"/>
      <c r="J111" s="18"/>
      <c r="K111" s="18"/>
      <c r="L111" s="18" t="s">
        <v>109</v>
      </c>
      <c r="M111" s="18" t="s">
        <v>109</v>
      </c>
      <c r="N111" s="18"/>
      <c r="O111" s="18"/>
      <c r="P111" s="18" t="s">
        <v>626</v>
      </c>
      <c r="Q111" s="18" t="s">
        <v>134</v>
      </c>
      <c r="R111" s="18" t="s">
        <v>627</v>
      </c>
      <c r="S111" s="18" t="s">
        <v>112</v>
      </c>
      <c r="T111" s="18" t="s">
        <v>617</v>
      </c>
      <c r="U111" s="18" t="s">
        <v>623</v>
      </c>
      <c r="V111" s="19" t="s">
        <v>29</v>
      </c>
      <c r="W111" s="19"/>
      <c r="X111" s="19"/>
      <c r="Y111" s="20"/>
      <c r="Z111" s="19"/>
      <c r="AA111" s="18" t="str">
        <f aca="false">IF(OR(V111="Aprobada"),R111,IF(AND(OR(V111="Aprobada con ajuste",V111="Rechazada"),W111&lt;&gt;""),W111,""))</f>
        <v/>
      </c>
    </row>
    <row r="112" customFormat="false" ht="32.8" hidden="false" customHeight="false" outlineLevel="0" collapsed="false">
      <c r="A112" s="18" t="s">
        <v>628</v>
      </c>
      <c r="B112" s="18" t="s">
        <v>58</v>
      </c>
      <c r="C112" s="18" t="s">
        <v>59</v>
      </c>
      <c r="D112" s="18" t="s">
        <v>535</v>
      </c>
      <c r="E112" s="18" t="n">
        <v>814</v>
      </c>
      <c r="F112" s="18" t="s">
        <v>629</v>
      </c>
      <c r="G112" s="18" t="s">
        <v>116</v>
      </c>
      <c r="H112" s="18" t="s">
        <v>117</v>
      </c>
      <c r="I112" s="18"/>
      <c r="J112" s="18"/>
      <c r="K112" s="18"/>
      <c r="L112" s="18" t="s">
        <v>109</v>
      </c>
      <c r="M112" s="18" t="s">
        <v>109</v>
      </c>
      <c r="N112" s="18"/>
      <c r="O112" s="18"/>
      <c r="P112" s="18" t="s">
        <v>630</v>
      </c>
      <c r="Q112" s="18" t="s">
        <v>134</v>
      </c>
      <c r="R112" s="18" t="s">
        <v>631</v>
      </c>
      <c r="S112" s="18" t="s">
        <v>112</v>
      </c>
      <c r="T112" s="18" t="s">
        <v>617</v>
      </c>
      <c r="U112" s="18" t="s">
        <v>623</v>
      </c>
      <c r="V112" s="19" t="s">
        <v>29</v>
      </c>
      <c r="W112" s="19"/>
      <c r="X112" s="19"/>
      <c r="Y112" s="20"/>
      <c r="Z112" s="19"/>
      <c r="AA112" s="18" t="str">
        <f aca="false">IF(OR(V112="Aprobada"),R112,IF(AND(OR(V112="Aprobada con ajuste",V112="Rechazada"),W112&lt;&gt;""),W112,""))</f>
        <v/>
      </c>
    </row>
    <row r="113" customFormat="false" ht="32.8" hidden="false" customHeight="false" outlineLevel="0" collapsed="false">
      <c r="A113" s="18" t="s">
        <v>632</v>
      </c>
      <c r="B113" s="18" t="s">
        <v>58</v>
      </c>
      <c r="C113" s="18" t="s">
        <v>59</v>
      </c>
      <c r="D113" s="18" t="s">
        <v>535</v>
      </c>
      <c r="E113" s="18" t="n">
        <v>814</v>
      </c>
      <c r="F113" s="18" t="s">
        <v>633</v>
      </c>
      <c r="G113" s="18" t="s">
        <v>116</v>
      </c>
      <c r="H113" s="18" t="s">
        <v>117</v>
      </c>
      <c r="I113" s="18"/>
      <c r="J113" s="18"/>
      <c r="K113" s="18"/>
      <c r="L113" s="18" t="s">
        <v>109</v>
      </c>
      <c r="M113" s="18" t="s">
        <v>109</v>
      </c>
      <c r="N113" s="18"/>
      <c r="O113" s="18"/>
      <c r="P113" s="18" t="s">
        <v>634</v>
      </c>
      <c r="Q113" s="18" t="s">
        <v>134</v>
      </c>
      <c r="R113" s="18" t="s">
        <v>635</v>
      </c>
      <c r="S113" s="18" t="s">
        <v>112</v>
      </c>
      <c r="T113" s="18" t="s">
        <v>617</v>
      </c>
      <c r="U113" s="18" t="s">
        <v>636</v>
      </c>
      <c r="V113" s="19" t="s">
        <v>29</v>
      </c>
      <c r="W113" s="19"/>
      <c r="X113" s="19"/>
      <c r="Y113" s="20"/>
      <c r="Z113" s="19"/>
      <c r="AA113" s="18" t="str">
        <f aca="false">IF(OR(V113="Aprobada"),R113,IF(AND(OR(V113="Aprobada con ajuste",V113="Rechazada"),W113&lt;&gt;""),W113,""))</f>
        <v/>
      </c>
    </row>
    <row r="114" customFormat="false" ht="32.8" hidden="false" customHeight="false" outlineLevel="0" collapsed="false">
      <c r="A114" s="18" t="s">
        <v>637</v>
      </c>
      <c r="B114" s="18" t="s">
        <v>58</v>
      </c>
      <c r="C114" s="18" t="s">
        <v>59</v>
      </c>
      <c r="D114" s="18" t="s">
        <v>535</v>
      </c>
      <c r="E114" s="18" t="n">
        <v>814</v>
      </c>
      <c r="F114" s="18" t="s">
        <v>638</v>
      </c>
      <c r="G114" s="18" t="s">
        <v>116</v>
      </c>
      <c r="H114" s="18" t="s">
        <v>117</v>
      </c>
      <c r="I114" s="18"/>
      <c r="J114" s="18"/>
      <c r="K114" s="18"/>
      <c r="L114" s="18" t="s">
        <v>109</v>
      </c>
      <c r="M114" s="18" t="s">
        <v>109</v>
      </c>
      <c r="N114" s="18"/>
      <c r="O114" s="18"/>
      <c r="P114" s="18" t="s">
        <v>639</v>
      </c>
      <c r="Q114" s="18" t="s">
        <v>134</v>
      </c>
      <c r="R114" s="18" t="s">
        <v>640</v>
      </c>
      <c r="S114" s="18" t="s">
        <v>169</v>
      </c>
      <c r="T114" s="18" t="s">
        <v>225</v>
      </c>
      <c r="U114" s="18" t="s">
        <v>641</v>
      </c>
      <c r="V114" s="19" t="s">
        <v>29</v>
      </c>
      <c r="W114" s="19"/>
      <c r="X114" s="19"/>
      <c r="Y114" s="20"/>
      <c r="Z114" s="19"/>
      <c r="AA114" s="18" t="str">
        <f aca="false">IF(OR(V114="Aprobada"),R114,IF(AND(OR(V114="Aprobada con ajuste",V114="Rechazada"),W114&lt;&gt;""),W114,""))</f>
        <v/>
      </c>
    </row>
    <row r="115" customFormat="false" ht="32.8" hidden="false" customHeight="false" outlineLevel="0" collapsed="false">
      <c r="A115" s="18" t="s">
        <v>642</v>
      </c>
      <c r="B115" s="18" t="s">
        <v>58</v>
      </c>
      <c r="C115" s="18" t="s">
        <v>59</v>
      </c>
      <c r="D115" s="18" t="s">
        <v>535</v>
      </c>
      <c r="E115" s="18" t="n">
        <v>814</v>
      </c>
      <c r="F115" s="18" t="s">
        <v>643</v>
      </c>
      <c r="G115" s="18" t="s">
        <v>116</v>
      </c>
      <c r="H115" s="18" t="s">
        <v>117</v>
      </c>
      <c r="I115" s="18"/>
      <c r="J115" s="18"/>
      <c r="K115" s="18"/>
      <c r="L115" s="18" t="s">
        <v>109</v>
      </c>
      <c r="M115" s="18" t="s">
        <v>109</v>
      </c>
      <c r="N115" s="18"/>
      <c r="O115" s="18"/>
      <c r="P115" s="18" t="s">
        <v>644</v>
      </c>
      <c r="Q115" s="18" t="s">
        <v>134</v>
      </c>
      <c r="R115" s="18" t="s">
        <v>645</v>
      </c>
      <c r="S115" s="18" t="s">
        <v>169</v>
      </c>
      <c r="T115" s="18" t="s">
        <v>129</v>
      </c>
      <c r="U115" s="18" t="s">
        <v>646</v>
      </c>
      <c r="V115" s="19" t="s">
        <v>29</v>
      </c>
      <c r="W115" s="19"/>
      <c r="X115" s="19"/>
      <c r="Y115" s="20"/>
      <c r="Z115" s="19"/>
      <c r="AA115" s="18" t="str">
        <f aca="false">IF(OR(V115="Aprobada"),R115,IF(AND(OR(V115="Aprobada con ajuste",V115="Rechazada"),W115&lt;&gt;""),W115,""))</f>
        <v/>
      </c>
    </row>
    <row r="116" customFormat="false" ht="32.8" hidden="false" customHeight="false" outlineLevel="0" collapsed="false">
      <c r="A116" s="18" t="s">
        <v>647</v>
      </c>
      <c r="B116" s="18" t="s">
        <v>58</v>
      </c>
      <c r="C116" s="18" t="s">
        <v>59</v>
      </c>
      <c r="D116" s="18" t="s">
        <v>535</v>
      </c>
      <c r="E116" s="18" t="n">
        <v>814</v>
      </c>
      <c r="F116" s="18" t="s">
        <v>648</v>
      </c>
      <c r="G116" s="18" t="s">
        <v>116</v>
      </c>
      <c r="H116" s="18" t="s">
        <v>117</v>
      </c>
      <c r="I116" s="18"/>
      <c r="J116" s="18"/>
      <c r="K116" s="18"/>
      <c r="L116" s="18" t="s">
        <v>109</v>
      </c>
      <c r="M116" s="18" t="s">
        <v>109</v>
      </c>
      <c r="N116" s="18"/>
      <c r="O116" s="18"/>
      <c r="P116" s="18" t="s">
        <v>649</v>
      </c>
      <c r="Q116" s="18" t="s">
        <v>134</v>
      </c>
      <c r="R116" s="18" t="s">
        <v>650</v>
      </c>
      <c r="S116" s="18" t="s">
        <v>112</v>
      </c>
      <c r="T116" s="18" t="s">
        <v>225</v>
      </c>
      <c r="U116" s="18" t="s">
        <v>651</v>
      </c>
      <c r="V116" s="19" t="s">
        <v>29</v>
      </c>
      <c r="W116" s="19"/>
      <c r="X116" s="19"/>
      <c r="Y116" s="20"/>
      <c r="Z116" s="19"/>
      <c r="AA116" s="18" t="str">
        <f aca="false">IF(OR(V116="Aprobada"),R116,IF(AND(OR(V116="Aprobada con ajuste",V116="Rechazada"),W116&lt;&gt;""),W116,""))</f>
        <v/>
      </c>
    </row>
    <row r="117" customFormat="false" ht="32.8" hidden="false" customHeight="false" outlineLevel="0" collapsed="false">
      <c r="A117" s="18" t="s">
        <v>652</v>
      </c>
      <c r="B117" s="18" t="s">
        <v>58</v>
      </c>
      <c r="C117" s="18" t="s">
        <v>59</v>
      </c>
      <c r="D117" s="18" t="s">
        <v>535</v>
      </c>
      <c r="E117" s="18" t="n">
        <v>814</v>
      </c>
      <c r="F117" s="18" t="s">
        <v>653</v>
      </c>
      <c r="G117" s="18" t="s">
        <v>116</v>
      </c>
      <c r="H117" s="18" t="s">
        <v>117</v>
      </c>
      <c r="I117" s="18"/>
      <c r="J117" s="18"/>
      <c r="K117" s="18"/>
      <c r="L117" s="18" t="s">
        <v>109</v>
      </c>
      <c r="M117" s="18" t="s">
        <v>109</v>
      </c>
      <c r="N117" s="18"/>
      <c r="O117" s="18"/>
      <c r="P117" s="18" t="s">
        <v>654</v>
      </c>
      <c r="Q117" s="18" t="s">
        <v>134</v>
      </c>
      <c r="R117" s="18" t="s">
        <v>655</v>
      </c>
      <c r="S117" s="18" t="s">
        <v>125</v>
      </c>
      <c r="T117" s="18" t="s">
        <v>656</v>
      </c>
      <c r="U117" s="18"/>
      <c r="V117" s="19" t="s">
        <v>29</v>
      </c>
      <c r="W117" s="19"/>
      <c r="X117" s="19"/>
      <c r="Y117" s="20"/>
      <c r="Z117" s="19"/>
      <c r="AA117" s="18" t="str">
        <f aca="false">IF(OR(V117="Aprobada"),R117,IF(AND(OR(V117="Aprobada con ajuste",V117="Rechazada"),W117&lt;&gt;""),W117,""))</f>
        <v/>
      </c>
    </row>
    <row r="118" customFormat="false" ht="32.8" hidden="false" customHeight="false" outlineLevel="0" collapsed="false">
      <c r="A118" s="18" t="s">
        <v>657</v>
      </c>
      <c r="B118" s="18" t="s">
        <v>58</v>
      </c>
      <c r="C118" s="18" t="s">
        <v>59</v>
      </c>
      <c r="D118" s="18" t="s">
        <v>535</v>
      </c>
      <c r="E118" s="18" t="n">
        <v>814</v>
      </c>
      <c r="F118" s="18" t="s">
        <v>658</v>
      </c>
      <c r="G118" s="18" t="s">
        <v>116</v>
      </c>
      <c r="H118" s="18" t="s">
        <v>117</v>
      </c>
      <c r="I118" s="18"/>
      <c r="J118" s="18"/>
      <c r="K118" s="18"/>
      <c r="L118" s="18" t="s">
        <v>109</v>
      </c>
      <c r="M118" s="18" t="s">
        <v>109</v>
      </c>
      <c r="N118" s="18"/>
      <c r="O118" s="18"/>
      <c r="P118" s="18" t="s">
        <v>659</v>
      </c>
      <c r="Q118" s="18" t="s">
        <v>134</v>
      </c>
      <c r="R118" s="18" t="s">
        <v>660</v>
      </c>
      <c r="S118" s="18" t="s">
        <v>169</v>
      </c>
      <c r="T118" s="18" t="s">
        <v>225</v>
      </c>
      <c r="U118" s="18" t="s">
        <v>661</v>
      </c>
      <c r="V118" s="19" t="s">
        <v>29</v>
      </c>
      <c r="W118" s="19"/>
      <c r="X118" s="19"/>
      <c r="Y118" s="20"/>
      <c r="Z118" s="19"/>
      <c r="AA118" s="18" t="str">
        <f aca="false">IF(OR(V118="Aprobada"),R118,IF(AND(OR(V118="Aprobada con ajuste",V118="Rechazada"),W118&lt;&gt;""),W118,""))</f>
        <v/>
      </c>
    </row>
    <row r="119" customFormat="false" ht="32.8" hidden="false" customHeight="false" outlineLevel="0" collapsed="false">
      <c r="A119" s="18" t="s">
        <v>662</v>
      </c>
      <c r="B119" s="18" t="s">
        <v>58</v>
      </c>
      <c r="C119" s="18" t="s">
        <v>59</v>
      </c>
      <c r="D119" s="18" t="s">
        <v>535</v>
      </c>
      <c r="E119" s="18" t="n">
        <v>814</v>
      </c>
      <c r="F119" s="18" t="s">
        <v>663</v>
      </c>
      <c r="G119" s="18" t="s">
        <v>116</v>
      </c>
      <c r="H119" s="18" t="s">
        <v>117</v>
      </c>
      <c r="I119" s="18"/>
      <c r="J119" s="18"/>
      <c r="K119" s="18"/>
      <c r="L119" s="18" t="s">
        <v>109</v>
      </c>
      <c r="M119" s="18" t="s">
        <v>109</v>
      </c>
      <c r="N119" s="18"/>
      <c r="O119" s="18"/>
      <c r="P119" s="18" t="s">
        <v>664</v>
      </c>
      <c r="Q119" s="18" t="s">
        <v>134</v>
      </c>
      <c r="R119" s="18" t="s">
        <v>665</v>
      </c>
      <c r="S119" s="18" t="s">
        <v>112</v>
      </c>
      <c r="T119" s="18" t="s">
        <v>666</v>
      </c>
      <c r="U119" s="18" t="s">
        <v>547</v>
      </c>
      <c r="V119" s="19" t="s">
        <v>29</v>
      </c>
      <c r="W119" s="19"/>
      <c r="X119" s="19"/>
      <c r="Y119" s="20"/>
      <c r="Z119" s="19"/>
      <c r="AA119" s="18" t="str">
        <f aca="false">IF(OR(V119="Aprobada"),R119,IF(AND(OR(V119="Aprobada con ajuste",V119="Rechazada"),W119&lt;&gt;""),W119,""))</f>
        <v/>
      </c>
    </row>
    <row r="120" customFormat="false" ht="32.8" hidden="false" customHeight="false" outlineLevel="0" collapsed="false">
      <c r="A120" s="18" t="s">
        <v>667</v>
      </c>
      <c r="B120" s="18" t="s">
        <v>58</v>
      </c>
      <c r="C120" s="18" t="s">
        <v>59</v>
      </c>
      <c r="D120" s="18" t="s">
        <v>535</v>
      </c>
      <c r="E120" s="18" t="n">
        <v>814</v>
      </c>
      <c r="F120" s="18" t="s">
        <v>668</v>
      </c>
      <c r="G120" s="18" t="s">
        <v>669</v>
      </c>
      <c r="H120" s="18" t="s">
        <v>117</v>
      </c>
      <c r="I120" s="18"/>
      <c r="J120" s="18"/>
      <c r="K120" s="18"/>
      <c r="L120" s="18" t="s">
        <v>109</v>
      </c>
      <c r="M120" s="18" t="s">
        <v>109</v>
      </c>
      <c r="N120" s="18"/>
      <c r="O120" s="18"/>
      <c r="P120" s="18" t="s">
        <v>670</v>
      </c>
      <c r="Q120" s="18" t="s">
        <v>134</v>
      </c>
      <c r="R120" s="18" t="s">
        <v>671</v>
      </c>
      <c r="S120" s="18" t="s">
        <v>125</v>
      </c>
      <c r="T120" s="18" t="s">
        <v>672</v>
      </c>
      <c r="U120" s="18"/>
      <c r="V120" s="19" t="s">
        <v>29</v>
      </c>
      <c r="W120" s="19"/>
      <c r="X120" s="19"/>
      <c r="Y120" s="20"/>
      <c r="Z120" s="19"/>
      <c r="AA120" s="18" t="str">
        <f aca="false">IF(OR(V120="Aprobada"),R120,IF(AND(OR(V120="Aprobada con ajuste",V120="Rechazada"),W120&lt;&gt;""),W120,""))</f>
        <v/>
      </c>
    </row>
    <row r="121" customFormat="false" ht="32.8" hidden="false" customHeight="false" outlineLevel="0" collapsed="false">
      <c r="A121" s="18" t="s">
        <v>673</v>
      </c>
      <c r="B121" s="18" t="s">
        <v>58</v>
      </c>
      <c r="C121" s="18" t="s">
        <v>59</v>
      </c>
      <c r="D121" s="18" t="s">
        <v>535</v>
      </c>
      <c r="E121" s="18" t="n">
        <v>814</v>
      </c>
      <c r="F121" s="18" t="s">
        <v>674</v>
      </c>
      <c r="G121" s="18" t="s">
        <v>669</v>
      </c>
      <c r="H121" s="18" t="s">
        <v>117</v>
      </c>
      <c r="I121" s="18"/>
      <c r="J121" s="18"/>
      <c r="K121" s="18"/>
      <c r="L121" s="18" t="s">
        <v>109</v>
      </c>
      <c r="M121" s="18" t="s">
        <v>109</v>
      </c>
      <c r="N121" s="18"/>
      <c r="O121" s="18"/>
      <c r="P121" s="18" t="s">
        <v>675</v>
      </c>
      <c r="Q121" s="18" t="s">
        <v>134</v>
      </c>
      <c r="R121" s="18" t="s">
        <v>676</v>
      </c>
      <c r="S121" s="18" t="s">
        <v>125</v>
      </c>
      <c r="T121" s="18" t="s">
        <v>677</v>
      </c>
      <c r="U121" s="18"/>
      <c r="V121" s="19" t="s">
        <v>29</v>
      </c>
      <c r="W121" s="19"/>
      <c r="X121" s="19"/>
      <c r="Y121" s="20"/>
      <c r="Z121" s="19"/>
      <c r="AA121" s="18" t="str">
        <f aca="false">IF(OR(V121="Aprobada"),R121,IF(AND(OR(V121="Aprobada con ajuste",V121="Rechazada"),W121&lt;&gt;""),W121,""))</f>
        <v/>
      </c>
    </row>
    <row r="122" customFormat="false" ht="32.8" hidden="false" customHeight="false" outlineLevel="0" collapsed="false">
      <c r="A122" s="18" t="s">
        <v>678</v>
      </c>
      <c r="B122" s="18" t="s">
        <v>58</v>
      </c>
      <c r="C122" s="18" t="s">
        <v>59</v>
      </c>
      <c r="D122" s="18" t="s">
        <v>535</v>
      </c>
      <c r="E122" s="18" t="n">
        <v>814</v>
      </c>
      <c r="F122" s="18" t="s">
        <v>679</v>
      </c>
      <c r="G122" s="18" t="s">
        <v>680</v>
      </c>
      <c r="H122" s="18" t="s">
        <v>117</v>
      </c>
      <c r="I122" s="18"/>
      <c r="J122" s="18"/>
      <c r="K122" s="18"/>
      <c r="L122" s="18" t="s">
        <v>109</v>
      </c>
      <c r="M122" s="18" t="s">
        <v>109</v>
      </c>
      <c r="N122" s="18"/>
      <c r="O122" s="18"/>
      <c r="P122" s="18" t="s">
        <v>681</v>
      </c>
      <c r="Q122" s="18" t="s">
        <v>134</v>
      </c>
      <c r="R122" s="18" t="s">
        <v>682</v>
      </c>
      <c r="S122" s="18" t="s">
        <v>112</v>
      </c>
      <c r="T122" s="18" t="s">
        <v>683</v>
      </c>
      <c r="U122" s="18" t="s">
        <v>684</v>
      </c>
      <c r="V122" s="19" t="s">
        <v>29</v>
      </c>
      <c r="W122" s="19"/>
      <c r="X122" s="19"/>
      <c r="Y122" s="20"/>
      <c r="Z122" s="19"/>
      <c r="AA122" s="18" t="str">
        <f aca="false">IF(OR(V122="Aprobada"),R122,IF(AND(OR(V122="Aprobada con ajuste",V122="Rechazada"),W122&lt;&gt;""),W122,""))</f>
        <v/>
      </c>
    </row>
    <row r="123" customFormat="false" ht="32.8" hidden="false" customHeight="false" outlineLevel="0" collapsed="false">
      <c r="A123" s="18" t="s">
        <v>685</v>
      </c>
      <c r="B123" s="18" t="s">
        <v>58</v>
      </c>
      <c r="C123" s="18" t="s">
        <v>59</v>
      </c>
      <c r="D123" s="18" t="s">
        <v>535</v>
      </c>
      <c r="E123" s="18" t="n">
        <v>814</v>
      </c>
      <c r="F123" s="18" t="s">
        <v>686</v>
      </c>
      <c r="G123" s="18" t="s">
        <v>139</v>
      </c>
      <c r="H123" s="18" t="s">
        <v>117</v>
      </c>
      <c r="I123" s="18"/>
      <c r="J123" s="18"/>
      <c r="K123" s="18"/>
      <c r="L123" s="18" t="s">
        <v>109</v>
      </c>
      <c r="M123" s="18" t="s">
        <v>109</v>
      </c>
      <c r="N123" s="18"/>
      <c r="O123" s="18"/>
      <c r="P123" s="18" t="s">
        <v>687</v>
      </c>
      <c r="Q123" s="18" t="s">
        <v>134</v>
      </c>
      <c r="R123" s="18" t="s">
        <v>688</v>
      </c>
      <c r="S123" s="18" t="s">
        <v>112</v>
      </c>
      <c r="T123" s="18" t="s">
        <v>689</v>
      </c>
      <c r="U123" s="18" t="s">
        <v>690</v>
      </c>
      <c r="V123" s="19" t="s">
        <v>29</v>
      </c>
      <c r="W123" s="19"/>
      <c r="X123" s="19"/>
      <c r="Y123" s="20"/>
      <c r="Z123" s="19"/>
      <c r="AA123" s="18" t="str">
        <f aca="false">IF(OR(V123="Aprobada"),R123,IF(AND(OR(V123="Aprobada con ajuste",V123="Rechazada"),W123&lt;&gt;""),W123,""))</f>
        <v/>
      </c>
    </row>
    <row r="124" customFormat="false" ht="32.8" hidden="false" customHeight="false" outlineLevel="0" collapsed="false">
      <c r="A124" s="18" t="s">
        <v>691</v>
      </c>
      <c r="B124" s="18" t="s">
        <v>58</v>
      </c>
      <c r="C124" s="18" t="s">
        <v>59</v>
      </c>
      <c r="D124" s="18" t="s">
        <v>535</v>
      </c>
      <c r="E124" s="18" t="n">
        <v>814</v>
      </c>
      <c r="F124" s="18" t="s">
        <v>692</v>
      </c>
      <c r="G124" s="18" t="s">
        <v>116</v>
      </c>
      <c r="H124" s="18" t="s">
        <v>117</v>
      </c>
      <c r="I124" s="18"/>
      <c r="J124" s="18"/>
      <c r="K124" s="18"/>
      <c r="L124" s="18" t="s">
        <v>109</v>
      </c>
      <c r="M124" s="18" t="s">
        <v>109</v>
      </c>
      <c r="N124" s="18"/>
      <c r="O124" s="18"/>
      <c r="P124" s="18" t="s">
        <v>693</v>
      </c>
      <c r="Q124" s="18" t="s">
        <v>134</v>
      </c>
      <c r="R124" s="18" t="s">
        <v>694</v>
      </c>
      <c r="S124" s="18" t="s">
        <v>112</v>
      </c>
      <c r="T124" s="18" t="s">
        <v>695</v>
      </c>
      <c r="U124" s="18" t="s">
        <v>696</v>
      </c>
      <c r="V124" s="19" t="s">
        <v>29</v>
      </c>
      <c r="W124" s="19"/>
      <c r="X124" s="19"/>
      <c r="Y124" s="20"/>
      <c r="Z124" s="19"/>
      <c r="AA124" s="18" t="str">
        <f aca="false">IF(OR(V124="Aprobada"),R124,IF(AND(OR(V124="Aprobada con ajuste",V124="Rechazada"),W124&lt;&gt;""),W124,""))</f>
        <v/>
      </c>
    </row>
    <row r="125" customFormat="false" ht="32.8" hidden="false" customHeight="false" outlineLevel="0" collapsed="false">
      <c r="A125" s="18" t="s">
        <v>697</v>
      </c>
      <c r="B125" s="18" t="s">
        <v>58</v>
      </c>
      <c r="C125" s="18" t="s">
        <v>59</v>
      </c>
      <c r="D125" s="18" t="s">
        <v>535</v>
      </c>
      <c r="E125" s="18" t="n">
        <v>814</v>
      </c>
      <c r="F125" s="18" t="s">
        <v>698</v>
      </c>
      <c r="G125" s="18" t="s">
        <v>116</v>
      </c>
      <c r="H125" s="18" t="s">
        <v>117</v>
      </c>
      <c r="I125" s="18"/>
      <c r="J125" s="18"/>
      <c r="K125" s="18"/>
      <c r="L125" s="18" t="s">
        <v>109</v>
      </c>
      <c r="M125" s="18" t="s">
        <v>109</v>
      </c>
      <c r="N125" s="18"/>
      <c r="O125" s="18"/>
      <c r="P125" s="18" t="s">
        <v>699</v>
      </c>
      <c r="Q125" s="18" t="s">
        <v>134</v>
      </c>
      <c r="R125" s="18" t="s">
        <v>700</v>
      </c>
      <c r="S125" s="18" t="s">
        <v>112</v>
      </c>
      <c r="T125" s="18" t="s">
        <v>129</v>
      </c>
      <c r="U125" s="18" t="s">
        <v>547</v>
      </c>
      <c r="V125" s="19" t="s">
        <v>29</v>
      </c>
      <c r="W125" s="19"/>
      <c r="X125" s="19"/>
      <c r="Y125" s="20"/>
      <c r="Z125" s="19"/>
      <c r="AA125" s="18" t="str">
        <f aca="false">IF(OR(V125="Aprobada"),R125,IF(AND(OR(V125="Aprobada con ajuste",V125="Rechazada"),W125&lt;&gt;""),W125,""))</f>
        <v/>
      </c>
    </row>
    <row r="126" customFormat="false" ht="32.8" hidden="false" customHeight="false" outlineLevel="0" collapsed="false">
      <c r="A126" s="18" t="s">
        <v>701</v>
      </c>
      <c r="B126" s="18" t="s">
        <v>58</v>
      </c>
      <c r="C126" s="18" t="s">
        <v>59</v>
      </c>
      <c r="D126" s="18" t="s">
        <v>535</v>
      </c>
      <c r="E126" s="18" t="n">
        <v>814</v>
      </c>
      <c r="F126" s="18" t="s">
        <v>702</v>
      </c>
      <c r="G126" s="18" t="s">
        <v>116</v>
      </c>
      <c r="H126" s="18" t="s">
        <v>117</v>
      </c>
      <c r="I126" s="18"/>
      <c r="J126" s="18"/>
      <c r="K126" s="18"/>
      <c r="L126" s="18" t="s">
        <v>109</v>
      </c>
      <c r="M126" s="18" t="s">
        <v>109</v>
      </c>
      <c r="N126" s="18"/>
      <c r="O126" s="18" t="s">
        <v>703</v>
      </c>
      <c r="P126" s="18" t="s">
        <v>704</v>
      </c>
      <c r="Q126" s="18" t="s">
        <v>134</v>
      </c>
      <c r="R126" s="18" t="s">
        <v>705</v>
      </c>
      <c r="S126" s="18" t="s">
        <v>112</v>
      </c>
      <c r="T126" s="18" t="s">
        <v>706</v>
      </c>
      <c r="U126" s="18" t="s">
        <v>707</v>
      </c>
      <c r="V126" s="19" t="s">
        <v>29</v>
      </c>
      <c r="W126" s="19"/>
      <c r="X126" s="19"/>
      <c r="Y126" s="20"/>
      <c r="Z126" s="19"/>
      <c r="AA126" s="18" t="str">
        <f aca="false">IF(OR(V126="Aprobada"),R126,IF(AND(OR(V126="Aprobada con ajuste",V126="Rechazada"),W126&lt;&gt;""),W126,""))</f>
        <v/>
      </c>
    </row>
    <row r="127" customFormat="false" ht="32.8" hidden="false" customHeight="false" outlineLevel="0" collapsed="false">
      <c r="A127" s="18" t="s">
        <v>708</v>
      </c>
      <c r="B127" s="18" t="s">
        <v>58</v>
      </c>
      <c r="C127" s="18" t="s">
        <v>59</v>
      </c>
      <c r="D127" s="18" t="s">
        <v>535</v>
      </c>
      <c r="E127" s="18" t="n">
        <v>814</v>
      </c>
      <c r="F127" s="18" t="s">
        <v>115</v>
      </c>
      <c r="G127" s="18" t="s">
        <v>116</v>
      </c>
      <c r="H127" s="18" t="s">
        <v>117</v>
      </c>
      <c r="I127" s="18"/>
      <c r="J127" s="18"/>
      <c r="K127" s="18"/>
      <c r="L127" s="18" t="s">
        <v>109</v>
      </c>
      <c r="M127" s="18" t="s">
        <v>109</v>
      </c>
      <c r="N127" s="18"/>
      <c r="O127" s="18"/>
      <c r="P127" s="18" t="s">
        <v>709</v>
      </c>
      <c r="Q127" s="18" t="s">
        <v>110</v>
      </c>
      <c r="R127" s="18" t="s">
        <v>118</v>
      </c>
      <c r="S127" s="18" t="s">
        <v>112</v>
      </c>
      <c r="T127" s="18" t="s">
        <v>113</v>
      </c>
      <c r="U127" s="18"/>
      <c r="V127" s="19" t="s">
        <v>29</v>
      </c>
      <c r="W127" s="19"/>
      <c r="X127" s="19"/>
      <c r="Y127" s="20"/>
      <c r="Z127" s="19"/>
      <c r="AA127" s="18" t="str">
        <f aca="false">IF(OR(V127="Aprobada"),R127,IF(AND(OR(V127="Aprobada con ajuste",V127="Rechazada"),W127&lt;&gt;""),W127,""))</f>
        <v/>
      </c>
    </row>
    <row r="128" customFormat="false" ht="32.8" hidden="false" customHeight="false" outlineLevel="0" collapsed="false">
      <c r="A128" s="18" t="s">
        <v>710</v>
      </c>
      <c r="B128" s="18" t="s">
        <v>58</v>
      </c>
      <c r="C128" s="18" t="s">
        <v>59</v>
      </c>
      <c r="D128" s="18" t="s">
        <v>535</v>
      </c>
      <c r="E128" s="18" t="n">
        <v>814</v>
      </c>
      <c r="F128" s="18" t="s">
        <v>711</v>
      </c>
      <c r="G128" s="18" t="s">
        <v>116</v>
      </c>
      <c r="H128" s="18" t="s">
        <v>117</v>
      </c>
      <c r="I128" s="18"/>
      <c r="J128" s="18"/>
      <c r="K128" s="18"/>
      <c r="L128" s="18" t="s">
        <v>109</v>
      </c>
      <c r="M128" s="18" t="s">
        <v>109</v>
      </c>
      <c r="N128" s="18"/>
      <c r="O128" s="18"/>
      <c r="P128" s="18" t="s">
        <v>712</v>
      </c>
      <c r="Q128" s="18" t="s">
        <v>134</v>
      </c>
      <c r="R128" s="18" t="s">
        <v>713</v>
      </c>
      <c r="S128" s="18" t="s">
        <v>112</v>
      </c>
      <c r="T128" s="18" t="s">
        <v>129</v>
      </c>
      <c r="U128" s="18" t="s">
        <v>714</v>
      </c>
      <c r="V128" s="19" t="s">
        <v>29</v>
      </c>
      <c r="W128" s="19"/>
      <c r="X128" s="19"/>
      <c r="Y128" s="20"/>
      <c r="Z128" s="19"/>
      <c r="AA128" s="18" t="str">
        <f aca="false">IF(OR(V128="Aprobada"),R128,IF(AND(OR(V128="Aprobada con ajuste",V128="Rechazada"),W128&lt;&gt;""),W128,""))</f>
        <v/>
      </c>
    </row>
    <row r="129" customFormat="false" ht="43.25" hidden="false" customHeight="false" outlineLevel="0" collapsed="false">
      <c r="A129" s="18" t="s">
        <v>715</v>
      </c>
      <c r="B129" s="18" t="s">
        <v>58</v>
      </c>
      <c r="C129" s="18" t="s">
        <v>59</v>
      </c>
      <c r="D129" s="18" t="s">
        <v>535</v>
      </c>
      <c r="E129" s="18" t="n">
        <v>814</v>
      </c>
      <c r="F129" s="18" t="s">
        <v>716</v>
      </c>
      <c r="G129" s="18" t="s">
        <v>116</v>
      </c>
      <c r="H129" s="18" t="s">
        <v>117</v>
      </c>
      <c r="I129" s="18"/>
      <c r="J129" s="18"/>
      <c r="K129" s="18"/>
      <c r="L129" s="18" t="s">
        <v>109</v>
      </c>
      <c r="M129" s="18" t="s">
        <v>109</v>
      </c>
      <c r="N129" s="18"/>
      <c r="O129" s="18"/>
      <c r="P129" s="18" t="s">
        <v>717</v>
      </c>
      <c r="Q129" s="18" t="s">
        <v>123</v>
      </c>
      <c r="R129" s="18" t="s">
        <v>718</v>
      </c>
      <c r="S129" s="18" t="s">
        <v>125</v>
      </c>
      <c r="T129" s="18" t="s">
        <v>719</v>
      </c>
      <c r="U129" s="18"/>
      <c r="V129" s="19" t="s">
        <v>29</v>
      </c>
      <c r="W129" s="19"/>
      <c r="X129" s="19"/>
      <c r="Y129" s="20"/>
      <c r="Z129" s="19"/>
      <c r="AA129" s="18" t="str">
        <f aca="false">IF(OR(V129="Aprobada"),R129,IF(AND(OR(V129="Aprobada con ajuste",V129="Rechazada"),W129&lt;&gt;""),W129,""))</f>
        <v/>
      </c>
    </row>
    <row r="130" customFormat="false" ht="53.7" hidden="false" customHeight="false" outlineLevel="0" collapsed="false">
      <c r="A130" s="18" t="s">
        <v>720</v>
      </c>
      <c r="B130" s="18" t="s">
        <v>58</v>
      </c>
      <c r="C130" s="18" t="s">
        <v>59</v>
      </c>
      <c r="D130" s="18" t="s">
        <v>535</v>
      </c>
      <c r="E130" s="18" t="n">
        <v>814</v>
      </c>
      <c r="F130" s="18" t="s">
        <v>721</v>
      </c>
      <c r="G130" s="18" t="s">
        <v>212</v>
      </c>
      <c r="H130" s="18" t="s">
        <v>117</v>
      </c>
      <c r="I130" s="18"/>
      <c r="J130" s="18"/>
      <c r="K130" s="18"/>
      <c r="L130" s="18" t="s">
        <v>109</v>
      </c>
      <c r="M130" s="18" t="s">
        <v>109</v>
      </c>
      <c r="N130" s="18"/>
      <c r="O130" s="18"/>
      <c r="P130" s="18" t="s">
        <v>722</v>
      </c>
      <c r="Q130" s="18" t="s">
        <v>123</v>
      </c>
      <c r="R130" s="18" t="s">
        <v>723</v>
      </c>
      <c r="S130" s="18" t="s">
        <v>125</v>
      </c>
      <c r="T130" s="18" t="s">
        <v>724</v>
      </c>
      <c r="U130" s="18"/>
      <c r="V130" s="19" t="s">
        <v>29</v>
      </c>
      <c r="W130" s="19"/>
      <c r="X130" s="19"/>
      <c r="Y130" s="20"/>
      <c r="Z130" s="19"/>
      <c r="AA130" s="18" t="str">
        <f aca="false">IF(OR(V130="Aprobada"),R130,IF(AND(OR(V130="Aprobada con ajuste",V130="Rechazada"),W130&lt;&gt;""),W130,""))</f>
        <v/>
      </c>
    </row>
    <row r="131" customFormat="false" ht="32.8" hidden="false" customHeight="false" outlineLevel="0" collapsed="false">
      <c r="A131" s="18" t="s">
        <v>725</v>
      </c>
      <c r="B131" s="18" t="s">
        <v>58</v>
      </c>
      <c r="C131" s="18" t="s">
        <v>59</v>
      </c>
      <c r="D131" s="18" t="s">
        <v>535</v>
      </c>
      <c r="E131" s="18" t="n">
        <v>814</v>
      </c>
      <c r="F131" s="18" t="s">
        <v>726</v>
      </c>
      <c r="G131" s="18" t="s">
        <v>116</v>
      </c>
      <c r="H131" s="18" t="s">
        <v>117</v>
      </c>
      <c r="I131" s="18"/>
      <c r="J131" s="18"/>
      <c r="K131" s="18"/>
      <c r="L131" s="18" t="s">
        <v>109</v>
      </c>
      <c r="M131" s="18" t="s">
        <v>109</v>
      </c>
      <c r="N131" s="18"/>
      <c r="O131" s="18"/>
      <c r="P131" s="18" t="s">
        <v>727</v>
      </c>
      <c r="Q131" s="18" t="s">
        <v>123</v>
      </c>
      <c r="R131" s="18" t="s">
        <v>728</v>
      </c>
      <c r="S131" s="18" t="s">
        <v>125</v>
      </c>
      <c r="T131" s="18" t="s">
        <v>729</v>
      </c>
      <c r="U131" s="18"/>
      <c r="V131" s="19" t="s">
        <v>29</v>
      </c>
      <c r="W131" s="19"/>
      <c r="X131" s="19"/>
      <c r="Y131" s="20"/>
      <c r="Z131" s="19"/>
      <c r="AA131" s="18" t="str">
        <f aca="false">IF(OR(V131="Aprobada"),R131,IF(AND(OR(V131="Aprobada con ajuste",V131="Rechazada"),W131&lt;&gt;""),W131,""))</f>
        <v/>
      </c>
    </row>
    <row r="132" customFormat="false" ht="22.35" hidden="false" customHeight="false" outlineLevel="0" collapsed="false">
      <c r="A132" s="18" t="s">
        <v>730</v>
      </c>
      <c r="B132" s="18" t="s">
        <v>58</v>
      </c>
      <c r="C132" s="18" t="s">
        <v>59</v>
      </c>
      <c r="D132" s="18" t="s">
        <v>535</v>
      </c>
      <c r="E132" s="18" t="n">
        <v>814</v>
      </c>
      <c r="F132" s="18" t="s">
        <v>731</v>
      </c>
      <c r="G132" s="18" t="s">
        <v>145</v>
      </c>
      <c r="H132" s="18" t="s">
        <v>117</v>
      </c>
      <c r="I132" s="18"/>
      <c r="J132" s="18"/>
      <c r="K132" s="18"/>
      <c r="L132" s="18" t="s">
        <v>109</v>
      </c>
      <c r="M132" s="18" t="s">
        <v>109</v>
      </c>
      <c r="N132" s="18"/>
      <c r="O132" s="18"/>
      <c r="P132" s="18"/>
      <c r="Q132" s="18" t="s">
        <v>110</v>
      </c>
      <c r="R132" s="18" t="s">
        <v>732</v>
      </c>
      <c r="S132" s="18" t="s">
        <v>112</v>
      </c>
      <c r="T132" s="18" t="s">
        <v>113</v>
      </c>
      <c r="U132" s="18"/>
      <c r="V132" s="19" t="s">
        <v>29</v>
      </c>
      <c r="W132" s="19"/>
      <c r="X132" s="19"/>
      <c r="Y132" s="20"/>
      <c r="Z132" s="19"/>
      <c r="AA132" s="18" t="str">
        <f aca="false">IF(OR(V132="Aprobada"),R132,IF(AND(OR(V132="Aprobada con ajuste",V132="Rechazada"),W132&lt;&gt;""),W132,""))</f>
        <v/>
      </c>
    </row>
    <row r="133" customFormat="false" ht="22.35" hidden="false" customHeight="false" outlineLevel="0" collapsed="false">
      <c r="A133" s="18" t="s">
        <v>733</v>
      </c>
      <c r="B133" s="18" t="s">
        <v>58</v>
      </c>
      <c r="C133" s="18" t="s">
        <v>59</v>
      </c>
      <c r="D133" s="18" t="s">
        <v>535</v>
      </c>
      <c r="E133" s="18" t="n">
        <v>814</v>
      </c>
      <c r="F133" s="18" t="s">
        <v>734</v>
      </c>
      <c r="G133" s="18" t="s">
        <v>735</v>
      </c>
      <c r="H133" s="18" t="s">
        <v>117</v>
      </c>
      <c r="I133" s="18"/>
      <c r="J133" s="18"/>
      <c r="K133" s="18"/>
      <c r="L133" s="18" t="s">
        <v>109</v>
      </c>
      <c r="M133" s="18" t="s">
        <v>109</v>
      </c>
      <c r="N133" s="18"/>
      <c r="O133" s="18"/>
      <c r="P133" s="18"/>
      <c r="Q133" s="18" t="s">
        <v>110</v>
      </c>
      <c r="R133" s="18" t="s">
        <v>736</v>
      </c>
      <c r="S133" s="18" t="s">
        <v>112</v>
      </c>
      <c r="T133" s="18" t="s">
        <v>113</v>
      </c>
      <c r="U133" s="18"/>
      <c r="V133" s="19" t="s">
        <v>29</v>
      </c>
      <c r="W133" s="19"/>
      <c r="X133" s="19"/>
      <c r="Y133" s="20"/>
      <c r="Z133" s="19"/>
      <c r="AA133" s="18" t="str">
        <f aca="false">IF(OR(V133="Aprobada"),R133,IF(AND(OR(V133="Aprobada con ajuste",V133="Rechazada"),W133&lt;&gt;""),W133,""))</f>
        <v/>
      </c>
    </row>
    <row r="134" customFormat="false" ht="22.35" hidden="false" customHeight="false" outlineLevel="0" collapsed="false">
      <c r="A134" s="18" t="s">
        <v>737</v>
      </c>
      <c r="B134" s="18" t="s">
        <v>58</v>
      </c>
      <c r="C134" s="18" t="s">
        <v>59</v>
      </c>
      <c r="D134" s="18" t="s">
        <v>535</v>
      </c>
      <c r="E134" s="18" t="n">
        <v>814</v>
      </c>
      <c r="F134" s="18" t="s">
        <v>738</v>
      </c>
      <c r="G134" s="18" t="s">
        <v>324</v>
      </c>
      <c r="H134" s="18" t="s">
        <v>117</v>
      </c>
      <c r="I134" s="18"/>
      <c r="J134" s="18"/>
      <c r="K134" s="18"/>
      <c r="L134" s="18" t="s">
        <v>109</v>
      </c>
      <c r="M134" s="18" t="s">
        <v>109</v>
      </c>
      <c r="N134" s="18"/>
      <c r="O134" s="18"/>
      <c r="P134" s="18"/>
      <c r="Q134" s="18" t="s">
        <v>134</v>
      </c>
      <c r="R134" s="18" t="s">
        <v>739</v>
      </c>
      <c r="S134" s="18" t="s">
        <v>125</v>
      </c>
      <c r="T134" s="18" t="s">
        <v>740</v>
      </c>
      <c r="U134" s="18"/>
      <c r="V134" s="19" t="s">
        <v>29</v>
      </c>
      <c r="W134" s="19"/>
      <c r="X134" s="19"/>
      <c r="Y134" s="20"/>
      <c r="Z134" s="19"/>
      <c r="AA134" s="18" t="str">
        <f aca="false">IF(OR(V134="Aprobada"),R134,IF(AND(OR(V134="Aprobada con ajuste",V134="Rechazada"),W134&lt;&gt;""),W134,""))</f>
        <v/>
      </c>
    </row>
    <row r="135" customFormat="false" ht="32.8" hidden="false" customHeight="false" outlineLevel="0" collapsed="false">
      <c r="A135" s="18" t="s">
        <v>741</v>
      </c>
      <c r="B135" s="18" t="s">
        <v>58</v>
      </c>
      <c r="C135" s="18" t="s">
        <v>59</v>
      </c>
      <c r="D135" s="18" t="s">
        <v>535</v>
      </c>
      <c r="E135" s="18" t="n">
        <v>814</v>
      </c>
      <c r="F135" s="18" t="s">
        <v>742</v>
      </c>
      <c r="G135" s="18" t="s">
        <v>116</v>
      </c>
      <c r="H135" s="18" t="s">
        <v>117</v>
      </c>
      <c r="I135" s="18"/>
      <c r="J135" s="18"/>
      <c r="K135" s="18"/>
      <c r="L135" s="18" t="s">
        <v>109</v>
      </c>
      <c r="M135" s="18" t="s">
        <v>109</v>
      </c>
      <c r="N135" s="18"/>
      <c r="O135" s="18"/>
      <c r="P135" s="18" t="s">
        <v>743</v>
      </c>
      <c r="Q135" s="18" t="s">
        <v>134</v>
      </c>
      <c r="R135" s="18" t="s">
        <v>744</v>
      </c>
      <c r="S135" s="18" t="s">
        <v>112</v>
      </c>
      <c r="T135" s="18" t="s">
        <v>129</v>
      </c>
      <c r="U135" s="18" t="s">
        <v>547</v>
      </c>
      <c r="V135" s="19" t="s">
        <v>29</v>
      </c>
      <c r="W135" s="19"/>
      <c r="X135" s="19"/>
      <c r="Y135" s="20"/>
      <c r="Z135" s="19"/>
      <c r="AA135" s="18" t="str">
        <f aca="false">IF(OR(V135="Aprobada"),R135,IF(AND(OR(V135="Aprobada con ajuste",V135="Rechazada"),W135&lt;&gt;""),W135,""))</f>
        <v/>
      </c>
    </row>
    <row r="136" customFormat="false" ht="32.8" hidden="false" customHeight="false" outlineLevel="0" collapsed="false">
      <c r="A136" s="18" t="s">
        <v>745</v>
      </c>
      <c r="B136" s="18" t="s">
        <v>58</v>
      </c>
      <c r="C136" s="18" t="s">
        <v>59</v>
      </c>
      <c r="D136" s="18" t="s">
        <v>535</v>
      </c>
      <c r="E136" s="18" t="n">
        <v>814</v>
      </c>
      <c r="F136" s="18" t="s">
        <v>746</v>
      </c>
      <c r="G136" s="18" t="s">
        <v>139</v>
      </c>
      <c r="H136" s="18" t="s">
        <v>117</v>
      </c>
      <c r="I136" s="18"/>
      <c r="J136" s="18"/>
      <c r="K136" s="18"/>
      <c r="L136" s="18" t="s">
        <v>109</v>
      </c>
      <c r="M136" s="18" t="s">
        <v>109</v>
      </c>
      <c r="N136" s="18"/>
      <c r="O136" s="18"/>
      <c r="P136" s="18" t="s">
        <v>747</v>
      </c>
      <c r="Q136" s="18" t="s">
        <v>134</v>
      </c>
      <c r="R136" s="18" t="s">
        <v>748</v>
      </c>
      <c r="S136" s="18" t="s">
        <v>125</v>
      </c>
      <c r="T136" s="18" t="s">
        <v>577</v>
      </c>
      <c r="U136" s="18"/>
      <c r="V136" s="19" t="s">
        <v>29</v>
      </c>
      <c r="W136" s="19"/>
      <c r="X136" s="19"/>
      <c r="Y136" s="20"/>
      <c r="Z136" s="19"/>
      <c r="AA136" s="18" t="str">
        <f aca="false">IF(OR(V136="Aprobada"),R136,IF(AND(OR(V136="Aprobada con ajuste",V136="Rechazada"),W136&lt;&gt;""),W136,""))</f>
        <v/>
      </c>
    </row>
    <row r="137" customFormat="false" ht="32.8" hidden="false" customHeight="false" outlineLevel="0" collapsed="false">
      <c r="A137" s="18" t="s">
        <v>749</v>
      </c>
      <c r="B137" s="18" t="s">
        <v>58</v>
      </c>
      <c r="C137" s="18" t="s">
        <v>59</v>
      </c>
      <c r="D137" s="18" t="s">
        <v>535</v>
      </c>
      <c r="E137" s="18" t="n">
        <v>814</v>
      </c>
      <c r="F137" s="18" t="s">
        <v>750</v>
      </c>
      <c r="G137" s="18" t="s">
        <v>116</v>
      </c>
      <c r="H137" s="18" t="s">
        <v>117</v>
      </c>
      <c r="I137" s="18"/>
      <c r="J137" s="18"/>
      <c r="K137" s="18"/>
      <c r="L137" s="18" t="s">
        <v>109</v>
      </c>
      <c r="M137" s="18" t="s">
        <v>109</v>
      </c>
      <c r="N137" s="18"/>
      <c r="O137" s="18"/>
      <c r="P137" s="18" t="s">
        <v>751</v>
      </c>
      <c r="Q137" s="18" t="s">
        <v>134</v>
      </c>
      <c r="R137" s="18" t="s">
        <v>752</v>
      </c>
      <c r="S137" s="18" t="s">
        <v>169</v>
      </c>
      <c r="T137" s="18" t="s">
        <v>753</v>
      </c>
      <c r="U137" s="18" t="s">
        <v>754</v>
      </c>
      <c r="V137" s="19" t="s">
        <v>29</v>
      </c>
      <c r="W137" s="19"/>
      <c r="X137" s="19"/>
      <c r="Y137" s="20"/>
      <c r="Z137" s="19"/>
      <c r="AA137" s="18" t="str">
        <f aca="false">IF(OR(V137="Aprobada"),R137,IF(AND(OR(V137="Aprobada con ajuste",V137="Rechazada"),W137&lt;&gt;""),W137,""))</f>
        <v/>
      </c>
    </row>
    <row r="138" customFormat="false" ht="22.35" hidden="false" customHeight="false" outlineLevel="0" collapsed="false">
      <c r="A138" s="18" t="s">
        <v>755</v>
      </c>
      <c r="B138" s="18" t="s">
        <v>58</v>
      </c>
      <c r="C138" s="18" t="s">
        <v>59</v>
      </c>
      <c r="D138" s="18" t="s">
        <v>756</v>
      </c>
      <c r="E138" s="18" t="n">
        <v>2</v>
      </c>
      <c r="F138" s="18" t="s">
        <v>129</v>
      </c>
      <c r="G138" s="18" t="s">
        <v>116</v>
      </c>
      <c r="H138" s="18" t="s">
        <v>109</v>
      </c>
      <c r="I138" s="18"/>
      <c r="J138" s="18"/>
      <c r="K138" s="18"/>
      <c r="L138" s="18" t="s">
        <v>109</v>
      </c>
      <c r="M138" s="18" t="s">
        <v>109</v>
      </c>
      <c r="N138" s="18"/>
      <c r="O138" s="18"/>
      <c r="P138" s="18"/>
      <c r="Q138" s="18" t="s">
        <v>110</v>
      </c>
      <c r="R138" s="18" t="s">
        <v>757</v>
      </c>
      <c r="S138" s="18" t="s">
        <v>112</v>
      </c>
      <c r="T138" s="18" t="s">
        <v>113</v>
      </c>
      <c r="U138" s="18"/>
      <c r="V138" s="19" t="s">
        <v>29</v>
      </c>
      <c r="W138" s="19"/>
      <c r="X138" s="19"/>
      <c r="Y138" s="20"/>
      <c r="Z138" s="19"/>
      <c r="AA138" s="18" t="str">
        <f aca="false">IF(OR(V138="Aprobada"),R138,IF(AND(OR(V138="Aprobada con ajuste",V138="Rechazada"),W138&lt;&gt;""),W138,""))</f>
        <v/>
      </c>
    </row>
    <row r="139" customFormat="false" ht="22.35" hidden="false" customHeight="false" outlineLevel="0" collapsed="false">
      <c r="A139" s="18" t="s">
        <v>758</v>
      </c>
      <c r="B139" s="18" t="s">
        <v>58</v>
      </c>
      <c r="C139" s="18" t="s">
        <v>59</v>
      </c>
      <c r="D139" s="18" t="s">
        <v>756</v>
      </c>
      <c r="E139" s="18" t="n">
        <v>2</v>
      </c>
      <c r="F139" s="18" t="s">
        <v>759</v>
      </c>
      <c r="G139" s="18" t="s">
        <v>116</v>
      </c>
      <c r="H139" s="18" t="s">
        <v>109</v>
      </c>
      <c r="I139" s="18"/>
      <c r="J139" s="18"/>
      <c r="K139" s="18"/>
      <c r="L139" s="18" t="s">
        <v>109</v>
      </c>
      <c r="M139" s="18" t="s">
        <v>109</v>
      </c>
      <c r="N139" s="18"/>
      <c r="O139" s="18"/>
      <c r="P139" s="18"/>
      <c r="Q139" s="18" t="s">
        <v>110</v>
      </c>
      <c r="R139" s="18" t="s">
        <v>760</v>
      </c>
      <c r="S139" s="18" t="s">
        <v>112</v>
      </c>
      <c r="T139" s="18" t="s">
        <v>113</v>
      </c>
      <c r="U139" s="18"/>
      <c r="V139" s="19" t="s">
        <v>29</v>
      </c>
      <c r="W139" s="19"/>
      <c r="X139" s="19"/>
      <c r="Y139" s="20"/>
      <c r="Z139" s="19"/>
      <c r="AA139" s="18" t="str">
        <f aca="false">IF(OR(V139="Aprobada"),R139,IF(AND(OR(V139="Aprobada con ajuste",V139="Rechazada"),W139&lt;&gt;""),W139,""))</f>
        <v/>
      </c>
    </row>
    <row r="140" customFormat="false" ht="22.35" hidden="false" customHeight="false" outlineLevel="0" collapsed="false">
      <c r="A140" s="18" t="s">
        <v>761</v>
      </c>
      <c r="B140" s="18" t="s">
        <v>58</v>
      </c>
      <c r="C140" s="18" t="s">
        <v>59</v>
      </c>
      <c r="D140" s="18" t="s">
        <v>756</v>
      </c>
      <c r="E140" s="18" t="n">
        <v>2</v>
      </c>
      <c r="F140" s="18" t="s">
        <v>150</v>
      </c>
      <c r="G140" s="18" t="s">
        <v>116</v>
      </c>
      <c r="H140" s="18" t="s">
        <v>109</v>
      </c>
      <c r="I140" s="18"/>
      <c r="J140" s="18"/>
      <c r="K140" s="18"/>
      <c r="L140" s="18" t="s">
        <v>109</v>
      </c>
      <c r="M140" s="18" t="s">
        <v>109</v>
      </c>
      <c r="N140" s="18"/>
      <c r="O140" s="18"/>
      <c r="P140" s="18"/>
      <c r="Q140" s="18" t="s">
        <v>110</v>
      </c>
      <c r="R140" s="18" t="s">
        <v>762</v>
      </c>
      <c r="S140" s="18" t="s">
        <v>112</v>
      </c>
      <c r="T140" s="18" t="s">
        <v>113</v>
      </c>
      <c r="U140" s="18"/>
      <c r="V140" s="19" t="s">
        <v>29</v>
      </c>
      <c r="W140" s="19"/>
      <c r="X140" s="19"/>
      <c r="Y140" s="20"/>
      <c r="Z140" s="19"/>
      <c r="AA140" s="18" t="str">
        <f aca="false">IF(OR(V140="Aprobada"),R140,IF(AND(OR(V140="Aprobada con ajuste",V140="Rechazada"),W140&lt;&gt;""),W140,""))</f>
        <v/>
      </c>
    </row>
    <row r="141" customFormat="false" ht="22.35" hidden="false" customHeight="false" outlineLevel="0" collapsed="false">
      <c r="A141" s="18" t="s">
        <v>763</v>
      </c>
      <c r="B141" s="18" t="s">
        <v>58</v>
      </c>
      <c r="C141" s="18" t="s">
        <v>59</v>
      </c>
      <c r="D141" s="18" t="s">
        <v>756</v>
      </c>
      <c r="E141" s="18" t="n">
        <v>2</v>
      </c>
      <c r="F141" s="18" t="s">
        <v>764</v>
      </c>
      <c r="G141" s="18" t="s">
        <v>116</v>
      </c>
      <c r="H141" s="18" t="s">
        <v>117</v>
      </c>
      <c r="I141" s="18"/>
      <c r="J141" s="18"/>
      <c r="K141" s="18"/>
      <c r="L141" s="18" t="s">
        <v>109</v>
      </c>
      <c r="M141" s="18" t="s">
        <v>109</v>
      </c>
      <c r="N141" s="18"/>
      <c r="O141" s="18"/>
      <c r="P141" s="18"/>
      <c r="Q141" s="18" t="s">
        <v>134</v>
      </c>
      <c r="R141" s="18" t="s">
        <v>765</v>
      </c>
      <c r="S141" s="18" t="s">
        <v>112</v>
      </c>
      <c r="T141" s="18" t="s">
        <v>766</v>
      </c>
      <c r="U141" s="18" t="s">
        <v>767</v>
      </c>
      <c r="V141" s="19" t="s">
        <v>29</v>
      </c>
      <c r="W141" s="19"/>
      <c r="X141" s="19"/>
      <c r="Y141" s="20"/>
      <c r="Z141" s="19"/>
      <c r="AA141" s="18" t="str">
        <f aca="false">IF(OR(V141="Aprobada"),R141,IF(AND(OR(V141="Aprobada con ajuste",V141="Rechazada"),W141&lt;&gt;""),W141,""))</f>
        <v/>
      </c>
    </row>
    <row r="142" customFormat="false" ht="22.35" hidden="false" customHeight="false" outlineLevel="0" collapsed="false">
      <c r="A142" s="18" t="s">
        <v>768</v>
      </c>
      <c r="B142" s="18" t="s">
        <v>58</v>
      </c>
      <c r="C142" s="18" t="s">
        <v>59</v>
      </c>
      <c r="D142" s="18" t="s">
        <v>756</v>
      </c>
      <c r="E142" s="18" t="n">
        <v>2</v>
      </c>
      <c r="F142" s="18" t="s">
        <v>769</v>
      </c>
      <c r="G142" s="18" t="s">
        <v>116</v>
      </c>
      <c r="H142" s="18" t="s">
        <v>117</v>
      </c>
      <c r="I142" s="18"/>
      <c r="J142" s="18"/>
      <c r="K142" s="18"/>
      <c r="L142" s="18" t="s">
        <v>109</v>
      </c>
      <c r="M142" s="18" t="s">
        <v>109</v>
      </c>
      <c r="N142" s="18"/>
      <c r="O142" s="18"/>
      <c r="P142" s="18"/>
      <c r="Q142" s="18" t="s">
        <v>134</v>
      </c>
      <c r="R142" s="18" t="s">
        <v>770</v>
      </c>
      <c r="S142" s="18" t="s">
        <v>112</v>
      </c>
      <c r="T142" s="18" t="s">
        <v>225</v>
      </c>
      <c r="U142" s="18" t="s">
        <v>771</v>
      </c>
      <c r="V142" s="19" t="s">
        <v>29</v>
      </c>
      <c r="W142" s="19"/>
      <c r="X142" s="19"/>
      <c r="Y142" s="20"/>
      <c r="Z142" s="19"/>
      <c r="AA142" s="18" t="str">
        <f aca="false">IF(OR(V142="Aprobada"),R142,IF(AND(OR(V142="Aprobada con ajuste",V142="Rechazada"),W142&lt;&gt;""),W142,""))</f>
        <v/>
      </c>
    </row>
    <row r="143" customFormat="false" ht="53.7" hidden="false" customHeight="false" outlineLevel="0" collapsed="false">
      <c r="A143" s="18" t="s">
        <v>772</v>
      </c>
      <c r="B143" s="18" t="s">
        <v>58</v>
      </c>
      <c r="C143" s="18" t="s">
        <v>59</v>
      </c>
      <c r="D143" s="18" t="s">
        <v>756</v>
      </c>
      <c r="E143" s="18" t="n">
        <v>2</v>
      </c>
      <c r="F143" s="18" t="s">
        <v>107</v>
      </c>
      <c r="G143" s="18" t="s">
        <v>116</v>
      </c>
      <c r="H143" s="18" t="s">
        <v>109</v>
      </c>
      <c r="I143" s="18"/>
      <c r="J143" s="18"/>
      <c r="K143" s="18"/>
      <c r="L143" s="18" t="s">
        <v>109</v>
      </c>
      <c r="M143" s="18" t="s">
        <v>117</v>
      </c>
      <c r="N143" s="18" t="s">
        <v>554</v>
      </c>
      <c r="O143" s="18"/>
      <c r="P143" s="18"/>
      <c r="Q143" s="18" t="s">
        <v>110</v>
      </c>
      <c r="R143" s="18" t="s">
        <v>773</v>
      </c>
      <c r="S143" s="18" t="s">
        <v>112</v>
      </c>
      <c r="T143" s="18" t="s">
        <v>113</v>
      </c>
      <c r="U143" s="18"/>
      <c r="V143" s="19" t="s">
        <v>29</v>
      </c>
      <c r="W143" s="19"/>
      <c r="X143" s="19"/>
      <c r="Y143" s="20"/>
      <c r="Z143" s="19"/>
      <c r="AA143" s="18" t="str">
        <f aca="false">IF(OR(V143="Aprobada"),R143,IF(AND(OR(V143="Aprobada con ajuste",V143="Rechazada"),W143&lt;&gt;""),W143,""))</f>
        <v/>
      </c>
    </row>
    <row r="144" customFormat="false" ht="22.35" hidden="false" customHeight="false" outlineLevel="0" collapsed="false">
      <c r="A144" s="18" t="s">
        <v>774</v>
      </c>
      <c r="B144" s="18" t="s">
        <v>58</v>
      </c>
      <c r="C144" s="18" t="s">
        <v>59</v>
      </c>
      <c r="D144" s="18" t="s">
        <v>756</v>
      </c>
      <c r="E144" s="18" t="n">
        <v>2</v>
      </c>
      <c r="F144" s="18" t="s">
        <v>775</v>
      </c>
      <c r="G144" s="18" t="s">
        <v>139</v>
      </c>
      <c r="H144" s="18" t="s">
        <v>109</v>
      </c>
      <c r="I144" s="18"/>
      <c r="J144" s="18"/>
      <c r="K144" s="18"/>
      <c r="L144" s="18" t="s">
        <v>109</v>
      </c>
      <c r="M144" s="18" t="s">
        <v>109</v>
      </c>
      <c r="N144" s="18"/>
      <c r="O144" s="18"/>
      <c r="P144" s="18"/>
      <c r="Q144" s="18" t="s">
        <v>134</v>
      </c>
      <c r="R144" s="18" t="s">
        <v>776</v>
      </c>
      <c r="S144" s="18" t="s">
        <v>125</v>
      </c>
      <c r="T144" s="18" t="s">
        <v>577</v>
      </c>
      <c r="U144" s="18"/>
      <c r="V144" s="19" t="s">
        <v>29</v>
      </c>
      <c r="W144" s="19"/>
      <c r="X144" s="19"/>
      <c r="Y144" s="20"/>
      <c r="Z144" s="19"/>
      <c r="AA144" s="18" t="str">
        <f aca="false">IF(OR(V144="Aprobada"),R144,IF(AND(OR(V144="Aprobada con ajuste",V144="Rechazada"),W144&lt;&gt;""),W144,""))</f>
        <v/>
      </c>
    </row>
    <row r="145" customFormat="false" ht="22.35" hidden="false" customHeight="false" outlineLevel="0" collapsed="false">
      <c r="A145" s="18" t="s">
        <v>777</v>
      </c>
      <c r="B145" s="18" t="s">
        <v>58</v>
      </c>
      <c r="C145" s="18" t="s">
        <v>59</v>
      </c>
      <c r="D145" s="18" t="s">
        <v>756</v>
      </c>
      <c r="E145" s="18" t="n">
        <v>2</v>
      </c>
      <c r="F145" s="18" t="s">
        <v>778</v>
      </c>
      <c r="G145" s="18" t="s">
        <v>116</v>
      </c>
      <c r="H145" s="18" t="s">
        <v>117</v>
      </c>
      <c r="I145" s="18"/>
      <c r="J145" s="18"/>
      <c r="K145" s="18"/>
      <c r="L145" s="18" t="s">
        <v>109</v>
      </c>
      <c r="M145" s="18" t="s">
        <v>109</v>
      </c>
      <c r="N145" s="18"/>
      <c r="O145" s="18"/>
      <c r="P145" s="18"/>
      <c r="Q145" s="18" t="s">
        <v>134</v>
      </c>
      <c r="R145" s="18" t="s">
        <v>779</v>
      </c>
      <c r="S145" s="18" t="s">
        <v>125</v>
      </c>
      <c r="T145" s="18" t="s">
        <v>129</v>
      </c>
      <c r="U145" s="18"/>
      <c r="V145" s="19" t="s">
        <v>29</v>
      </c>
      <c r="W145" s="19"/>
      <c r="X145" s="19"/>
      <c r="Y145" s="20"/>
      <c r="Z145" s="19"/>
      <c r="AA145" s="18" t="str">
        <f aca="false">IF(OR(V145="Aprobada"),R145,IF(AND(OR(V145="Aprobada con ajuste",V145="Rechazada"),W145&lt;&gt;""),W145,""))</f>
        <v/>
      </c>
    </row>
    <row r="146" customFormat="false" ht="22.35" hidden="false" customHeight="false" outlineLevel="0" collapsed="false">
      <c r="A146" s="18" t="s">
        <v>780</v>
      </c>
      <c r="B146" s="18" t="s">
        <v>58</v>
      </c>
      <c r="C146" s="18" t="s">
        <v>59</v>
      </c>
      <c r="D146" s="18" t="s">
        <v>756</v>
      </c>
      <c r="E146" s="18" t="n">
        <v>2</v>
      </c>
      <c r="F146" s="18" t="s">
        <v>781</v>
      </c>
      <c r="G146" s="18" t="s">
        <v>139</v>
      </c>
      <c r="H146" s="18" t="s">
        <v>109</v>
      </c>
      <c r="I146" s="18"/>
      <c r="J146" s="18"/>
      <c r="K146" s="18"/>
      <c r="L146" s="18" t="s">
        <v>109</v>
      </c>
      <c r="M146" s="18" t="s">
        <v>109</v>
      </c>
      <c r="N146" s="18"/>
      <c r="O146" s="18"/>
      <c r="P146" s="18"/>
      <c r="Q146" s="18" t="s">
        <v>134</v>
      </c>
      <c r="R146" s="18" t="s">
        <v>782</v>
      </c>
      <c r="S146" s="18" t="s">
        <v>125</v>
      </c>
      <c r="T146" s="18" t="s">
        <v>783</v>
      </c>
      <c r="U146" s="18"/>
      <c r="V146" s="19" t="s">
        <v>29</v>
      </c>
      <c r="W146" s="19"/>
      <c r="X146" s="19"/>
      <c r="Y146" s="20"/>
      <c r="Z146" s="19"/>
      <c r="AA146" s="18" t="str">
        <f aca="false">IF(OR(V146="Aprobada"),R146,IF(AND(OR(V146="Aprobada con ajuste",V146="Rechazada"),W146&lt;&gt;""),W146,""))</f>
        <v/>
      </c>
    </row>
    <row r="147" customFormat="false" ht="22.35" hidden="false" customHeight="false" outlineLevel="0" collapsed="false">
      <c r="A147" s="18" t="s">
        <v>784</v>
      </c>
      <c r="B147" s="18" t="s">
        <v>58</v>
      </c>
      <c r="C147" s="18" t="s">
        <v>59</v>
      </c>
      <c r="D147" s="18" t="s">
        <v>756</v>
      </c>
      <c r="E147" s="18" t="n">
        <v>2</v>
      </c>
      <c r="F147" s="18" t="s">
        <v>785</v>
      </c>
      <c r="G147" s="18" t="s">
        <v>116</v>
      </c>
      <c r="H147" s="18" t="s">
        <v>117</v>
      </c>
      <c r="I147" s="18"/>
      <c r="J147" s="18"/>
      <c r="K147" s="18"/>
      <c r="L147" s="18" t="s">
        <v>109</v>
      </c>
      <c r="M147" s="18" t="s">
        <v>109</v>
      </c>
      <c r="N147" s="18"/>
      <c r="O147" s="18"/>
      <c r="P147" s="18"/>
      <c r="Q147" s="18" t="s">
        <v>134</v>
      </c>
      <c r="R147" s="18" t="s">
        <v>786</v>
      </c>
      <c r="S147" s="18" t="s">
        <v>125</v>
      </c>
      <c r="T147" s="18" t="s">
        <v>787</v>
      </c>
      <c r="U147" s="18"/>
      <c r="V147" s="19" t="s">
        <v>29</v>
      </c>
      <c r="W147" s="19"/>
      <c r="X147" s="19"/>
      <c r="Y147" s="20"/>
      <c r="Z147" s="19"/>
      <c r="AA147" s="18" t="str">
        <f aca="false">IF(OR(V147="Aprobada"),R147,IF(AND(OR(V147="Aprobada con ajuste",V147="Rechazada"),W147&lt;&gt;""),W147,""))</f>
        <v/>
      </c>
    </row>
    <row r="148" customFormat="false" ht="22.35" hidden="false" customHeight="false" outlineLevel="0" collapsed="false">
      <c r="A148" s="18" t="s">
        <v>788</v>
      </c>
      <c r="B148" s="18" t="s">
        <v>58</v>
      </c>
      <c r="C148" s="18" t="s">
        <v>59</v>
      </c>
      <c r="D148" s="18" t="s">
        <v>756</v>
      </c>
      <c r="E148" s="18" t="n">
        <v>2</v>
      </c>
      <c r="F148" s="18" t="s">
        <v>789</v>
      </c>
      <c r="G148" s="18" t="s">
        <v>116</v>
      </c>
      <c r="H148" s="18" t="s">
        <v>117</v>
      </c>
      <c r="I148" s="18"/>
      <c r="J148" s="18"/>
      <c r="K148" s="18"/>
      <c r="L148" s="18" t="s">
        <v>109</v>
      </c>
      <c r="M148" s="18" t="s">
        <v>109</v>
      </c>
      <c r="N148" s="18"/>
      <c r="O148" s="18"/>
      <c r="P148" s="18"/>
      <c r="Q148" s="18" t="s">
        <v>134</v>
      </c>
      <c r="R148" s="18" t="s">
        <v>790</v>
      </c>
      <c r="S148" s="18" t="s">
        <v>125</v>
      </c>
      <c r="T148" s="18" t="s">
        <v>791</v>
      </c>
      <c r="U148" s="18"/>
      <c r="V148" s="19" t="s">
        <v>29</v>
      </c>
      <c r="W148" s="19"/>
      <c r="X148" s="19"/>
      <c r="Y148" s="20"/>
      <c r="Z148" s="19"/>
      <c r="AA148" s="18" t="str">
        <f aca="false">IF(OR(V148="Aprobada"),R148,IF(AND(OR(V148="Aprobada con ajuste",V148="Rechazada"),W148&lt;&gt;""),W148,""))</f>
        <v/>
      </c>
    </row>
    <row r="149" customFormat="false" ht="22.35" hidden="false" customHeight="false" outlineLevel="0" collapsed="false">
      <c r="A149" s="18" t="s">
        <v>792</v>
      </c>
      <c r="B149" s="18" t="s">
        <v>58</v>
      </c>
      <c r="C149" s="18" t="s">
        <v>59</v>
      </c>
      <c r="D149" s="18" t="s">
        <v>793</v>
      </c>
      <c r="E149" s="18" t="n">
        <v>9141</v>
      </c>
      <c r="F149" s="18" t="s">
        <v>794</v>
      </c>
      <c r="G149" s="18" t="s">
        <v>116</v>
      </c>
      <c r="H149" s="18" t="s">
        <v>109</v>
      </c>
      <c r="I149" s="18"/>
      <c r="J149" s="18"/>
      <c r="K149" s="18"/>
      <c r="L149" s="18" t="s">
        <v>109</v>
      </c>
      <c r="M149" s="18" t="s">
        <v>109</v>
      </c>
      <c r="N149" s="18"/>
      <c r="O149" s="18" t="s">
        <v>795</v>
      </c>
      <c r="P149" s="18"/>
      <c r="Q149" s="18" t="s">
        <v>134</v>
      </c>
      <c r="R149" s="18" t="s">
        <v>796</v>
      </c>
      <c r="S149" s="18" t="s">
        <v>125</v>
      </c>
      <c r="T149" s="18" t="s">
        <v>797</v>
      </c>
      <c r="U149" s="18"/>
      <c r="V149" s="19" t="s">
        <v>29</v>
      </c>
      <c r="W149" s="19"/>
      <c r="X149" s="19"/>
      <c r="Y149" s="20"/>
      <c r="Z149" s="19"/>
      <c r="AA149" s="18" t="str">
        <f aca="false">IF(OR(V149="Aprobada"),R149,IF(AND(OR(V149="Aprobada con ajuste",V149="Rechazada"),W149&lt;&gt;""),W149,""))</f>
        <v/>
      </c>
    </row>
    <row r="150" customFormat="false" ht="22.35" hidden="false" customHeight="false" outlineLevel="0" collapsed="false">
      <c r="A150" s="18" t="s">
        <v>798</v>
      </c>
      <c r="B150" s="18" t="s">
        <v>58</v>
      </c>
      <c r="C150" s="18" t="s">
        <v>59</v>
      </c>
      <c r="D150" s="18" t="s">
        <v>793</v>
      </c>
      <c r="E150" s="18" t="n">
        <v>9141</v>
      </c>
      <c r="F150" s="18" t="s">
        <v>799</v>
      </c>
      <c r="G150" s="18" t="s">
        <v>800</v>
      </c>
      <c r="H150" s="18" t="s">
        <v>109</v>
      </c>
      <c r="I150" s="18"/>
      <c r="J150" s="18"/>
      <c r="K150" s="18"/>
      <c r="L150" s="18" t="s">
        <v>109</v>
      </c>
      <c r="M150" s="18" t="s">
        <v>109</v>
      </c>
      <c r="N150" s="18"/>
      <c r="O150" s="18"/>
      <c r="P150" s="18"/>
      <c r="Q150" s="18" t="s">
        <v>134</v>
      </c>
      <c r="R150" s="18" t="s">
        <v>801</v>
      </c>
      <c r="S150" s="18" t="s">
        <v>125</v>
      </c>
      <c r="T150" s="18" t="s">
        <v>802</v>
      </c>
      <c r="U150" s="18"/>
      <c r="V150" s="19" t="s">
        <v>29</v>
      </c>
      <c r="W150" s="19"/>
      <c r="X150" s="19"/>
      <c r="Y150" s="20"/>
      <c r="Z150" s="19"/>
      <c r="AA150" s="18" t="str">
        <f aca="false">IF(OR(V150="Aprobada"),R150,IF(AND(OR(V150="Aprobada con ajuste",V150="Rechazada"),W150&lt;&gt;""),W150,""))</f>
        <v/>
      </c>
    </row>
    <row r="151" customFormat="false" ht="22.35" hidden="false" customHeight="false" outlineLevel="0" collapsed="false">
      <c r="A151" s="18" t="s">
        <v>803</v>
      </c>
      <c r="B151" s="18" t="s">
        <v>58</v>
      </c>
      <c r="C151" s="18" t="s">
        <v>59</v>
      </c>
      <c r="D151" s="18" t="s">
        <v>793</v>
      </c>
      <c r="E151" s="18" t="n">
        <v>9141</v>
      </c>
      <c r="F151" s="18" t="s">
        <v>804</v>
      </c>
      <c r="G151" s="18" t="s">
        <v>116</v>
      </c>
      <c r="H151" s="18" t="s">
        <v>109</v>
      </c>
      <c r="I151" s="18"/>
      <c r="J151" s="18"/>
      <c r="K151" s="18"/>
      <c r="L151" s="18" t="s">
        <v>109</v>
      </c>
      <c r="M151" s="18" t="s">
        <v>109</v>
      </c>
      <c r="N151" s="18"/>
      <c r="O151" s="18"/>
      <c r="P151" s="18"/>
      <c r="Q151" s="18" t="s">
        <v>134</v>
      </c>
      <c r="R151" s="18" t="s">
        <v>805</v>
      </c>
      <c r="S151" s="18" t="s">
        <v>125</v>
      </c>
      <c r="T151" s="18" t="s">
        <v>225</v>
      </c>
      <c r="U151" s="18"/>
      <c r="V151" s="19" t="s">
        <v>29</v>
      </c>
      <c r="W151" s="19"/>
      <c r="X151" s="19"/>
      <c r="Y151" s="20"/>
      <c r="Z151" s="19"/>
      <c r="AA151" s="18" t="str">
        <f aca="false">IF(OR(V151="Aprobada"),R151,IF(AND(OR(V151="Aprobada con ajuste",V151="Rechazada"),W151&lt;&gt;""),W151,""))</f>
        <v/>
      </c>
    </row>
    <row r="152" customFormat="false" ht="22.35" hidden="false" customHeight="false" outlineLevel="0" collapsed="false">
      <c r="A152" s="18" t="s">
        <v>806</v>
      </c>
      <c r="B152" s="18" t="s">
        <v>58</v>
      </c>
      <c r="C152" s="18" t="s">
        <v>59</v>
      </c>
      <c r="D152" s="18" t="s">
        <v>793</v>
      </c>
      <c r="E152" s="18" t="n">
        <v>9141</v>
      </c>
      <c r="F152" s="18" t="s">
        <v>807</v>
      </c>
      <c r="G152" s="18" t="s">
        <v>116</v>
      </c>
      <c r="H152" s="18" t="s">
        <v>117</v>
      </c>
      <c r="I152" s="18"/>
      <c r="J152" s="18"/>
      <c r="K152" s="18"/>
      <c r="L152" s="18" t="s">
        <v>109</v>
      </c>
      <c r="M152" s="18" t="s">
        <v>109</v>
      </c>
      <c r="N152" s="18"/>
      <c r="O152" s="18" t="s">
        <v>808</v>
      </c>
      <c r="P152" s="18"/>
      <c r="Q152" s="18" t="s">
        <v>134</v>
      </c>
      <c r="R152" s="18" t="s">
        <v>809</v>
      </c>
      <c r="S152" s="18" t="s">
        <v>112</v>
      </c>
      <c r="T152" s="18" t="s">
        <v>540</v>
      </c>
      <c r="U152" s="18" t="s">
        <v>810</v>
      </c>
      <c r="V152" s="19" t="s">
        <v>29</v>
      </c>
      <c r="W152" s="19"/>
      <c r="X152" s="19"/>
      <c r="Y152" s="20"/>
      <c r="Z152" s="19"/>
      <c r="AA152" s="18" t="str">
        <f aca="false">IF(OR(V152="Aprobada"),R152,IF(AND(OR(V152="Aprobada con ajuste",V152="Rechazada"),W152&lt;&gt;""),W152,""))</f>
        <v/>
      </c>
    </row>
    <row r="153" customFormat="false" ht="22.35" hidden="false" customHeight="false" outlineLevel="0" collapsed="false">
      <c r="A153" s="18" t="s">
        <v>811</v>
      </c>
      <c r="B153" s="18" t="s">
        <v>58</v>
      </c>
      <c r="C153" s="18" t="s">
        <v>59</v>
      </c>
      <c r="D153" s="18" t="s">
        <v>793</v>
      </c>
      <c r="E153" s="18" t="n">
        <v>9141</v>
      </c>
      <c r="F153" s="18" t="s">
        <v>812</v>
      </c>
      <c r="G153" s="18" t="s">
        <v>800</v>
      </c>
      <c r="H153" s="18" t="s">
        <v>109</v>
      </c>
      <c r="I153" s="18"/>
      <c r="J153" s="18"/>
      <c r="K153" s="18"/>
      <c r="L153" s="18" t="s">
        <v>109</v>
      </c>
      <c r="M153" s="18" t="s">
        <v>109</v>
      </c>
      <c r="N153" s="18"/>
      <c r="O153" s="18" t="s">
        <v>813</v>
      </c>
      <c r="P153" s="18"/>
      <c r="Q153" s="18" t="s">
        <v>134</v>
      </c>
      <c r="R153" s="18" t="s">
        <v>814</v>
      </c>
      <c r="S153" s="18" t="s">
        <v>125</v>
      </c>
      <c r="T153" s="18" t="s">
        <v>815</v>
      </c>
      <c r="U153" s="18"/>
      <c r="V153" s="19" t="s">
        <v>29</v>
      </c>
      <c r="W153" s="19"/>
      <c r="X153" s="19"/>
      <c r="Y153" s="20"/>
      <c r="Z153" s="19"/>
      <c r="AA153" s="18" t="str">
        <f aca="false">IF(OR(V153="Aprobada"),R153,IF(AND(OR(V153="Aprobada con ajuste",V153="Rechazada"),W153&lt;&gt;""),W153,""))</f>
        <v/>
      </c>
    </row>
    <row r="154" customFormat="false" ht="22.35" hidden="false" customHeight="false" outlineLevel="0" collapsed="false">
      <c r="A154" s="18" t="s">
        <v>816</v>
      </c>
      <c r="B154" s="18" t="s">
        <v>58</v>
      </c>
      <c r="C154" s="18" t="s">
        <v>59</v>
      </c>
      <c r="D154" s="18" t="s">
        <v>793</v>
      </c>
      <c r="E154" s="18" t="n">
        <v>9141</v>
      </c>
      <c r="F154" s="18" t="s">
        <v>817</v>
      </c>
      <c r="G154" s="18" t="s">
        <v>800</v>
      </c>
      <c r="H154" s="18" t="s">
        <v>109</v>
      </c>
      <c r="I154" s="18"/>
      <c r="J154" s="18"/>
      <c r="K154" s="18"/>
      <c r="L154" s="18" t="s">
        <v>109</v>
      </c>
      <c r="M154" s="18" t="s">
        <v>109</v>
      </c>
      <c r="N154" s="18"/>
      <c r="O154" s="18"/>
      <c r="P154" s="18"/>
      <c r="Q154" s="18" t="s">
        <v>134</v>
      </c>
      <c r="R154" s="18" t="s">
        <v>818</v>
      </c>
      <c r="S154" s="18" t="s">
        <v>125</v>
      </c>
      <c r="T154" s="18" t="s">
        <v>802</v>
      </c>
      <c r="U154" s="18"/>
      <c r="V154" s="19" t="s">
        <v>29</v>
      </c>
      <c r="W154" s="19"/>
      <c r="X154" s="19"/>
      <c r="Y154" s="20"/>
      <c r="Z154" s="19"/>
      <c r="AA154" s="18" t="str">
        <f aca="false">IF(OR(V154="Aprobada"),R154,IF(AND(OR(V154="Aprobada con ajuste",V154="Rechazada"),W154&lt;&gt;""),W154,""))</f>
        <v/>
      </c>
    </row>
    <row r="155" customFormat="false" ht="22.35" hidden="false" customHeight="false" outlineLevel="0" collapsed="false">
      <c r="A155" s="18" t="s">
        <v>819</v>
      </c>
      <c r="B155" s="18" t="s">
        <v>58</v>
      </c>
      <c r="C155" s="18" t="s">
        <v>59</v>
      </c>
      <c r="D155" s="18" t="s">
        <v>793</v>
      </c>
      <c r="E155" s="18" t="n">
        <v>9141</v>
      </c>
      <c r="F155" s="18" t="s">
        <v>820</v>
      </c>
      <c r="G155" s="18" t="s">
        <v>116</v>
      </c>
      <c r="H155" s="18" t="s">
        <v>109</v>
      </c>
      <c r="I155" s="18" t="s">
        <v>140</v>
      </c>
      <c r="J155" s="18" t="s">
        <v>821</v>
      </c>
      <c r="K155" s="18"/>
      <c r="L155" s="18" t="s">
        <v>117</v>
      </c>
      <c r="M155" s="18" t="s">
        <v>109</v>
      </c>
      <c r="N155" s="18"/>
      <c r="O155" s="18"/>
      <c r="P155" s="18"/>
      <c r="Q155" s="18" t="s">
        <v>134</v>
      </c>
      <c r="R155" s="18" t="s">
        <v>822</v>
      </c>
      <c r="S155" s="18" t="s">
        <v>125</v>
      </c>
      <c r="T155" s="18" t="s">
        <v>246</v>
      </c>
      <c r="U155" s="18"/>
      <c r="V155" s="19" t="s">
        <v>29</v>
      </c>
      <c r="W155" s="19"/>
      <c r="X155" s="19"/>
      <c r="Y155" s="20"/>
      <c r="Z155" s="19"/>
      <c r="AA155" s="18" t="str">
        <f aca="false">IF(OR(V155="Aprobada"),R155,IF(AND(OR(V155="Aprobada con ajuste",V155="Rechazada"),W155&lt;&gt;""),W155,""))</f>
        <v/>
      </c>
    </row>
    <row r="156" customFormat="false" ht="22.35" hidden="false" customHeight="false" outlineLevel="0" collapsed="false">
      <c r="A156" s="18" t="s">
        <v>823</v>
      </c>
      <c r="B156" s="18" t="s">
        <v>58</v>
      </c>
      <c r="C156" s="18" t="s">
        <v>59</v>
      </c>
      <c r="D156" s="18" t="s">
        <v>793</v>
      </c>
      <c r="E156" s="18" t="n">
        <v>9141</v>
      </c>
      <c r="F156" s="18" t="s">
        <v>824</v>
      </c>
      <c r="G156" s="18" t="s">
        <v>116</v>
      </c>
      <c r="H156" s="18" t="s">
        <v>117</v>
      </c>
      <c r="I156" s="18"/>
      <c r="J156" s="18"/>
      <c r="K156" s="18"/>
      <c r="L156" s="18" t="s">
        <v>109</v>
      </c>
      <c r="M156" s="18" t="s">
        <v>109</v>
      </c>
      <c r="N156" s="18"/>
      <c r="O156" s="18"/>
      <c r="P156" s="18"/>
      <c r="Q156" s="18" t="s">
        <v>110</v>
      </c>
      <c r="R156" s="18" t="s">
        <v>825</v>
      </c>
      <c r="S156" s="18" t="s">
        <v>112</v>
      </c>
      <c r="T156" s="18" t="s">
        <v>113</v>
      </c>
      <c r="U156" s="18"/>
      <c r="V156" s="19" t="s">
        <v>29</v>
      </c>
      <c r="W156" s="19"/>
      <c r="X156" s="19"/>
      <c r="Y156" s="20"/>
      <c r="Z156" s="19"/>
      <c r="AA156" s="18" t="str">
        <f aca="false">IF(OR(V156="Aprobada"),R156,IF(AND(OR(V156="Aprobada con ajuste",V156="Rechazada"),W156&lt;&gt;""),W156,""))</f>
        <v/>
      </c>
    </row>
    <row r="157" customFormat="false" ht="32.8" hidden="false" customHeight="false" outlineLevel="0" collapsed="false">
      <c r="A157" s="18" t="s">
        <v>826</v>
      </c>
      <c r="B157" s="18" t="s">
        <v>58</v>
      </c>
      <c r="C157" s="18" t="s">
        <v>59</v>
      </c>
      <c r="D157" s="18" t="s">
        <v>827</v>
      </c>
      <c r="E157" s="18" t="n">
        <v>0</v>
      </c>
      <c r="F157" s="18" t="s">
        <v>828</v>
      </c>
      <c r="G157" s="18" t="s">
        <v>116</v>
      </c>
      <c r="H157" s="18" t="s">
        <v>109</v>
      </c>
      <c r="I157" s="18"/>
      <c r="J157" s="18"/>
      <c r="K157" s="18"/>
      <c r="L157" s="18" t="s">
        <v>109</v>
      </c>
      <c r="M157" s="18" t="s">
        <v>109</v>
      </c>
      <c r="N157" s="18"/>
      <c r="O157" s="18"/>
      <c r="P157" s="18" t="s">
        <v>829</v>
      </c>
      <c r="Q157" s="18" t="s">
        <v>134</v>
      </c>
      <c r="R157" s="18" t="s">
        <v>830</v>
      </c>
      <c r="S157" s="18" t="s">
        <v>125</v>
      </c>
      <c r="T157" s="18" t="s">
        <v>831</v>
      </c>
      <c r="U157" s="18"/>
      <c r="V157" s="19" t="s">
        <v>29</v>
      </c>
      <c r="W157" s="19"/>
      <c r="X157" s="19"/>
      <c r="Y157" s="20"/>
      <c r="Z157" s="19"/>
      <c r="AA157" s="18" t="str">
        <f aca="false">IF(OR(V157="Aprobada"),R157,IF(AND(OR(V157="Aprobada con ajuste",V157="Rechazada"),W157&lt;&gt;""),W157,""))</f>
        <v/>
      </c>
    </row>
    <row r="158" customFormat="false" ht="32.8" hidden="false" customHeight="false" outlineLevel="0" collapsed="false">
      <c r="A158" s="18" t="s">
        <v>832</v>
      </c>
      <c r="B158" s="18" t="s">
        <v>58</v>
      </c>
      <c r="C158" s="18" t="s">
        <v>59</v>
      </c>
      <c r="D158" s="18" t="s">
        <v>827</v>
      </c>
      <c r="E158" s="18" t="n">
        <v>0</v>
      </c>
      <c r="F158" s="18" t="s">
        <v>833</v>
      </c>
      <c r="G158" s="18" t="s">
        <v>116</v>
      </c>
      <c r="H158" s="18" t="s">
        <v>117</v>
      </c>
      <c r="I158" s="18"/>
      <c r="J158" s="18"/>
      <c r="K158" s="18"/>
      <c r="L158" s="18" t="s">
        <v>109</v>
      </c>
      <c r="M158" s="18" t="s">
        <v>109</v>
      </c>
      <c r="N158" s="18"/>
      <c r="O158" s="18"/>
      <c r="P158" s="18" t="s">
        <v>834</v>
      </c>
      <c r="Q158" s="18" t="s">
        <v>134</v>
      </c>
      <c r="R158" s="18" t="s">
        <v>835</v>
      </c>
      <c r="S158" s="18" t="s">
        <v>112</v>
      </c>
      <c r="T158" s="18" t="s">
        <v>225</v>
      </c>
      <c r="U158" s="18" t="s">
        <v>836</v>
      </c>
      <c r="V158" s="19" t="s">
        <v>29</v>
      </c>
      <c r="W158" s="19"/>
      <c r="X158" s="19"/>
      <c r="Y158" s="20"/>
      <c r="Z158" s="19"/>
      <c r="AA158" s="18" t="str">
        <f aca="false">IF(OR(V158="Aprobada"),R158,IF(AND(OR(V158="Aprobada con ajuste",V158="Rechazada"),W158&lt;&gt;""),W158,""))</f>
        <v/>
      </c>
    </row>
    <row r="159" customFormat="false" ht="43.25" hidden="false" customHeight="false" outlineLevel="0" collapsed="false">
      <c r="A159" s="18" t="s">
        <v>837</v>
      </c>
      <c r="B159" s="18" t="s">
        <v>58</v>
      </c>
      <c r="C159" s="18" t="s">
        <v>59</v>
      </c>
      <c r="D159" s="18" t="s">
        <v>827</v>
      </c>
      <c r="E159" s="18" t="n">
        <v>0</v>
      </c>
      <c r="F159" s="18" t="s">
        <v>838</v>
      </c>
      <c r="G159" s="18" t="s">
        <v>116</v>
      </c>
      <c r="H159" s="18" t="s">
        <v>109</v>
      </c>
      <c r="I159" s="18" t="s">
        <v>409</v>
      </c>
      <c r="J159" s="18"/>
      <c r="K159" s="18"/>
      <c r="L159" s="18" t="s">
        <v>109</v>
      </c>
      <c r="M159" s="18" t="s">
        <v>109</v>
      </c>
      <c r="N159" s="18"/>
      <c r="O159" s="18" t="s">
        <v>839</v>
      </c>
      <c r="P159" s="18" t="s">
        <v>840</v>
      </c>
      <c r="Q159" s="18" t="s">
        <v>134</v>
      </c>
      <c r="R159" s="18" t="s">
        <v>841</v>
      </c>
      <c r="S159" s="18" t="s">
        <v>125</v>
      </c>
      <c r="T159" s="18" t="s">
        <v>842</v>
      </c>
      <c r="U159" s="18"/>
      <c r="V159" s="19" t="s">
        <v>29</v>
      </c>
      <c r="W159" s="19"/>
      <c r="X159" s="19"/>
      <c r="Y159" s="20"/>
      <c r="Z159" s="19"/>
      <c r="AA159" s="18" t="str">
        <f aca="false">IF(OR(V159="Aprobada"),R159,IF(AND(OR(V159="Aprobada con ajuste",V159="Rechazada"),W159&lt;&gt;""),W159,""))</f>
        <v/>
      </c>
    </row>
    <row r="160" customFormat="false" ht="74.6" hidden="false" customHeight="false" outlineLevel="0" collapsed="false">
      <c r="A160" s="18" t="s">
        <v>843</v>
      </c>
      <c r="B160" s="18" t="s">
        <v>58</v>
      </c>
      <c r="C160" s="18" t="s">
        <v>59</v>
      </c>
      <c r="D160" s="18" t="s">
        <v>827</v>
      </c>
      <c r="E160" s="18" t="n">
        <v>0</v>
      </c>
      <c r="F160" s="18" t="s">
        <v>844</v>
      </c>
      <c r="G160" s="18" t="s">
        <v>116</v>
      </c>
      <c r="H160" s="18" t="s">
        <v>109</v>
      </c>
      <c r="I160" s="18"/>
      <c r="J160" s="18"/>
      <c r="K160" s="18"/>
      <c r="L160" s="18" t="s">
        <v>109</v>
      </c>
      <c r="M160" s="18" t="s">
        <v>109</v>
      </c>
      <c r="N160" s="18"/>
      <c r="O160" s="18"/>
      <c r="P160" s="18" t="s">
        <v>845</v>
      </c>
      <c r="Q160" s="18" t="s">
        <v>123</v>
      </c>
      <c r="R160" s="18" t="s">
        <v>846</v>
      </c>
      <c r="S160" s="18" t="s">
        <v>125</v>
      </c>
      <c r="T160" s="18" t="s">
        <v>847</v>
      </c>
      <c r="U160" s="18"/>
      <c r="V160" s="19" t="s">
        <v>29</v>
      </c>
      <c r="W160" s="19"/>
      <c r="X160" s="19"/>
      <c r="Y160" s="20"/>
      <c r="Z160" s="19"/>
      <c r="AA160" s="18" t="str">
        <f aca="false">IF(OR(V160="Aprobada"),R160,IF(AND(OR(V160="Aprobada con ajuste",V160="Rechazada"),W160&lt;&gt;""),W160,""))</f>
        <v/>
      </c>
    </row>
    <row r="161" customFormat="false" ht="22.35" hidden="false" customHeight="false" outlineLevel="0" collapsed="false">
      <c r="A161" s="18" t="s">
        <v>848</v>
      </c>
      <c r="B161" s="18" t="s">
        <v>58</v>
      </c>
      <c r="C161" s="18" t="s">
        <v>59</v>
      </c>
      <c r="D161" s="18" t="s">
        <v>827</v>
      </c>
      <c r="E161" s="18" t="n">
        <v>0</v>
      </c>
      <c r="F161" s="18" t="s">
        <v>312</v>
      </c>
      <c r="G161" s="18" t="s">
        <v>116</v>
      </c>
      <c r="H161" s="18" t="s">
        <v>117</v>
      </c>
      <c r="I161" s="18"/>
      <c r="J161" s="18"/>
      <c r="K161" s="18"/>
      <c r="L161" s="18" t="s">
        <v>109</v>
      </c>
      <c r="M161" s="18" t="s">
        <v>109</v>
      </c>
      <c r="N161" s="18"/>
      <c r="O161" s="18"/>
      <c r="P161" s="18" t="s">
        <v>849</v>
      </c>
      <c r="Q161" s="18" t="s">
        <v>134</v>
      </c>
      <c r="R161" s="18" t="s">
        <v>850</v>
      </c>
      <c r="S161" s="18" t="s">
        <v>125</v>
      </c>
      <c r="T161" s="18" t="s">
        <v>225</v>
      </c>
      <c r="U161" s="18"/>
      <c r="V161" s="19" t="s">
        <v>29</v>
      </c>
      <c r="W161" s="19"/>
      <c r="X161" s="19"/>
      <c r="Y161" s="20"/>
      <c r="Z161" s="19"/>
      <c r="AA161" s="18" t="str">
        <f aca="false">IF(OR(V161="Aprobada"),R161,IF(AND(OR(V161="Aprobada con ajuste",V161="Rechazada"),W161&lt;&gt;""),W161,""))</f>
        <v/>
      </c>
    </row>
    <row r="162" customFormat="false" ht="22.35" hidden="false" customHeight="false" outlineLevel="0" collapsed="false">
      <c r="A162" s="18" t="s">
        <v>851</v>
      </c>
      <c r="B162" s="18" t="s">
        <v>58</v>
      </c>
      <c r="C162" s="18" t="s">
        <v>59</v>
      </c>
      <c r="D162" s="18" t="s">
        <v>827</v>
      </c>
      <c r="E162" s="18" t="n">
        <v>0</v>
      </c>
      <c r="F162" s="18" t="s">
        <v>417</v>
      </c>
      <c r="G162" s="18" t="s">
        <v>184</v>
      </c>
      <c r="H162" s="18" t="s">
        <v>109</v>
      </c>
      <c r="I162" s="18" t="s">
        <v>140</v>
      </c>
      <c r="J162" s="18"/>
      <c r="K162" s="18"/>
      <c r="L162" s="18" t="s">
        <v>109</v>
      </c>
      <c r="M162" s="18" t="s">
        <v>109</v>
      </c>
      <c r="N162" s="18"/>
      <c r="O162" s="18"/>
      <c r="P162" s="18" t="s">
        <v>852</v>
      </c>
      <c r="Q162" s="18" t="s">
        <v>110</v>
      </c>
      <c r="R162" s="18" t="s">
        <v>418</v>
      </c>
      <c r="S162" s="18" t="s">
        <v>112</v>
      </c>
      <c r="T162" s="18" t="s">
        <v>113</v>
      </c>
      <c r="U162" s="18"/>
      <c r="V162" s="19" t="s">
        <v>29</v>
      </c>
      <c r="W162" s="19"/>
      <c r="X162" s="19"/>
      <c r="Y162" s="20"/>
      <c r="Z162" s="19"/>
      <c r="AA162" s="18" t="str">
        <f aca="false">IF(OR(V162="Aprobada"),R162,IF(AND(OR(V162="Aprobada con ajuste",V162="Rechazada"),W162&lt;&gt;""),W162,""))</f>
        <v/>
      </c>
    </row>
    <row r="163" customFormat="false" ht="22.35" hidden="false" customHeight="false" outlineLevel="0" collapsed="false">
      <c r="A163" s="18" t="s">
        <v>853</v>
      </c>
      <c r="B163" s="18" t="s">
        <v>58</v>
      </c>
      <c r="C163" s="18" t="s">
        <v>59</v>
      </c>
      <c r="D163" s="18" t="s">
        <v>827</v>
      </c>
      <c r="E163" s="18" t="n">
        <v>0</v>
      </c>
      <c r="F163" s="18" t="s">
        <v>393</v>
      </c>
      <c r="G163" s="18" t="s">
        <v>184</v>
      </c>
      <c r="H163" s="18" t="s">
        <v>109</v>
      </c>
      <c r="I163" s="18" t="s">
        <v>140</v>
      </c>
      <c r="J163" s="18"/>
      <c r="K163" s="18"/>
      <c r="L163" s="18" t="s">
        <v>109</v>
      </c>
      <c r="M163" s="18" t="s">
        <v>109</v>
      </c>
      <c r="N163" s="18"/>
      <c r="O163" s="18" t="s">
        <v>854</v>
      </c>
      <c r="P163" s="18" t="s">
        <v>855</v>
      </c>
      <c r="Q163" s="18" t="s">
        <v>110</v>
      </c>
      <c r="R163" s="18" t="s">
        <v>396</v>
      </c>
      <c r="S163" s="18" t="s">
        <v>112</v>
      </c>
      <c r="T163" s="18" t="s">
        <v>113</v>
      </c>
      <c r="U163" s="18"/>
      <c r="V163" s="19" t="s">
        <v>29</v>
      </c>
      <c r="W163" s="19"/>
      <c r="X163" s="19"/>
      <c r="Y163" s="20"/>
      <c r="Z163" s="19"/>
      <c r="AA163" s="18" t="str">
        <f aca="false">IF(OR(V163="Aprobada"),R163,IF(AND(OR(V163="Aprobada con ajuste",V163="Rechazada"),W163&lt;&gt;""),W163,""))</f>
        <v/>
      </c>
    </row>
    <row r="164" customFormat="false" ht="22.35" hidden="false" customHeight="false" outlineLevel="0" collapsed="false">
      <c r="A164" s="18" t="s">
        <v>856</v>
      </c>
      <c r="B164" s="18" t="s">
        <v>58</v>
      </c>
      <c r="C164" s="18" t="s">
        <v>59</v>
      </c>
      <c r="D164" s="18" t="s">
        <v>827</v>
      </c>
      <c r="E164" s="18" t="n">
        <v>0</v>
      </c>
      <c r="F164" s="18" t="s">
        <v>857</v>
      </c>
      <c r="G164" s="18" t="s">
        <v>145</v>
      </c>
      <c r="H164" s="18" t="s">
        <v>109</v>
      </c>
      <c r="I164" s="18"/>
      <c r="J164" s="18"/>
      <c r="K164" s="18"/>
      <c r="L164" s="18" t="s">
        <v>109</v>
      </c>
      <c r="M164" s="18" t="s">
        <v>109</v>
      </c>
      <c r="N164" s="18"/>
      <c r="O164" s="18" t="s">
        <v>854</v>
      </c>
      <c r="P164" s="18" t="s">
        <v>858</v>
      </c>
      <c r="Q164" s="18" t="s">
        <v>110</v>
      </c>
      <c r="R164" s="18" t="s">
        <v>859</v>
      </c>
      <c r="S164" s="18" t="s">
        <v>112</v>
      </c>
      <c r="T164" s="18" t="s">
        <v>113</v>
      </c>
      <c r="U164" s="18"/>
      <c r="V164" s="19" t="s">
        <v>29</v>
      </c>
      <c r="W164" s="19"/>
      <c r="X164" s="19"/>
      <c r="Y164" s="20"/>
      <c r="Z164" s="19"/>
      <c r="AA164" s="18" t="str">
        <f aca="false">IF(OR(V164="Aprobada"),R164,IF(AND(OR(V164="Aprobada con ajuste",V164="Rechazada"),W164&lt;&gt;""),W164,""))</f>
        <v/>
      </c>
    </row>
    <row r="165" customFormat="false" ht="32.8" hidden="false" customHeight="false" outlineLevel="0" collapsed="false">
      <c r="A165" s="18" t="s">
        <v>860</v>
      </c>
      <c r="B165" s="18" t="s">
        <v>58</v>
      </c>
      <c r="C165" s="18" t="s">
        <v>59</v>
      </c>
      <c r="D165" s="18" t="s">
        <v>827</v>
      </c>
      <c r="E165" s="18" t="n">
        <v>0</v>
      </c>
      <c r="F165" s="18" t="s">
        <v>861</v>
      </c>
      <c r="G165" s="18" t="s">
        <v>116</v>
      </c>
      <c r="H165" s="18" t="s">
        <v>109</v>
      </c>
      <c r="I165" s="18"/>
      <c r="J165" s="18"/>
      <c r="K165" s="18"/>
      <c r="L165" s="18" t="s">
        <v>109</v>
      </c>
      <c r="M165" s="18" t="s">
        <v>109</v>
      </c>
      <c r="N165" s="18"/>
      <c r="O165" s="18"/>
      <c r="P165" s="18" t="s">
        <v>862</v>
      </c>
      <c r="Q165" s="18" t="s">
        <v>134</v>
      </c>
      <c r="R165" s="18" t="s">
        <v>863</v>
      </c>
      <c r="S165" s="18" t="s">
        <v>125</v>
      </c>
      <c r="T165" s="18" t="s">
        <v>864</v>
      </c>
      <c r="U165" s="18"/>
      <c r="V165" s="19" t="s">
        <v>29</v>
      </c>
      <c r="W165" s="19"/>
      <c r="X165" s="19"/>
      <c r="Y165" s="20"/>
      <c r="Z165" s="19"/>
      <c r="AA165" s="18" t="str">
        <f aca="false">IF(OR(V165="Aprobada"),R165,IF(AND(OR(V165="Aprobada con ajuste",V165="Rechazada"),W165&lt;&gt;""),W165,""))</f>
        <v/>
      </c>
    </row>
    <row r="166" customFormat="false" ht="22.35" hidden="false" customHeight="false" outlineLevel="0" collapsed="false">
      <c r="A166" s="18" t="s">
        <v>865</v>
      </c>
      <c r="B166" s="18" t="s">
        <v>58</v>
      </c>
      <c r="C166" s="18" t="s">
        <v>59</v>
      </c>
      <c r="D166" s="18" t="s">
        <v>827</v>
      </c>
      <c r="E166" s="18" t="n">
        <v>0</v>
      </c>
      <c r="F166" s="18" t="s">
        <v>866</v>
      </c>
      <c r="G166" s="18" t="s">
        <v>184</v>
      </c>
      <c r="H166" s="18" t="s">
        <v>117</v>
      </c>
      <c r="I166" s="18"/>
      <c r="J166" s="18"/>
      <c r="K166" s="18"/>
      <c r="L166" s="18" t="s">
        <v>109</v>
      </c>
      <c r="M166" s="18" t="s">
        <v>109</v>
      </c>
      <c r="N166" s="18"/>
      <c r="O166" s="18"/>
      <c r="P166" s="18" t="s">
        <v>867</v>
      </c>
      <c r="Q166" s="18" t="s">
        <v>134</v>
      </c>
      <c r="R166" s="18" t="s">
        <v>868</v>
      </c>
      <c r="S166" s="18" t="s">
        <v>125</v>
      </c>
      <c r="T166" s="18" t="s">
        <v>869</v>
      </c>
      <c r="U166" s="18"/>
      <c r="V166" s="19" t="s">
        <v>29</v>
      </c>
      <c r="W166" s="19"/>
      <c r="X166" s="19"/>
      <c r="Y166" s="20"/>
      <c r="Z166" s="19"/>
      <c r="AA166" s="18" t="str">
        <f aca="false">IF(OR(V166="Aprobada"),R166,IF(AND(OR(V166="Aprobada con ajuste",V166="Rechazada"),W166&lt;&gt;""),W166,""))</f>
        <v/>
      </c>
    </row>
    <row r="167" customFormat="false" ht="22.35" hidden="false" customHeight="false" outlineLevel="0" collapsed="false">
      <c r="A167" s="18" t="s">
        <v>870</v>
      </c>
      <c r="B167" s="18" t="s">
        <v>58</v>
      </c>
      <c r="C167" s="18" t="s">
        <v>59</v>
      </c>
      <c r="D167" s="18" t="s">
        <v>827</v>
      </c>
      <c r="E167" s="18" t="n">
        <v>0</v>
      </c>
      <c r="F167" s="18" t="s">
        <v>871</v>
      </c>
      <c r="G167" s="18" t="s">
        <v>116</v>
      </c>
      <c r="H167" s="18" t="s">
        <v>117</v>
      </c>
      <c r="I167" s="18"/>
      <c r="J167" s="18"/>
      <c r="K167" s="18"/>
      <c r="L167" s="18" t="s">
        <v>109</v>
      </c>
      <c r="M167" s="18" t="s">
        <v>109</v>
      </c>
      <c r="N167" s="18"/>
      <c r="O167" s="18"/>
      <c r="P167" s="18" t="s">
        <v>872</v>
      </c>
      <c r="Q167" s="18" t="s">
        <v>134</v>
      </c>
      <c r="R167" s="18" t="s">
        <v>873</v>
      </c>
      <c r="S167" s="18" t="s">
        <v>125</v>
      </c>
      <c r="T167" s="18" t="s">
        <v>874</v>
      </c>
      <c r="U167" s="18"/>
      <c r="V167" s="19" t="s">
        <v>29</v>
      </c>
      <c r="W167" s="19"/>
      <c r="X167" s="19"/>
      <c r="Y167" s="20"/>
      <c r="Z167" s="19"/>
      <c r="AA167" s="18" t="str">
        <f aca="false">IF(OR(V167="Aprobada"),R167,IF(AND(OR(V167="Aprobada con ajuste",V167="Rechazada"),W167&lt;&gt;""),W167,""))</f>
        <v/>
      </c>
    </row>
    <row r="168" customFormat="false" ht="22.35" hidden="false" customHeight="false" outlineLevel="0" collapsed="false">
      <c r="A168" s="18" t="s">
        <v>875</v>
      </c>
      <c r="B168" s="18" t="s">
        <v>58</v>
      </c>
      <c r="C168" s="18" t="s">
        <v>59</v>
      </c>
      <c r="D168" s="18" t="s">
        <v>876</v>
      </c>
      <c r="E168" s="18" t="n">
        <v>6760</v>
      </c>
      <c r="F168" s="18" t="s">
        <v>844</v>
      </c>
      <c r="G168" s="18" t="s">
        <v>249</v>
      </c>
      <c r="H168" s="18" t="s">
        <v>109</v>
      </c>
      <c r="I168" s="18"/>
      <c r="J168" s="18"/>
      <c r="K168" s="18"/>
      <c r="L168" s="18" t="s">
        <v>109</v>
      </c>
      <c r="M168" s="18" t="s">
        <v>109</v>
      </c>
      <c r="N168" s="18"/>
      <c r="O168" s="18" t="s">
        <v>877</v>
      </c>
      <c r="P168" s="18" t="s">
        <v>878</v>
      </c>
      <c r="Q168" s="18" t="s">
        <v>134</v>
      </c>
      <c r="R168" s="18" t="s">
        <v>879</v>
      </c>
      <c r="S168" s="18" t="s">
        <v>125</v>
      </c>
      <c r="T168" s="18" t="s">
        <v>880</v>
      </c>
      <c r="U168" s="18"/>
      <c r="V168" s="19" t="s">
        <v>29</v>
      </c>
      <c r="W168" s="19"/>
      <c r="X168" s="19"/>
      <c r="Y168" s="20"/>
      <c r="Z168" s="19"/>
      <c r="AA168" s="18" t="str">
        <f aca="false">IF(OR(V168="Aprobada"),R168,IF(AND(OR(V168="Aprobada con ajuste",V168="Rechazada"),W168&lt;&gt;""),W168,""))</f>
        <v/>
      </c>
    </row>
    <row r="169" customFormat="false" ht="32.8" hidden="false" customHeight="false" outlineLevel="0" collapsed="false">
      <c r="A169" s="18" t="s">
        <v>881</v>
      </c>
      <c r="B169" s="18" t="s">
        <v>58</v>
      </c>
      <c r="C169" s="18" t="s">
        <v>59</v>
      </c>
      <c r="D169" s="18" t="s">
        <v>876</v>
      </c>
      <c r="E169" s="18" t="n">
        <v>6760</v>
      </c>
      <c r="F169" s="18" t="s">
        <v>882</v>
      </c>
      <c r="G169" s="18" t="s">
        <v>116</v>
      </c>
      <c r="H169" s="18" t="s">
        <v>117</v>
      </c>
      <c r="I169" s="18"/>
      <c r="J169" s="18"/>
      <c r="K169" s="18"/>
      <c r="L169" s="18" t="s">
        <v>109</v>
      </c>
      <c r="M169" s="18" t="s">
        <v>109</v>
      </c>
      <c r="N169" s="18"/>
      <c r="O169" s="18"/>
      <c r="P169" s="18" t="s">
        <v>883</v>
      </c>
      <c r="Q169" s="18" t="s">
        <v>123</v>
      </c>
      <c r="R169" s="18" t="s">
        <v>884</v>
      </c>
      <c r="S169" s="18" t="s">
        <v>125</v>
      </c>
      <c r="T169" s="18" t="s">
        <v>885</v>
      </c>
      <c r="U169" s="18"/>
      <c r="V169" s="19" t="s">
        <v>29</v>
      </c>
      <c r="W169" s="19"/>
      <c r="X169" s="19"/>
      <c r="Y169" s="20"/>
      <c r="Z169" s="19"/>
      <c r="AA169" s="18" t="str">
        <f aca="false">IF(OR(V169="Aprobada"),R169,IF(AND(OR(V169="Aprobada con ajuste",V169="Rechazada"),W169&lt;&gt;""),W169,""))</f>
        <v/>
      </c>
    </row>
    <row r="170" customFormat="false" ht="43.25" hidden="false" customHeight="false" outlineLevel="0" collapsed="false">
      <c r="A170" s="18" t="s">
        <v>886</v>
      </c>
      <c r="B170" s="18" t="s">
        <v>58</v>
      </c>
      <c r="C170" s="18" t="s">
        <v>59</v>
      </c>
      <c r="D170" s="18" t="s">
        <v>876</v>
      </c>
      <c r="E170" s="18" t="n">
        <v>6760</v>
      </c>
      <c r="F170" s="18" t="s">
        <v>271</v>
      </c>
      <c r="G170" s="18" t="s">
        <v>116</v>
      </c>
      <c r="H170" s="18" t="s">
        <v>109</v>
      </c>
      <c r="I170" s="18"/>
      <c r="J170" s="18"/>
      <c r="K170" s="18"/>
      <c r="L170" s="18" t="s">
        <v>109</v>
      </c>
      <c r="M170" s="18" t="s">
        <v>109</v>
      </c>
      <c r="N170" s="18"/>
      <c r="O170" s="18"/>
      <c r="P170" s="18" t="s">
        <v>887</v>
      </c>
      <c r="Q170" s="18" t="s">
        <v>123</v>
      </c>
      <c r="R170" s="18" t="s">
        <v>888</v>
      </c>
      <c r="S170" s="18" t="s">
        <v>125</v>
      </c>
      <c r="T170" s="18" t="s">
        <v>889</v>
      </c>
      <c r="U170" s="18"/>
      <c r="V170" s="19" t="s">
        <v>29</v>
      </c>
      <c r="W170" s="19"/>
      <c r="X170" s="19"/>
      <c r="Y170" s="20"/>
      <c r="Z170" s="19"/>
      <c r="AA170" s="18" t="str">
        <f aca="false">IF(OR(V170="Aprobada"),R170,IF(AND(OR(V170="Aprobada con ajuste",V170="Rechazada"),W170&lt;&gt;""),W170,""))</f>
        <v/>
      </c>
    </row>
    <row r="171" customFormat="false" ht="32.8" hidden="false" customHeight="false" outlineLevel="0" collapsed="false">
      <c r="A171" s="18" t="s">
        <v>890</v>
      </c>
      <c r="B171" s="18" t="s">
        <v>58</v>
      </c>
      <c r="C171" s="18" t="s">
        <v>59</v>
      </c>
      <c r="D171" s="18" t="s">
        <v>876</v>
      </c>
      <c r="E171" s="18" t="n">
        <v>6760</v>
      </c>
      <c r="F171" s="18" t="s">
        <v>794</v>
      </c>
      <c r="G171" s="18" t="s">
        <v>116</v>
      </c>
      <c r="H171" s="18" t="s">
        <v>109</v>
      </c>
      <c r="I171" s="18"/>
      <c r="J171" s="18"/>
      <c r="K171" s="18"/>
      <c r="L171" s="18" t="s">
        <v>109</v>
      </c>
      <c r="M171" s="18" t="s">
        <v>109</v>
      </c>
      <c r="N171" s="18"/>
      <c r="O171" s="18"/>
      <c r="P171" s="18" t="s">
        <v>891</v>
      </c>
      <c r="Q171" s="18" t="s">
        <v>123</v>
      </c>
      <c r="R171" s="18" t="s">
        <v>892</v>
      </c>
      <c r="S171" s="18" t="s">
        <v>125</v>
      </c>
      <c r="T171" s="18" t="s">
        <v>893</v>
      </c>
      <c r="U171" s="18"/>
      <c r="V171" s="19" t="s">
        <v>29</v>
      </c>
      <c r="W171" s="19"/>
      <c r="X171" s="19"/>
      <c r="Y171" s="20"/>
      <c r="Z171" s="19"/>
      <c r="AA171" s="18" t="str">
        <f aca="false">IF(OR(V171="Aprobada"),R171,IF(AND(OR(V171="Aprobada con ajuste",V171="Rechazada"),W171&lt;&gt;""),W171,""))</f>
        <v/>
      </c>
    </row>
    <row r="172" customFormat="false" ht="32.8" hidden="false" customHeight="false" outlineLevel="0" collapsed="false">
      <c r="A172" s="18" t="s">
        <v>894</v>
      </c>
      <c r="B172" s="18" t="s">
        <v>58</v>
      </c>
      <c r="C172" s="18" t="s">
        <v>59</v>
      </c>
      <c r="D172" s="18" t="s">
        <v>876</v>
      </c>
      <c r="E172" s="18" t="n">
        <v>6760</v>
      </c>
      <c r="F172" s="18" t="s">
        <v>726</v>
      </c>
      <c r="G172" s="18" t="s">
        <v>116</v>
      </c>
      <c r="H172" s="18" t="s">
        <v>117</v>
      </c>
      <c r="I172" s="18"/>
      <c r="J172" s="18"/>
      <c r="K172" s="18"/>
      <c r="L172" s="18" t="s">
        <v>109</v>
      </c>
      <c r="M172" s="18" t="s">
        <v>109</v>
      </c>
      <c r="N172" s="18"/>
      <c r="O172" s="18"/>
      <c r="P172" s="18" t="s">
        <v>895</v>
      </c>
      <c r="Q172" s="18" t="s">
        <v>123</v>
      </c>
      <c r="R172" s="18" t="s">
        <v>896</v>
      </c>
      <c r="S172" s="18" t="s">
        <v>125</v>
      </c>
      <c r="T172" s="18" t="s">
        <v>897</v>
      </c>
      <c r="U172" s="18"/>
      <c r="V172" s="19" t="s">
        <v>29</v>
      </c>
      <c r="W172" s="19"/>
      <c r="X172" s="19"/>
      <c r="Y172" s="20"/>
      <c r="Z172" s="19"/>
      <c r="AA172" s="18" t="str">
        <f aca="false">IF(OR(V172="Aprobada"),R172,IF(AND(OR(V172="Aprobada con ajuste",V172="Rechazada"),W172&lt;&gt;""),W172,""))</f>
        <v/>
      </c>
    </row>
    <row r="173" customFormat="false" ht="32.8" hidden="false" customHeight="false" outlineLevel="0" collapsed="false">
      <c r="A173" s="18" t="s">
        <v>898</v>
      </c>
      <c r="B173" s="18" t="s">
        <v>58</v>
      </c>
      <c r="C173" s="18" t="s">
        <v>59</v>
      </c>
      <c r="D173" s="18" t="s">
        <v>876</v>
      </c>
      <c r="E173" s="18" t="n">
        <v>6760</v>
      </c>
      <c r="F173" s="18" t="s">
        <v>899</v>
      </c>
      <c r="G173" s="18" t="s">
        <v>116</v>
      </c>
      <c r="H173" s="18" t="s">
        <v>117</v>
      </c>
      <c r="I173" s="18"/>
      <c r="J173" s="18"/>
      <c r="K173" s="18"/>
      <c r="L173" s="18" t="s">
        <v>109</v>
      </c>
      <c r="M173" s="18" t="s">
        <v>109</v>
      </c>
      <c r="N173" s="18"/>
      <c r="O173" s="18"/>
      <c r="P173" s="18" t="s">
        <v>900</v>
      </c>
      <c r="Q173" s="18" t="s">
        <v>123</v>
      </c>
      <c r="R173" s="18" t="s">
        <v>901</v>
      </c>
      <c r="S173" s="18" t="s">
        <v>125</v>
      </c>
      <c r="T173" s="18" t="s">
        <v>902</v>
      </c>
      <c r="U173" s="18"/>
      <c r="V173" s="19" t="s">
        <v>29</v>
      </c>
      <c r="W173" s="19"/>
      <c r="X173" s="19"/>
      <c r="Y173" s="20"/>
      <c r="Z173" s="19"/>
      <c r="AA173" s="18" t="str">
        <f aca="false">IF(OR(V173="Aprobada"),R173,IF(AND(OR(V173="Aprobada con ajuste",V173="Rechazada"),W173&lt;&gt;""),W173,""))</f>
        <v/>
      </c>
    </row>
    <row r="174" customFormat="false" ht="32.8" hidden="false" customHeight="false" outlineLevel="0" collapsed="false">
      <c r="A174" s="18" t="s">
        <v>903</v>
      </c>
      <c r="B174" s="18" t="s">
        <v>58</v>
      </c>
      <c r="C174" s="18" t="s">
        <v>59</v>
      </c>
      <c r="D174" s="18" t="s">
        <v>876</v>
      </c>
      <c r="E174" s="18" t="n">
        <v>6760</v>
      </c>
      <c r="F174" s="18" t="s">
        <v>904</v>
      </c>
      <c r="G174" s="18" t="s">
        <v>116</v>
      </c>
      <c r="H174" s="18" t="s">
        <v>117</v>
      </c>
      <c r="I174" s="18"/>
      <c r="J174" s="18"/>
      <c r="K174" s="18"/>
      <c r="L174" s="18" t="s">
        <v>109</v>
      </c>
      <c r="M174" s="18" t="s">
        <v>109</v>
      </c>
      <c r="N174" s="18"/>
      <c r="O174" s="18"/>
      <c r="P174" s="18" t="s">
        <v>905</v>
      </c>
      <c r="Q174" s="18" t="s">
        <v>123</v>
      </c>
      <c r="R174" s="18" t="s">
        <v>906</v>
      </c>
      <c r="S174" s="18" t="s">
        <v>125</v>
      </c>
      <c r="T174" s="18" t="s">
        <v>907</v>
      </c>
      <c r="U174" s="18"/>
      <c r="V174" s="19" t="s">
        <v>29</v>
      </c>
      <c r="W174" s="19"/>
      <c r="X174" s="19"/>
      <c r="Y174" s="20"/>
      <c r="Z174" s="19"/>
      <c r="AA174" s="18" t="str">
        <f aca="false">IF(OR(V174="Aprobada"),R174,IF(AND(OR(V174="Aprobada con ajuste",V174="Rechazada"),W174&lt;&gt;""),W174,""))</f>
        <v/>
      </c>
    </row>
    <row r="175" customFormat="false" ht="32.8" hidden="false" customHeight="false" outlineLevel="0" collapsed="false">
      <c r="A175" s="18" t="s">
        <v>908</v>
      </c>
      <c r="B175" s="18" t="s">
        <v>58</v>
      </c>
      <c r="C175" s="18" t="s">
        <v>59</v>
      </c>
      <c r="D175" s="18" t="s">
        <v>876</v>
      </c>
      <c r="E175" s="18" t="n">
        <v>6760</v>
      </c>
      <c r="F175" s="18" t="s">
        <v>909</v>
      </c>
      <c r="G175" s="18" t="s">
        <v>116</v>
      </c>
      <c r="H175" s="18" t="s">
        <v>117</v>
      </c>
      <c r="I175" s="18"/>
      <c r="J175" s="18"/>
      <c r="K175" s="18"/>
      <c r="L175" s="18" t="s">
        <v>109</v>
      </c>
      <c r="M175" s="18" t="s">
        <v>109</v>
      </c>
      <c r="N175" s="18"/>
      <c r="O175" s="18"/>
      <c r="P175" s="18" t="s">
        <v>910</v>
      </c>
      <c r="Q175" s="18" t="s">
        <v>123</v>
      </c>
      <c r="R175" s="18" t="s">
        <v>911</v>
      </c>
      <c r="S175" s="18" t="s">
        <v>125</v>
      </c>
      <c r="T175" s="18" t="s">
        <v>912</v>
      </c>
      <c r="U175" s="18"/>
      <c r="V175" s="19" t="s">
        <v>29</v>
      </c>
      <c r="W175" s="19"/>
      <c r="X175" s="19"/>
      <c r="Y175" s="20"/>
      <c r="Z175" s="19"/>
      <c r="AA175" s="18" t="str">
        <f aca="false">IF(OR(V175="Aprobada"),R175,IF(AND(OR(V175="Aprobada con ajuste",V175="Rechazada"),W175&lt;&gt;""),W175,""))</f>
        <v/>
      </c>
    </row>
    <row r="176" customFormat="false" ht="32.8" hidden="false" customHeight="false" outlineLevel="0" collapsed="false">
      <c r="A176" s="18" t="s">
        <v>913</v>
      </c>
      <c r="B176" s="18" t="s">
        <v>58</v>
      </c>
      <c r="C176" s="18" t="s">
        <v>59</v>
      </c>
      <c r="D176" s="18" t="s">
        <v>876</v>
      </c>
      <c r="E176" s="18" t="n">
        <v>6760</v>
      </c>
      <c r="F176" s="18" t="s">
        <v>914</v>
      </c>
      <c r="G176" s="18" t="s">
        <v>116</v>
      </c>
      <c r="H176" s="18" t="s">
        <v>117</v>
      </c>
      <c r="I176" s="18"/>
      <c r="J176" s="18"/>
      <c r="K176" s="18"/>
      <c r="L176" s="18" t="s">
        <v>109</v>
      </c>
      <c r="M176" s="18" t="s">
        <v>109</v>
      </c>
      <c r="N176" s="18"/>
      <c r="O176" s="18"/>
      <c r="P176" s="18" t="s">
        <v>915</v>
      </c>
      <c r="Q176" s="18" t="s">
        <v>123</v>
      </c>
      <c r="R176" s="18" t="s">
        <v>916</v>
      </c>
      <c r="S176" s="18" t="s">
        <v>125</v>
      </c>
      <c r="T176" s="18" t="s">
        <v>917</v>
      </c>
      <c r="U176" s="18"/>
      <c r="V176" s="19" t="s">
        <v>29</v>
      </c>
      <c r="W176" s="19"/>
      <c r="X176" s="19"/>
      <c r="Y176" s="20"/>
      <c r="Z176" s="19"/>
      <c r="AA176" s="18" t="str">
        <f aca="false">IF(OR(V176="Aprobada"),R176,IF(AND(OR(V176="Aprobada con ajuste",V176="Rechazada"),W176&lt;&gt;""),W176,""))</f>
        <v/>
      </c>
    </row>
    <row r="177" customFormat="false" ht="32.8" hidden="false" customHeight="false" outlineLevel="0" collapsed="false">
      <c r="A177" s="18" t="s">
        <v>918</v>
      </c>
      <c r="B177" s="18" t="s">
        <v>58</v>
      </c>
      <c r="C177" s="18" t="s">
        <v>59</v>
      </c>
      <c r="D177" s="18" t="s">
        <v>876</v>
      </c>
      <c r="E177" s="18" t="n">
        <v>6760</v>
      </c>
      <c r="F177" s="18" t="s">
        <v>919</v>
      </c>
      <c r="G177" s="18" t="s">
        <v>116</v>
      </c>
      <c r="H177" s="18" t="s">
        <v>117</v>
      </c>
      <c r="I177" s="18"/>
      <c r="J177" s="18"/>
      <c r="K177" s="18"/>
      <c r="L177" s="18" t="s">
        <v>109</v>
      </c>
      <c r="M177" s="18" t="s">
        <v>109</v>
      </c>
      <c r="N177" s="18"/>
      <c r="O177" s="18"/>
      <c r="P177" s="18" t="s">
        <v>920</v>
      </c>
      <c r="Q177" s="18" t="s">
        <v>123</v>
      </c>
      <c r="R177" s="18" t="s">
        <v>921</v>
      </c>
      <c r="S177" s="18" t="s">
        <v>125</v>
      </c>
      <c r="T177" s="18" t="s">
        <v>922</v>
      </c>
      <c r="U177" s="18"/>
      <c r="V177" s="19" t="s">
        <v>29</v>
      </c>
      <c r="W177" s="19"/>
      <c r="X177" s="19"/>
      <c r="Y177" s="20"/>
      <c r="Z177" s="19"/>
      <c r="AA177" s="18" t="str">
        <f aca="false">IF(OR(V177="Aprobada"),R177,IF(AND(OR(V177="Aprobada con ajuste",V177="Rechazada"),W177&lt;&gt;""),W177,""))</f>
        <v/>
      </c>
    </row>
    <row r="178" customFormat="false" ht="32.8" hidden="false" customHeight="false" outlineLevel="0" collapsed="false">
      <c r="A178" s="18" t="s">
        <v>923</v>
      </c>
      <c r="B178" s="18" t="s">
        <v>58</v>
      </c>
      <c r="C178" s="18" t="s">
        <v>59</v>
      </c>
      <c r="D178" s="18" t="s">
        <v>876</v>
      </c>
      <c r="E178" s="18" t="n">
        <v>6760</v>
      </c>
      <c r="F178" s="18" t="s">
        <v>824</v>
      </c>
      <c r="G178" s="18" t="s">
        <v>116</v>
      </c>
      <c r="H178" s="18" t="s">
        <v>117</v>
      </c>
      <c r="I178" s="18"/>
      <c r="J178" s="18"/>
      <c r="K178" s="18"/>
      <c r="L178" s="18" t="s">
        <v>109</v>
      </c>
      <c r="M178" s="18" t="s">
        <v>109</v>
      </c>
      <c r="N178" s="18"/>
      <c r="O178" s="18"/>
      <c r="P178" s="18" t="s">
        <v>924</v>
      </c>
      <c r="Q178" s="18" t="s">
        <v>123</v>
      </c>
      <c r="R178" s="18" t="s">
        <v>925</v>
      </c>
      <c r="S178" s="18" t="s">
        <v>125</v>
      </c>
      <c r="T178" s="18" t="s">
        <v>926</v>
      </c>
      <c r="U178" s="18"/>
      <c r="V178" s="19" t="s">
        <v>29</v>
      </c>
      <c r="W178" s="19"/>
      <c r="X178" s="19"/>
      <c r="Y178" s="20"/>
      <c r="Z178" s="19"/>
      <c r="AA178" s="18" t="str">
        <f aca="false">IF(OR(V178="Aprobada"),R178,IF(AND(OR(V178="Aprobada con ajuste",V178="Rechazada"),W178&lt;&gt;""),W178,""))</f>
        <v/>
      </c>
    </row>
    <row r="179" customFormat="false" ht="32.8" hidden="false" customHeight="false" outlineLevel="0" collapsed="false">
      <c r="A179" s="18" t="s">
        <v>927</v>
      </c>
      <c r="B179" s="18" t="s">
        <v>58</v>
      </c>
      <c r="C179" s="18" t="s">
        <v>59</v>
      </c>
      <c r="D179" s="18" t="s">
        <v>876</v>
      </c>
      <c r="E179" s="18" t="n">
        <v>6760</v>
      </c>
      <c r="F179" s="18" t="s">
        <v>928</v>
      </c>
      <c r="G179" s="18" t="s">
        <v>212</v>
      </c>
      <c r="H179" s="18" t="s">
        <v>117</v>
      </c>
      <c r="I179" s="18"/>
      <c r="J179" s="18"/>
      <c r="K179" s="18"/>
      <c r="L179" s="18" t="s">
        <v>109</v>
      </c>
      <c r="M179" s="18" t="s">
        <v>109</v>
      </c>
      <c r="N179" s="18"/>
      <c r="O179" s="18"/>
      <c r="P179" s="18" t="s">
        <v>929</v>
      </c>
      <c r="Q179" s="18" t="s">
        <v>123</v>
      </c>
      <c r="R179" s="18" t="s">
        <v>930</v>
      </c>
      <c r="S179" s="18" t="s">
        <v>125</v>
      </c>
      <c r="T179" s="18" t="s">
        <v>931</v>
      </c>
      <c r="U179" s="18"/>
      <c r="V179" s="19" t="s">
        <v>29</v>
      </c>
      <c r="W179" s="19"/>
      <c r="X179" s="19"/>
      <c r="Y179" s="20"/>
      <c r="Z179" s="19"/>
      <c r="AA179" s="18" t="str">
        <f aca="false">IF(OR(V179="Aprobada"),R179,IF(AND(OR(V179="Aprobada con ajuste",V179="Rechazada"),W179&lt;&gt;""),W179,""))</f>
        <v/>
      </c>
    </row>
    <row r="180" customFormat="false" ht="22.35" hidden="false" customHeight="false" outlineLevel="0" collapsed="false">
      <c r="A180" s="18" t="s">
        <v>932</v>
      </c>
      <c r="B180" s="18" t="s">
        <v>58</v>
      </c>
      <c r="C180" s="18" t="s">
        <v>59</v>
      </c>
      <c r="D180" s="18" t="s">
        <v>933</v>
      </c>
      <c r="E180" s="18" t="n">
        <v>6594</v>
      </c>
      <c r="F180" s="18" t="s">
        <v>844</v>
      </c>
      <c r="G180" s="18" t="s">
        <v>934</v>
      </c>
      <c r="H180" s="18" t="s">
        <v>109</v>
      </c>
      <c r="I180" s="18"/>
      <c r="J180" s="18"/>
      <c r="K180" s="18"/>
      <c r="L180" s="18" t="s">
        <v>109</v>
      </c>
      <c r="M180" s="18" t="s">
        <v>109</v>
      </c>
      <c r="N180" s="18"/>
      <c r="O180" s="18" t="s">
        <v>935</v>
      </c>
      <c r="P180" s="18" t="s">
        <v>936</v>
      </c>
      <c r="Q180" s="18" t="s">
        <v>134</v>
      </c>
      <c r="R180" s="18" t="s">
        <v>937</v>
      </c>
      <c r="S180" s="18" t="s">
        <v>125</v>
      </c>
      <c r="T180" s="18" t="s">
        <v>540</v>
      </c>
      <c r="U180" s="18"/>
      <c r="V180" s="19" t="s">
        <v>29</v>
      </c>
      <c r="W180" s="19"/>
      <c r="X180" s="19"/>
      <c r="Y180" s="20"/>
      <c r="Z180" s="19"/>
      <c r="AA180" s="18" t="str">
        <f aca="false">IF(OR(V180="Aprobada"),R180,IF(AND(OR(V180="Aprobada con ajuste",V180="Rechazada"),W180&lt;&gt;""),W180,""))</f>
        <v/>
      </c>
    </row>
    <row r="181" customFormat="false" ht="74.6" hidden="false" customHeight="false" outlineLevel="0" collapsed="false">
      <c r="A181" s="18" t="s">
        <v>938</v>
      </c>
      <c r="B181" s="18" t="s">
        <v>58</v>
      </c>
      <c r="C181" s="18" t="s">
        <v>59</v>
      </c>
      <c r="D181" s="18" t="s">
        <v>933</v>
      </c>
      <c r="E181" s="18" t="n">
        <v>6594</v>
      </c>
      <c r="F181" s="18" t="s">
        <v>882</v>
      </c>
      <c r="G181" s="18" t="s">
        <v>324</v>
      </c>
      <c r="H181" s="18" t="s">
        <v>109</v>
      </c>
      <c r="I181" s="18"/>
      <c r="J181" s="18"/>
      <c r="K181" s="18"/>
      <c r="L181" s="18" t="s">
        <v>109</v>
      </c>
      <c r="M181" s="18" t="s">
        <v>109</v>
      </c>
      <c r="N181" s="18"/>
      <c r="O181" s="18"/>
      <c r="P181" s="18" t="s">
        <v>939</v>
      </c>
      <c r="Q181" s="18" t="s">
        <v>123</v>
      </c>
      <c r="R181" s="18" t="s">
        <v>940</v>
      </c>
      <c r="S181" s="18" t="s">
        <v>125</v>
      </c>
      <c r="T181" s="18" t="s">
        <v>941</v>
      </c>
      <c r="U181" s="18"/>
      <c r="V181" s="19" t="s">
        <v>29</v>
      </c>
      <c r="W181" s="19"/>
      <c r="X181" s="19"/>
      <c r="Y181" s="20"/>
      <c r="Z181" s="19"/>
      <c r="AA181" s="18" t="str">
        <f aca="false">IF(OR(V181="Aprobada"),R181,IF(AND(OR(V181="Aprobada con ajuste",V181="Rechazada"),W181&lt;&gt;""),W181,""))</f>
        <v/>
      </c>
    </row>
    <row r="182" customFormat="false" ht="43.25" hidden="false" customHeight="false" outlineLevel="0" collapsed="false">
      <c r="A182" s="18" t="s">
        <v>942</v>
      </c>
      <c r="B182" s="18" t="s">
        <v>58</v>
      </c>
      <c r="C182" s="18" t="s">
        <v>59</v>
      </c>
      <c r="D182" s="18" t="s">
        <v>933</v>
      </c>
      <c r="E182" s="18" t="n">
        <v>6594</v>
      </c>
      <c r="F182" s="18" t="s">
        <v>107</v>
      </c>
      <c r="G182" s="18" t="s">
        <v>324</v>
      </c>
      <c r="H182" s="18" t="s">
        <v>109</v>
      </c>
      <c r="I182" s="18"/>
      <c r="J182" s="18"/>
      <c r="K182" s="18"/>
      <c r="L182" s="18" t="s">
        <v>109</v>
      </c>
      <c r="M182" s="18" t="s">
        <v>109</v>
      </c>
      <c r="N182" s="18"/>
      <c r="O182" s="18"/>
      <c r="P182" s="18" t="s">
        <v>943</v>
      </c>
      <c r="Q182" s="18" t="s">
        <v>123</v>
      </c>
      <c r="R182" s="18" t="s">
        <v>944</v>
      </c>
      <c r="S182" s="18" t="s">
        <v>125</v>
      </c>
      <c r="T182" s="18" t="s">
        <v>945</v>
      </c>
      <c r="U182" s="18"/>
      <c r="V182" s="19" t="s">
        <v>29</v>
      </c>
      <c r="W182" s="19"/>
      <c r="X182" s="19"/>
      <c r="Y182" s="20"/>
      <c r="Z182" s="19"/>
      <c r="AA182" s="18" t="str">
        <f aca="false">IF(OR(V182="Aprobada"),R182,IF(AND(OR(V182="Aprobada con ajuste",V182="Rechazada"),W182&lt;&gt;""),W182,""))</f>
        <v/>
      </c>
    </row>
    <row r="183" customFormat="false" ht="32.8" hidden="false" customHeight="false" outlineLevel="0" collapsed="false">
      <c r="A183" s="18" t="s">
        <v>946</v>
      </c>
      <c r="B183" s="18" t="s">
        <v>58</v>
      </c>
      <c r="C183" s="18" t="s">
        <v>59</v>
      </c>
      <c r="D183" s="18" t="s">
        <v>933</v>
      </c>
      <c r="E183" s="18" t="n">
        <v>6594</v>
      </c>
      <c r="F183" s="18" t="s">
        <v>947</v>
      </c>
      <c r="G183" s="18" t="s">
        <v>934</v>
      </c>
      <c r="H183" s="18" t="s">
        <v>117</v>
      </c>
      <c r="I183" s="18"/>
      <c r="J183" s="18"/>
      <c r="K183" s="18"/>
      <c r="L183" s="18" t="s">
        <v>109</v>
      </c>
      <c r="M183" s="18" t="s">
        <v>109</v>
      </c>
      <c r="N183" s="18"/>
      <c r="O183" s="18"/>
      <c r="P183" s="18" t="s">
        <v>948</v>
      </c>
      <c r="Q183" s="18" t="s">
        <v>123</v>
      </c>
      <c r="R183" s="18" t="s">
        <v>949</v>
      </c>
      <c r="S183" s="18" t="s">
        <v>125</v>
      </c>
      <c r="T183" s="18" t="s">
        <v>950</v>
      </c>
      <c r="U183" s="18"/>
      <c r="V183" s="19" t="s">
        <v>29</v>
      </c>
      <c r="W183" s="19"/>
      <c r="X183" s="19"/>
      <c r="Y183" s="20"/>
      <c r="Z183" s="19"/>
      <c r="AA183" s="18" t="str">
        <f aca="false">IF(OR(V183="Aprobada"),R183,IF(AND(OR(V183="Aprobada con ajuste",V183="Rechazada"),W183&lt;&gt;""),W183,""))</f>
        <v/>
      </c>
    </row>
    <row r="184" customFormat="false" ht="43.25" hidden="false" customHeight="false" outlineLevel="0" collapsed="false">
      <c r="A184" s="18" t="s">
        <v>951</v>
      </c>
      <c r="B184" s="18" t="s">
        <v>58</v>
      </c>
      <c r="C184" s="18" t="s">
        <v>59</v>
      </c>
      <c r="D184" s="18" t="s">
        <v>933</v>
      </c>
      <c r="E184" s="18" t="n">
        <v>6594</v>
      </c>
      <c r="F184" s="18" t="s">
        <v>952</v>
      </c>
      <c r="G184" s="18" t="s">
        <v>934</v>
      </c>
      <c r="H184" s="18" t="s">
        <v>117</v>
      </c>
      <c r="I184" s="18"/>
      <c r="J184" s="18"/>
      <c r="K184" s="18"/>
      <c r="L184" s="18" t="s">
        <v>109</v>
      </c>
      <c r="M184" s="18" t="s">
        <v>109</v>
      </c>
      <c r="N184" s="18"/>
      <c r="O184" s="18"/>
      <c r="P184" s="18" t="s">
        <v>953</v>
      </c>
      <c r="Q184" s="18" t="s">
        <v>123</v>
      </c>
      <c r="R184" s="18" t="s">
        <v>954</v>
      </c>
      <c r="S184" s="18" t="s">
        <v>125</v>
      </c>
      <c r="T184" s="18" t="s">
        <v>955</v>
      </c>
      <c r="U184" s="18"/>
      <c r="V184" s="19" t="s">
        <v>29</v>
      </c>
      <c r="W184" s="19"/>
      <c r="X184" s="19"/>
      <c r="Y184" s="20"/>
      <c r="Z184" s="19"/>
      <c r="AA184" s="18" t="str">
        <f aca="false">IF(OR(V184="Aprobada"),R184,IF(AND(OR(V184="Aprobada con ajuste",V184="Rechazada"),W184&lt;&gt;""),W184,""))</f>
        <v/>
      </c>
    </row>
    <row r="185" customFormat="false" ht="32.8" hidden="false" customHeight="false" outlineLevel="0" collapsed="false">
      <c r="A185" s="18" t="s">
        <v>956</v>
      </c>
      <c r="B185" s="18" t="s">
        <v>58</v>
      </c>
      <c r="C185" s="18" t="s">
        <v>59</v>
      </c>
      <c r="D185" s="18" t="s">
        <v>933</v>
      </c>
      <c r="E185" s="18" t="n">
        <v>6594</v>
      </c>
      <c r="F185" s="18" t="s">
        <v>914</v>
      </c>
      <c r="G185" s="18" t="s">
        <v>116</v>
      </c>
      <c r="H185" s="18" t="s">
        <v>117</v>
      </c>
      <c r="I185" s="18"/>
      <c r="J185" s="18"/>
      <c r="K185" s="18"/>
      <c r="L185" s="18" t="s">
        <v>109</v>
      </c>
      <c r="M185" s="18" t="s">
        <v>109</v>
      </c>
      <c r="N185" s="18"/>
      <c r="O185" s="18"/>
      <c r="P185" s="18" t="s">
        <v>957</v>
      </c>
      <c r="Q185" s="18" t="s">
        <v>123</v>
      </c>
      <c r="R185" s="18" t="s">
        <v>958</v>
      </c>
      <c r="S185" s="18" t="s">
        <v>125</v>
      </c>
      <c r="T185" s="18" t="s">
        <v>959</v>
      </c>
      <c r="U185" s="18"/>
      <c r="V185" s="19" t="s">
        <v>29</v>
      </c>
      <c r="W185" s="19"/>
      <c r="X185" s="19"/>
      <c r="Y185" s="20"/>
      <c r="Z185" s="19"/>
      <c r="AA185" s="18" t="str">
        <f aca="false">IF(OR(V185="Aprobada"),R185,IF(AND(OR(V185="Aprobada con ajuste",V185="Rechazada"),W185&lt;&gt;""),W185,""))</f>
        <v/>
      </c>
    </row>
    <row r="186" customFormat="false" ht="32.8" hidden="false" customHeight="false" outlineLevel="0" collapsed="false">
      <c r="A186" s="18" t="s">
        <v>960</v>
      </c>
      <c r="B186" s="18" t="s">
        <v>58</v>
      </c>
      <c r="C186" s="18" t="s">
        <v>59</v>
      </c>
      <c r="D186" s="18" t="s">
        <v>933</v>
      </c>
      <c r="E186" s="18" t="n">
        <v>6594</v>
      </c>
      <c r="F186" s="18" t="s">
        <v>961</v>
      </c>
      <c r="G186" s="18" t="s">
        <v>139</v>
      </c>
      <c r="H186" s="18" t="s">
        <v>109</v>
      </c>
      <c r="I186" s="18"/>
      <c r="J186" s="18"/>
      <c r="K186" s="18"/>
      <c r="L186" s="18" t="s">
        <v>109</v>
      </c>
      <c r="M186" s="18" t="s">
        <v>109</v>
      </c>
      <c r="N186" s="18"/>
      <c r="O186" s="18"/>
      <c r="P186" s="18" t="s">
        <v>962</v>
      </c>
      <c r="Q186" s="18" t="s">
        <v>123</v>
      </c>
      <c r="R186" s="18" t="s">
        <v>963</v>
      </c>
      <c r="S186" s="18" t="s">
        <v>125</v>
      </c>
      <c r="T186" s="18" t="s">
        <v>964</v>
      </c>
      <c r="U186" s="18"/>
      <c r="V186" s="19" t="s">
        <v>29</v>
      </c>
      <c r="W186" s="19"/>
      <c r="X186" s="19"/>
      <c r="Y186" s="20"/>
      <c r="Z186" s="19"/>
      <c r="AA186" s="18" t="str">
        <f aca="false">IF(OR(V186="Aprobada"),R186,IF(AND(OR(V186="Aprobada con ajuste",V186="Rechazada"),W186&lt;&gt;""),W186,""))</f>
        <v/>
      </c>
    </row>
    <row r="187" customFormat="false" ht="32.8" hidden="false" customHeight="false" outlineLevel="0" collapsed="false">
      <c r="A187" s="18" t="s">
        <v>965</v>
      </c>
      <c r="B187" s="18" t="s">
        <v>58</v>
      </c>
      <c r="C187" s="18" t="s">
        <v>59</v>
      </c>
      <c r="D187" s="18" t="s">
        <v>933</v>
      </c>
      <c r="E187" s="18" t="n">
        <v>6594</v>
      </c>
      <c r="F187" s="18" t="s">
        <v>726</v>
      </c>
      <c r="G187" s="18" t="s">
        <v>324</v>
      </c>
      <c r="H187" s="18" t="s">
        <v>117</v>
      </c>
      <c r="I187" s="18"/>
      <c r="J187" s="18"/>
      <c r="K187" s="18"/>
      <c r="L187" s="18" t="s">
        <v>109</v>
      </c>
      <c r="M187" s="18" t="s">
        <v>109</v>
      </c>
      <c r="N187" s="18"/>
      <c r="O187" s="18"/>
      <c r="P187" s="18" t="s">
        <v>966</v>
      </c>
      <c r="Q187" s="18" t="s">
        <v>123</v>
      </c>
      <c r="R187" s="18" t="s">
        <v>967</v>
      </c>
      <c r="S187" s="18" t="s">
        <v>125</v>
      </c>
      <c r="T187" s="18" t="s">
        <v>968</v>
      </c>
      <c r="U187" s="18"/>
      <c r="V187" s="19" t="s">
        <v>29</v>
      </c>
      <c r="W187" s="19"/>
      <c r="X187" s="19"/>
      <c r="Y187" s="20"/>
      <c r="Z187" s="19"/>
      <c r="AA187" s="18" t="str">
        <f aca="false">IF(OR(V187="Aprobada"),R187,IF(AND(OR(V187="Aprobada con ajuste",V187="Rechazada"),W187&lt;&gt;""),W187,""))</f>
        <v/>
      </c>
    </row>
    <row r="188" customFormat="false" ht="32.8" hidden="false" customHeight="false" outlineLevel="0" collapsed="false">
      <c r="A188" s="18" t="s">
        <v>969</v>
      </c>
      <c r="B188" s="18" t="s">
        <v>58</v>
      </c>
      <c r="C188" s="18" t="s">
        <v>59</v>
      </c>
      <c r="D188" s="18" t="s">
        <v>933</v>
      </c>
      <c r="E188" s="18" t="n">
        <v>6594</v>
      </c>
      <c r="F188" s="18" t="s">
        <v>970</v>
      </c>
      <c r="G188" s="18" t="s">
        <v>212</v>
      </c>
      <c r="H188" s="18" t="s">
        <v>109</v>
      </c>
      <c r="I188" s="18"/>
      <c r="J188" s="18"/>
      <c r="K188" s="18"/>
      <c r="L188" s="18" t="s">
        <v>109</v>
      </c>
      <c r="M188" s="18" t="s">
        <v>109</v>
      </c>
      <c r="N188" s="18"/>
      <c r="O188" s="18"/>
      <c r="P188" s="18" t="s">
        <v>971</v>
      </c>
      <c r="Q188" s="18" t="s">
        <v>123</v>
      </c>
      <c r="R188" s="18" t="s">
        <v>972</v>
      </c>
      <c r="S188" s="18" t="s">
        <v>125</v>
      </c>
      <c r="T188" s="18" t="s">
        <v>973</v>
      </c>
      <c r="U188" s="18"/>
      <c r="V188" s="19" t="s">
        <v>29</v>
      </c>
      <c r="W188" s="19"/>
      <c r="X188" s="19"/>
      <c r="Y188" s="20"/>
      <c r="Z188" s="19"/>
      <c r="AA188" s="18" t="str">
        <f aca="false">IF(OR(V188="Aprobada"),R188,IF(AND(OR(V188="Aprobada con ajuste",V188="Rechazada"),W188&lt;&gt;""),W188,""))</f>
        <v/>
      </c>
    </row>
    <row r="189" customFormat="false" ht="32.8" hidden="false" customHeight="false" outlineLevel="0" collapsed="false">
      <c r="A189" s="18" t="s">
        <v>974</v>
      </c>
      <c r="B189" s="18" t="s">
        <v>58</v>
      </c>
      <c r="C189" s="18" t="s">
        <v>59</v>
      </c>
      <c r="D189" s="18" t="s">
        <v>933</v>
      </c>
      <c r="E189" s="18" t="n">
        <v>6594</v>
      </c>
      <c r="F189" s="18" t="s">
        <v>975</v>
      </c>
      <c r="G189" s="18" t="s">
        <v>735</v>
      </c>
      <c r="H189" s="18" t="s">
        <v>117</v>
      </c>
      <c r="I189" s="18"/>
      <c r="J189" s="18"/>
      <c r="K189" s="18"/>
      <c r="L189" s="18" t="s">
        <v>109</v>
      </c>
      <c r="M189" s="18" t="s">
        <v>109</v>
      </c>
      <c r="N189" s="18"/>
      <c r="O189" s="18"/>
      <c r="P189" s="18" t="s">
        <v>976</v>
      </c>
      <c r="Q189" s="18" t="s">
        <v>123</v>
      </c>
      <c r="R189" s="18" t="s">
        <v>977</v>
      </c>
      <c r="S189" s="18" t="s">
        <v>125</v>
      </c>
      <c r="T189" s="18" t="s">
        <v>978</v>
      </c>
      <c r="U189" s="18"/>
      <c r="V189" s="19" t="s">
        <v>29</v>
      </c>
      <c r="W189" s="19"/>
      <c r="X189" s="19"/>
      <c r="Y189" s="20"/>
      <c r="Z189" s="19"/>
      <c r="AA189" s="18" t="str">
        <f aca="false">IF(OR(V189="Aprobada"),R189,IF(AND(OR(V189="Aprobada con ajuste",V189="Rechazada"),W189&lt;&gt;""),W189,""))</f>
        <v/>
      </c>
    </row>
    <row r="190" customFormat="false" ht="22.35" hidden="false" customHeight="false" outlineLevel="0" collapsed="false">
      <c r="A190" s="18" t="s">
        <v>979</v>
      </c>
      <c r="B190" s="18" t="s">
        <v>58</v>
      </c>
      <c r="C190" s="18" t="s">
        <v>59</v>
      </c>
      <c r="D190" s="18" t="s">
        <v>980</v>
      </c>
      <c r="E190" s="18" t="n">
        <v>0</v>
      </c>
      <c r="F190" s="18" t="s">
        <v>981</v>
      </c>
      <c r="G190" s="18" t="s">
        <v>116</v>
      </c>
      <c r="H190" s="18" t="s">
        <v>109</v>
      </c>
      <c r="I190" s="18"/>
      <c r="J190" s="18"/>
      <c r="K190" s="18"/>
      <c r="L190" s="18" t="s">
        <v>109</v>
      </c>
      <c r="M190" s="18" t="s">
        <v>109</v>
      </c>
      <c r="N190" s="18"/>
      <c r="O190" s="18"/>
      <c r="P190" s="18"/>
      <c r="Q190" s="18" t="s">
        <v>134</v>
      </c>
      <c r="R190" s="18" t="s">
        <v>982</v>
      </c>
      <c r="S190" s="18" t="s">
        <v>125</v>
      </c>
      <c r="T190" s="18" t="s">
        <v>983</v>
      </c>
      <c r="U190" s="18"/>
      <c r="V190" s="19" t="s">
        <v>29</v>
      </c>
      <c r="W190" s="19"/>
      <c r="X190" s="19"/>
      <c r="Y190" s="20"/>
      <c r="Z190" s="19"/>
      <c r="AA190" s="18" t="str">
        <f aca="false">IF(OR(V190="Aprobada"),R190,IF(AND(OR(V190="Aprobada con ajuste",V190="Rechazada"),W190&lt;&gt;""),W190,""))</f>
        <v/>
      </c>
    </row>
    <row r="191" customFormat="false" ht="22.35" hidden="false" customHeight="false" outlineLevel="0" collapsed="false">
      <c r="A191" s="18" t="s">
        <v>984</v>
      </c>
      <c r="B191" s="18" t="s">
        <v>58</v>
      </c>
      <c r="C191" s="18" t="s">
        <v>59</v>
      </c>
      <c r="D191" s="18" t="s">
        <v>980</v>
      </c>
      <c r="E191" s="18" t="n">
        <v>0</v>
      </c>
      <c r="F191" s="18" t="s">
        <v>985</v>
      </c>
      <c r="G191" s="18" t="s">
        <v>116</v>
      </c>
      <c r="H191" s="18" t="s">
        <v>109</v>
      </c>
      <c r="I191" s="18"/>
      <c r="J191" s="18"/>
      <c r="K191" s="18"/>
      <c r="L191" s="18" t="s">
        <v>109</v>
      </c>
      <c r="M191" s="18" t="s">
        <v>109</v>
      </c>
      <c r="N191" s="18"/>
      <c r="O191" s="18"/>
      <c r="P191" s="18"/>
      <c r="Q191" s="18" t="s">
        <v>134</v>
      </c>
      <c r="R191" s="18" t="s">
        <v>986</v>
      </c>
      <c r="S191" s="18" t="s">
        <v>125</v>
      </c>
      <c r="T191" s="18" t="s">
        <v>129</v>
      </c>
      <c r="U191" s="18"/>
      <c r="V191" s="19" t="s">
        <v>29</v>
      </c>
      <c r="W191" s="19"/>
      <c r="X191" s="19"/>
      <c r="Y191" s="20"/>
      <c r="Z191" s="19"/>
      <c r="AA191" s="18" t="str">
        <f aca="false">IF(OR(V191="Aprobada"),R191,IF(AND(OR(V191="Aprobada con ajuste",V191="Rechazada"),W191&lt;&gt;""),W191,""))</f>
        <v/>
      </c>
    </row>
    <row r="192" customFormat="false" ht="22.35" hidden="false" customHeight="false" outlineLevel="0" collapsed="false">
      <c r="A192" s="18" t="s">
        <v>987</v>
      </c>
      <c r="B192" s="18" t="s">
        <v>58</v>
      </c>
      <c r="C192" s="18" t="s">
        <v>59</v>
      </c>
      <c r="D192" s="18" t="s">
        <v>980</v>
      </c>
      <c r="E192" s="18" t="n">
        <v>0</v>
      </c>
      <c r="F192" s="18" t="s">
        <v>988</v>
      </c>
      <c r="G192" s="18" t="s">
        <v>989</v>
      </c>
      <c r="H192" s="18" t="s">
        <v>109</v>
      </c>
      <c r="I192" s="18" t="s">
        <v>140</v>
      </c>
      <c r="J192" s="18"/>
      <c r="K192" s="18"/>
      <c r="L192" s="18" t="s">
        <v>109</v>
      </c>
      <c r="M192" s="18" t="s">
        <v>109</v>
      </c>
      <c r="N192" s="18"/>
      <c r="O192" s="18"/>
      <c r="P192" s="18"/>
      <c r="Q192" s="18" t="s">
        <v>110</v>
      </c>
      <c r="R192" s="18" t="s">
        <v>776</v>
      </c>
      <c r="S192" s="18" t="s">
        <v>112</v>
      </c>
      <c r="T192" s="18" t="s">
        <v>113</v>
      </c>
      <c r="U192" s="18"/>
      <c r="V192" s="19" t="s">
        <v>29</v>
      </c>
      <c r="W192" s="19"/>
      <c r="X192" s="19"/>
      <c r="Y192" s="20"/>
      <c r="Z192" s="19"/>
      <c r="AA192" s="18" t="str">
        <f aca="false">IF(OR(V192="Aprobada"),R192,IF(AND(OR(V192="Aprobada con ajuste",V192="Rechazada"),W192&lt;&gt;""),W192,""))</f>
        <v/>
      </c>
    </row>
    <row r="193" customFormat="false" ht="22.35" hidden="false" customHeight="false" outlineLevel="0" collapsed="false">
      <c r="A193" s="18" t="s">
        <v>990</v>
      </c>
      <c r="B193" s="18" t="s">
        <v>58</v>
      </c>
      <c r="C193" s="18" t="s">
        <v>59</v>
      </c>
      <c r="D193" s="18" t="s">
        <v>980</v>
      </c>
      <c r="E193" s="18" t="n">
        <v>0</v>
      </c>
      <c r="F193" s="18" t="s">
        <v>991</v>
      </c>
      <c r="G193" s="18" t="s">
        <v>992</v>
      </c>
      <c r="H193" s="18" t="s">
        <v>109</v>
      </c>
      <c r="I193" s="18"/>
      <c r="J193" s="18"/>
      <c r="K193" s="18"/>
      <c r="L193" s="18" t="s">
        <v>109</v>
      </c>
      <c r="M193" s="18" t="s">
        <v>109</v>
      </c>
      <c r="N193" s="18"/>
      <c r="O193" s="18"/>
      <c r="P193" s="18"/>
      <c r="Q193" s="18" t="s">
        <v>134</v>
      </c>
      <c r="R193" s="18" t="s">
        <v>993</v>
      </c>
      <c r="S193" s="18" t="s">
        <v>125</v>
      </c>
      <c r="T193" s="18" t="s">
        <v>994</v>
      </c>
      <c r="U193" s="18"/>
      <c r="V193" s="19" t="s">
        <v>29</v>
      </c>
      <c r="W193" s="19"/>
      <c r="X193" s="19"/>
      <c r="Y193" s="20"/>
      <c r="Z193" s="19"/>
      <c r="AA193" s="18" t="str">
        <f aca="false">IF(OR(V193="Aprobada"),R193,IF(AND(OR(V193="Aprobada con ajuste",V193="Rechazada"),W193&lt;&gt;""),W193,""))</f>
        <v/>
      </c>
    </row>
    <row r="194" customFormat="false" ht="22.35" hidden="false" customHeight="false" outlineLevel="0" collapsed="false">
      <c r="A194" s="18" t="s">
        <v>995</v>
      </c>
      <c r="B194" s="18" t="s">
        <v>58</v>
      </c>
      <c r="C194" s="18" t="s">
        <v>59</v>
      </c>
      <c r="D194" s="18" t="s">
        <v>980</v>
      </c>
      <c r="E194" s="18" t="n">
        <v>0</v>
      </c>
      <c r="F194" s="18" t="s">
        <v>996</v>
      </c>
      <c r="G194" s="18" t="s">
        <v>997</v>
      </c>
      <c r="H194" s="18" t="s">
        <v>109</v>
      </c>
      <c r="I194" s="18"/>
      <c r="J194" s="18"/>
      <c r="K194" s="18"/>
      <c r="L194" s="18" t="s">
        <v>109</v>
      </c>
      <c r="M194" s="18" t="s">
        <v>109</v>
      </c>
      <c r="N194" s="18"/>
      <c r="O194" s="18"/>
      <c r="P194" s="18"/>
      <c r="Q194" s="18" t="s">
        <v>134</v>
      </c>
      <c r="R194" s="18" t="s">
        <v>998</v>
      </c>
      <c r="S194" s="18" t="s">
        <v>125</v>
      </c>
      <c r="T194" s="18" t="s">
        <v>999</v>
      </c>
      <c r="U194" s="18"/>
      <c r="V194" s="19" t="s">
        <v>29</v>
      </c>
      <c r="W194" s="19"/>
      <c r="X194" s="19"/>
      <c r="Y194" s="20"/>
      <c r="Z194" s="19"/>
      <c r="AA194" s="18" t="str">
        <f aca="false">IF(OR(V194="Aprobada"),R194,IF(AND(OR(V194="Aprobada con ajuste",V194="Rechazada"),W194&lt;&gt;""),W194,""))</f>
        <v/>
      </c>
    </row>
    <row r="195" customFormat="false" ht="22.35" hidden="false" customHeight="false" outlineLevel="0" collapsed="false">
      <c r="A195" s="18" t="s">
        <v>1000</v>
      </c>
      <c r="B195" s="18" t="s">
        <v>58</v>
      </c>
      <c r="C195" s="18" t="s">
        <v>59</v>
      </c>
      <c r="D195" s="18" t="s">
        <v>980</v>
      </c>
      <c r="E195" s="18" t="n">
        <v>0</v>
      </c>
      <c r="F195" s="18" t="s">
        <v>794</v>
      </c>
      <c r="G195" s="18" t="s">
        <v>116</v>
      </c>
      <c r="H195" s="18" t="s">
        <v>109</v>
      </c>
      <c r="I195" s="18"/>
      <c r="J195" s="18"/>
      <c r="K195" s="18"/>
      <c r="L195" s="18" t="s">
        <v>109</v>
      </c>
      <c r="M195" s="18" t="s">
        <v>109</v>
      </c>
      <c r="N195" s="18"/>
      <c r="O195" s="18"/>
      <c r="P195" s="18"/>
      <c r="Q195" s="18" t="s">
        <v>134</v>
      </c>
      <c r="R195" s="18" t="s">
        <v>1001</v>
      </c>
      <c r="S195" s="18" t="s">
        <v>125</v>
      </c>
      <c r="T195" s="18" t="s">
        <v>129</v>
      </c>
      <c r="U195" s="18"/>
      <c r="V195" s="19" t="s">
        <v>29</v>
      </c>
      <c r="W195" s="19"/>
      <c r="X195" s="19"/>
      <c r="Y195" s="20"/>
      <c r="Z195" s="19"/>
      <c r="AA195" s="18" t="str">
        <f aca="false">IF(OR(V195="Aprobada"),R195,IF(AND(OR(V195="Aprobada con ajuste",V195="Rechazada"),W195&lt;&gt;""),W195,""))</f>
        <v/>
      </c>
    </row>
    <row r="196" customFormat="false" ht="22.35" hidden="false" customHeight="false" outlineLevel="0" collapsed="false">
      <c r="A196" s="18" t="s">
        <v>1002</v>
      </c>
      <c r="B196" s="18" t="s">
        <v>58</v>
      </c>
      <c r="C196" s="18" t="s">
        <v>59</v>
      </c>
      <c r="D196" s="18" t="s">
        <v>980</v>
      </c>
      <c r="E196" s="18" t="n">
        <v>0</v>
      </c>
      <c r="F196" s="18" t="s">
        <v>1003</v>
      </c>
      <c r="G196" s="18" t="s">
        <v>116</v>
      </c>
      <c r="H196" s="18" t="s">
        <v>109</v>
      </c>
      <c r="I196" s="18"/>
      <c r="J196" s="18"/>
      <c r="K196" s="18"/>
      <c r="L196" s="18" t="s">
        <v>109</v>
      </c>
      <c r="M196" s="18" t="s">
        <v>109</v>
      </c>
      <c r="N196" s="18"/>
      <c r="O196" s="18"/>
      <c r="P196" s="18"/>
      <c r="Q196" s="18" t="s">
        <v>134</v>
      </c>
      <c r="R196" s="18" t="s">
        <v>1004</v>
      </c>
      <c r="S196" s="18" t="s">
        <v>125</v>
      </c>
      <c r="T196" s="18" t="s">
        <v>314</v>
      </c>
      <c r="U196" s="18"/>
      <c r="V196" s="19" t="s">
        <v>29</v>
      </c>
      <c r="W196" s="19"/>
      <c r="X196" s="19"/>
      <c r="Y196" s="20"/>
      <c r="Z196" s="19"/>
      <c r="AA196" s="18" t="str">
        <f aca="false">IF(OR(V196="Aprobada"),R196,IF(AND(OR(V196="Aprobada con ajuste",V196="Rechazada"),W196&lt;&gt;""),W196,""))</f>
        <v/>
      </c>
    </row>
    <row r="197" customFormat="false" ht="22.35" hidden="false" customHeight="false" outlineLevel="0" collapsed="false">
      <c r="A197" s="18" t="s">
        <v>1005</v>
      </c>
      <c r="B197" s="18" t="s">
        <v>58</v>
      </c>
      <c r="C197" s="18" t="s">
        <v>59</v>
      </c>
      <c r="D197" s="18" t="s">
        <v>980</v>
      </c>
      <c r="E197" s="18" t="n">
        <v>0</v>
      </c>
      <c r="F197" s="18" t="s">
        <v>824</v>
      </c>
      <c r="G197" s="18" t="s">
        <v>116</v>
      </c>
      <c r="H197" s="18" t="s">
        <v>117</v>
      </c>
      <c r="I197" s="18"/>
      <c r="J197" s="18"/>
      <c r="K197" s="18"/>
      <c r="L197" s="18" t="s">
        <v>109</v>
      </c>
      <c r="M197" s="18" t="s">
        <v>109</v>
      </c>
      <c r="N197" s="18"/>
      <c r="O197" s="18"/>
      <c r="P197" s="18"/>
      <c r="Q197" s="18" t="s">
        <v>110</v>
      </c>
      <c r="R197" s="18" t="s">
        <v>825</v>
      </c>
      <c r="S197" s="18" t="s">
        <v>112</v>
      </c>
      <c r="T197" s="18" t="s">
        <v>113</v>
      </c>
      <c r="U197" s="18"/>
      <c r="V197" s="19" t="s">
        <v>29</v>
      </c>
      <c r="W197" s="19"/>
      <c r="X197" s="19"/>
      <c r="Y197" s="20"/>
      <c r="Z197" s="19"/>
      <c r="AA197" s="18" t="str">
        <f aca="false">IF(OR(V197="Aprobada"),R197,IF(AND(OR(V197="Aprobada con ajuste",V197="Rechazada"),W197&lt;&gt;""),W197,""))</f>
        <v/>
      </c>
    </row>
    <row r="198" customFormat="false" ht="32.8" hidden="false" customHeight="false" outlineLevel="0" collapsed="false">
      <c r="A198" s="18" t="s">
        <v>1006</v>
      </c>
      <c r="B198" s="18" t="s">
        <v>58</v>
      </c>
      <c r="C198" s="18" t="s">
        <v>59</v>
      </c>
      <c r="D198" s="18" t="s">
        <v>980</v>
      </c>
      <c r="E198" s="18" t="n">
        <v>0</v>
      </c>
      <c r="F198" s="18" t="s">
        <v>107</v>
      </c>
      <c r="G198" s="18" t="s">
        <v>116</v>
      </c>
      <c r="H198" s="18" t="s">
        <v>109</v>
      </c>
      <c r="I198" s="18" t="s">
        <v>140</v>
      </c>
      <c r="J198" s="18" t="s">
        <v>1007</v>
      </c>
      <c r="K198" s="18"/>
      <c r="L198" s="18" t="s">
        <v>117</v>
      </c>
      <c r="M198" s="18" t="s">
        <v>109</v>
      </c>
      <c r="N198" s="18"/>
      <c r="O198" s="18"/>
      <c r="P198" s="18"/>
      <c r="Q198" s="18" t="s">
        <v>110</v>
      </c>
      <c r="R198" s="18" t="s">
        <v>1008</v>
      </c>
      <c r="S198" s="18" t="s">
        <v>112</v>
      </c>
      <c r="T198" s="18" t="s">
        <v>113</v>
      </c>
      <c r="U198" s="18"/>
      <c r="V198" s="19" t="s">
        <v>29</v>
      </c>
      <c r="W198" s="19"/>
      <c r="X198" s="19"/>
      <c r="Y198" s="20"/>
      <c r="Z198" s="19"/>
      <c r="AA198" s="18" t="str">
        <f aca="false">IF(OR(V198="Aprobada"),R198,IF(AND(OR(V198="Aprobada con ajuste",V198="Rechazada"),W198&lt;&gt;""),W198,""))</f>
        <v/>
      </c>
    </row>
    <row r="199" customFormat="false" ht="22.35" hidden="false" customHeight="false" outlineLevel="0" collapsed="false">
      <c r="A199" s="18" t="s">
        <v>1009</v>
      </c>
      <c r="B199" s="18" t="s">
        <v>58</v>
      </c>
      <c r="C199" s="18" t="s">
        <v>59</v>
      </c>
      <c r="D199" s="18" t="s">
        <v>980</v>
      </c>
      <c r="E199" s="18" t="n">
        <v>0</v>
      </c>
      <c r="F199" s="18" t="s">
        <v>1010</v>
      </c>
      <c r="G199" s="18" t="s">
        <v>212</v>
      </c>
      <c r="H199" s="18" t="s">
        <v>109</v>
      </c>
      <c r="I199" s="18"/>
      <c r="J199" s="18"/>
      <c r="K199" s="18"/>
      <c r="L199" s="18" t="s">
        <v>109</v>
      </c>
      <c r="M199" s="18" t="s">
        <v>109</v>
      </c>
      <c r="N199" s="18"/>
      <c r="O199" s="18"/>
      <c r="P199" s="18"/>
      <c r="Q199" s="18" t="s">
        <v>134</v>
      </c>
      <c r="R199" s="18" t="s">
        <v>1011</v>
      </c>
      <c r="S199" s="18" t="s">
        <v>112</v>
      </c>
      <c r="T199" s="18" t="s">
        <v>1012</v>
      </c>
      <c r="U199" s="18" t="s">
        <v>1013</v>
      </c>
      <c r="V199" s="19" t="s">
        <v>29</v>
      </c>
      <c r="W199" s="19"/>
      <c r="X199" s="19"/>
      <c r="Y199" s="20"/>
      <c r="Z199" s="19"/>
      <c r="AA199" s="18" t="str">
        <f aca="false">IF(OR(V199="Aprobada"),R199,IF(AND(OR(V199="Aprobada con ajuste",V199="Rechazada"),W199&lt;&gt;""),W199,""))</f>
        <v/>
      </c>
    </row>
    <row r="200" customFormat="false" ht="22.35" hidden="false" customHeight="false" outlineLevel="0" collapsed="false">
      <c r="A200" s="18" t="s">
        <v>1014</v>
      </c>
      <c r="B200" s="18" t="s">
        <v>58</v>
      </c>
      <c r="C200" s="18" t="s">
        <v>59</v>
      </c>
      <c r="D200" s="18" t="s">
        <v>1015</v>
      </c>
      <c r="E200" s="18" t="n">
        <v>10</v>
      </c>
      <c r="F200" s="18" t="s">
        <v>129</v>
      </c>
      <c r="G200" s="18" t="s">
        <v>116</v>
      </c>
      <c r="H200" s="18" t="s">
        <v>109</v>
      </c>
      <c r="I200" s="18"/>
      <c r="J200" s="18"/>
      <c r="K200" s="18"/>
      <c r="L200" s="18" t="s">
        <v>109</v>
      </c>
      <c r="M200" s="18" t="s">
        <v>109</v>
      </c>
      <c r="N200" s="18"/>
      <c r="O200" s="18"/>
      <c r="P200" s="18"/>
      <c r="Q200" s="18" t="s">
        <v>110</v>
      </c>
      <c r="R200" s="18" t="s">
        <v>1016</v>
      </c>
      <c r="S200" s="18" t="s">
        <v>112</v>
      </c>
      <c r="T200" s="18" t="s">
        <v>113</v>
      </c>
      <c r="U200" s="18"/>
      <c r="V200" s="19" t="s">
        <v>29</v>
      </c>
      <c r="W200" s="19"/>
      <c r="X200" s="19"/>
      <c r="Y200" s="20"/>
      <c r="Z200" s="19"/>
      <c r="AA200" s="18" t="str">
        <f aca="false">IF(OR(V200="Aprobada"),R200,IF(AND(OR(V200="Aprobada con ajuste",V200="Rechazada"),W200&lt;&gt;""),W200,""))</f>
        <v/>
      </c>
    </row>
    <row r="201" customFormat="false" ht="22.35" hidden="false" customHeight="false" outlineLevel="0" collapsed="false">
      <c r="A201" s="18" t="s">
        <v>1017</v>
      </c>
      <c r="B201" s="18" t="s">
        <v>58</v>
      </c>
      <c r="C201" s="18" t="s">
        <v>59</v>
      </c>
      <c r="D201" s="18" t="s">
        <v>1015</v>
      </c>
      <c r="E201" s="18" t="n">
        <v>10</v>
      </c>
      <c r="F201" s="18" t="s">
        <v>1018</v>
      </c>
      <c r="G201" s="18" t="s">
        <v>116</v>
      </c>
      <c r="H201" s="18" t="s">
        <v>117</v>
      </c>
      <c r="I201" s="18"/>
      <c r="J201" s="18"/>
      <c r="K201" s="18"/>
      <c r="L201" s="18" t="s">
        <v>109</v>
      </c>
      <c r="M201" s="18" t="s">
        <v>109</v>
      </c>
      <c r="N201" s="18"/>
      <c r="O201" s="18"/>
      <c r="P201" s="18"/>
      <c r="Q201" s="18" t="s">
        <v>110</v>
      </c>
      <c r="R201" s="18" t="s">
        <v>1019</v>
      </c>
      <c r="S201" s="18" t="s">
        <v>112</v>
      </c>
      <c r="T201" s="18" t="s">
        <v>113</v>
      </c>
      <c r="U201" s="18"/>
      <c r="V201" s="19" t="s">
        <v>29</v>
      </c>
      <c r="W201" s="19"/>
      <c r="X201" s="19"/>
      <c r="Y201" s="20"/>
      <c r="Z201" s="19"/>
      <c r="AA201" s="18" t="str">
        <f aca="false">IF(OR(V201="Aprobada"),R201,IF(AND(OR(V201="Aprobada con ajuste",V201="Rechazada"),W201&lt;&gt;""),W201,""))</f>
        <v/>
      </c>
    </row>
    <row r="202" customFormat="false" ht="22.35" hidden="false" customHeight="false" outlineLevel="0" collapsed="false">
      <c r="A202" s="18" t="s">
        <v>1020</v>
      </c>
      <c r="B202" s="18" t="s">
        <v>58</v>
      </c>
      <c r="C202" s="18" t="s">
        <v>59</v>
      </c>
      <c r="D202" s="18" t="s">
        <v>1015</v>
      </c>
      <c r="E202" s="18" t="n">
        <v>10</v>
      </c>
      <c r="F202" s="18" t="s">
        <v>1021</v>
      </c>
      <c r="G202" s="18" t="s">
        <v>800</v>
      </c>
      <c r="H202" s="18" t="s">
        <v>109</v>
      </c>
      <c r="I202" s="18"/>
      <c r="J202" s="18"/>
      <c r="K202" s="18"/>
      <c r="L202" s="18" t="s">
        <v>109</v>
      </c>
      <c r="M202" s="18" t="s">
        <v>109</v>
      </c>
      <c r="N202" s="18"/>
      <c r="O202" s="18"/>
      <c r="P202" s="18"/>
      <c r="Q202" s="18" t="s">
        <v>134</v>
      </c>
      <c r="R202" s="18" t="s">
        <v>1022</v>
      </c>
      <c r="S202" s="18" t="s">
        <v>125</v>
      </c>
      <c r="T202" s="18" t="s">
        <v>1023</v>
      </c>
      <c r="U202" s="18"/>
      <c r="V202" s="19" t="s">
        <v>29</v>
      </c>
      <c r="W202" s="19"/>
      <c r="X202" s="19"/>
      <c r="Y202" s="20"/>
      <c r="Z202" s="19"/>
      <c r="AA202" s="18" t="str">
        <f aca="false">IF(OR(V202="Aprobada"),R202,IF(AND(OR(V202="Aprobada con ajuste",V202="Rechazada"),W202&lt;&gt;""),W202,""))</f>
        <v/>
      </c>
    </row>
    <row r="203" customFormat="false" ht="22.35" hidden="false" customHeight="false" outlineLevel="0" collapsed="false">
      <c r="A203" s="18" t="s">
        <v>1024</v>
      </c>
      <c r="B203" s="18" t="s">
        <v>58</v>
      </c>
      <c r="C203" s="18" t="s">
        <v>59</v>
      </c>
      <c r="D203" s="18" t="s">
        <v>1015</v>
      </c>
      <c r="E203" s="18" t="n">
        <v>10</v>
      </c>
      <c r="F203" s="18" t="s">
        <v>1025</v>
      </c>
      <c r="G203" s="18" t="s">
        <v>989</v>
      </c>
      <c r="H203" s="18" t="s">
        <v>109</v>
      </c>
      <c r="I203" s="18"/>
      <c r="J203" s="18"/>
      <c r="K203" s="18"/>
      <c r="L203" s="18" t="s">
        <v>109</v>
      </c>
      <c r="M203" s="18" t="s">
        <v>109</v>
      </c>
      <c r="N203" s="18"/>
      <c r="O203" s="18"/>
      <c r="P203" s="18"/>
      <c r="Q203" s="18" t="s">
        <v>134</v>
      </c>
      <c r="R203" s="18" t="s">
        <v>1026</v>
      </c>
      <c r="S203" s="18" t="s">
        <v>125</v>
      </c>
      <c r="T203" s="18" t="s">
        <v>1027</v>
      </c>
      <c r="U203" s="18"/>
      <c r="V203" s="19" t="s">
        <v>29</v>
      </c>
      <c r="W203" s="19"/>
      <c r="X203" s="19"/>
      <c r="Y203" s="20"/>
      <c r="Z203" s="19"/>
      <c r="AA203" s="18" t="str">
        <f aca="false">IF(OR(V203="Aprobada"),R203,IF(AND(OR(V203="Aprobada con ajuste",V203="Rechazada"),W203&lt;&gt;""),W203,""))</f>
        <v/>
      </c>
    </row>
    <row r="204" customFormat="false" ht="22.35" hidden="false" customHeight="false" outlineLevel="0" collapsed="false">
      <c r="A204" s="18" t="s">
        <v>1028</v>
      </c>
      <c r="B204" s="18" t="s">
        <v>58</v>
      </c>
      <c r="C204" s="18" t="s">
        <v>59</v>
      </c>
      <c r="D204" s="18" t="s">
        <v>1015</v>
      </c>
      <c r="E204" s="18" t="n">
        <v>10</v>
      </c>
      <c r="F204" s="18" t="s">
        <v>857</v>
      </c>
      <c r="G204" s="18" t="s">
        <v>145</v>
      </c>
      <c r="H204" s="18" t="s">
        <v>109</v>
      </c>
      <c r="I204" s="18"/>
      <c r="J204" s="18"/>
      <c r="K204" s="18"/>
      <c r="L204" s="18" t="s">
        <v>109</v>
      </c>
      <c r="M204" s="18" t="s">
        <v>109</v>
      </c>
      <c r="N204" s="18"/>
      <c r="O204" s="18"/>
      <c r="P204" s="18"/>
      <c r="Q204" s="18" t="s">
        <v>110</v>
      </c>
      <c r="R204" s="18" t="s">
        <v>859</v>
      </c>
      <c r="S204" s="18" t="s">
        <v>112</v>
      </c>
      <c r="T204" s="18" t="s">
        <v>113</v>
      </c>
      <c r="U204" s="18"/>
      <c r="V204" s="19" t="s">
        <v>29</v>
      </c>
      <c r="W204" s="19"/>
      <c r="X204" s="19"/>
      <c r="Y204" s="20"/>
      <c r="Z204" s="19"/>
      <c r="AA204" s="18" t="str">
        <f aca="false">IF(OR(V204="Aprobada"),R204,IF(AND(OR(V204="Aprobada con ajuste",V204="Rechazada"),W204&lt;&gt;""),W204,""))</f>
        <v/>
      </c>
    </row>
    <row r="205" customFormat="false" ht="22.35" hidden="false" customHeight="false" outlineLevel="0" collapsed="false">
      <c r="A205" s="18" t="s">
        <v>1029</v>
      </c>
      <c r="B205" s="18" t="s">
        <v>58</v>
      </c>
      <c r="C205" s="18" t="s">
        <v>59</v>
      </c>
      <c r="D205" s="18" t="s">
        <v>1015</v>
      </c>
      <c r="E205" s="18" t="n">
        <v>10</v>
      </c>
      <c r="F205" s="18" t="s">
        <v>1030</v>
      </c>
      <c r="G205" s="18" t="s">
        <v>139</v>
      </c>
      <c r="H205" s="18" t="s">
        <v>109</v>
      </c>
      <c r="I205" s="18"/>
      <c r="J205" s="18"/>
      <c r="K205" s="18"/>
      <c r="L205" s="18" t="s">
        <v>109</v>
      </c>
      <c r="M205" s="18" t="s">
        <v>109</v>
      </c>
      <c r="N205" s="18"/>
      <c r="O205" s="18"/>
      <c r="P205" s="18"/>
      <c r="Q205" s="18" t="s">
        <v>110</v>
      </c>
      <c r="R205" s="18" t="s">
        <v>1031</v>
      </c>
      <c r="S205" s="18" t="s">
        <v>112</v>
      </c>
      <c r="T205" s="18" t="s">
        <v>113</v>
      </c>
      <c r="U205" s="18"/>
      <c r="V205" s="19" t="s">
        <v>29</v>
      </c>
      <c r="W205" s="19"/>
      <c r="X205" s="19"/>
      <c r="Y205" s="20"/>
      <c r="Z205" s="19"/>
      <c r="AA205" s="18" t="str">
        <f aca="false">IF(OR(V205="Aprobada"),R205,IF(AND(OR(V205="Aprobada con ajuste",V205="Rechazada"),W205&lt;&gt;""),W205,""))</f>
        <v/>
      </c>
    </row>
    <row r="206" customFormat="false" ht="53.7" hidden="false" customHeight="false" outlineLevel="0" collapsed="false">
      <c r="A206" s="18" t="s">
        <v>1032</v>
      </c>
      <c r="B206" s="18" t="s">
        <v>58</v>
      </c>
      <c r="C206" s="18" t="s">
        <v>59</v>
      </c>
      <c r="D206" s="18" t="s">
        <v>1033</v>
      </c>
      <c r="E206" s="18" t="n">
        <v>11</v>
      </c>
      <c r="F206" s="18" t="s">
        <v>1034</v>
      </c>
      <c r="G206" s="18" t="s">
        <v>249</v>
      </c>
      <c r="H206" s="18" t="s">
        <v>109</v>
      </c>
      <c r="I206" s="18"/>
      <c r="J206" s="18"/>
      <c r="K206" s="18"/>
      <c r="L206" s="18" t="s">
        <v>109</v>
      </c>
      <c r="M206" s="18" t="s">
        <v>109</v>
      </c>
      <c r="N206" s="18"/>
      <c r="O206" s="18" t="s">
        <v>1035</v>
      </c>
      <c r="P206" s="18"/>
      <c r="Q206" s="18" t="s">
        <v>134</v>
      </c>
      <c r="R206" s="18" t="s">
        <v>1036</v>
      </c>
      <c r="S206" s="18" t="s">
        <v>125</v>
      </c>
      <c r="T206" s="18" t="s">
        <v>1037</v>
      </c>
      <c r="U206" s="18"/>
      <c r="V206" s="19" t="s">
        <v>29</v>
      </c>
      <c r="W206" s="19"/>
      <c r="X206" s="19"/>
      <c r="Y206" s="20"/>
      <c r="Z206" s="19"/>
      <c r="AA206" s="18" t="str">
        <f aca="false">IF(OR(V206="Aprobada"),R206,IF(AND(OR(V206="Aprobada con ajuste",V206="Rechazada"),W206&lt;&gt;""),W206,""))</f>
        <v/>
      </c>
    </row>
    <row r="207" customFormat="false" ht="64.15" hidden="false" customHeight="false" outlineLevel="0" collapsed="false">
      <c r="A207" s="18" t="s">
        <v>1038</v>
      </c>
      <c r="B207" s="18" t="s">
        <v>58</v>
      </c>
      <c r="C207" s="18" t="s">
        <v>59</v>
      </c>
      <c r="D207" s="18" t="s">
        <v>1033</v>
      </c>
      <c r="E207" s="18" t="n">
        <v>11</v>
      </c>
      <c r="F207" s="18" t="s">
        <v>844</v>
      </c>
      <c r="G207" s="18" t="s">
        <v>249</v>
      </c>
      <c r="H207" s="18" t="s">
        <v>109</v>
      </c>
      <c r="I207" s="18"/>
      <c r="J207" s="18"/>
      <c r="K207" s="18"/>
      <c r="L207" s="18" t="s">
        <v>109</v>
      </c>
      <c r="M207" s="18" t="s">
        <v>117</v>
      </c>
      <c r="N207" s="18" t="s">
        <v>1039</v>
      </c>
      <c r="O207" s="18" t="s">
        <v>1040</v>
      </c>
      <c r="P207" s="18"/>
      <c r="Q207" s="18" t="s">
        <v>134</v>
      </c>
      <c r="R207" s="18" t="s">
        <v>1041</v>
      </c>
      <c r="S207" s="18" t="s">
        <v>125</v>
      </c>
      <c r="T207" s="18" t="s">
        <v>1042</v>
      </c>
      <c r="U207" s="18"/>
      <c r="V207" s="19" t="s">
        <v>29</v>
      </c>
      <c r="W207" s="19"/>
      <c r="X207" s="19"/>
      <c r="Y207" s="20"/>
      <c r="Z207" s="19"/>
      <c r="AA207" s="18" t="str">
        <f aca="false">IF(OR(V207="Aprobada"),R207,IF(AND(OR(V207="Aprobada con ajuste",V207="Rechazada"),W207&lt;&gt;""),W207,""))</f>
        <v/>
      </c>
    </row>
    <row r="208" customFormat="false" ht="22.35" hidden="false" customHeight="false" outlineLevel="0" collapsed="false">
      <c r="A208" s="18" t="s">
        <v>1043</v>
      </c>
      <c r="B208" s="18" t="s">
        <v>58</v>
      </c>
      <c r="C208" s="18" t="s">
        <v>59</v>
      </c>
      <c r="D208" s="18" t="s">
        <v>1033</v>
      </c>
      <c r="E208" s="18" t="n">
        <v>11</v>
      </c>
      <c r="F208" s="18" t="s">
        <v>882</v>
      </c>
      <c r="G208" s="18" t="s">
        <v>116</v>
      </c>
      <c r="H208" s="18" t="s">
        <v>117</v>
      </c>
      <c r="I208" s="18"/>
      <c r="J208" s="18"/>
      <c r="K208" s="18"/>
      <c r="L208" s="18" t="s">
        <v>109</v>
      </c>
      <c r="M208" s="18" t="s">
        <v>109</v>
      </c>
      <c r="N208" s="18"/>
      <c r="O208" s="18"/>
      <c r="P208" s="18"/>
      <c r="Q208" s="18" t="s">
        <v>134</v>
      </c>
      <c r="R208" s="18" t="s">
        <v>1044</v>
      </c>
      <c r="S208" s="18" t="s">
        <v>112</v>
      </c>
      <c r="T208" s="18" t="s">
        <v>1045</v>
      </c>
      <c r="U208" s="18" t="s">
        <v>1046</v>
      </c>
      <c r="V208" s="19" t="s">
        <v>29</v>
      </c>
      <c r="W208" s="19"/>
      <c r="X208" s="19"/>
      <c r="Y208" s="20"/>
      <c r="Z208" s="19"/>
      <c r="AA208" s="18" t="str">
        <f aca="false">IF(OR(V208="Aprobada"),R208,IF(AND(OR(V208="Aprobada con ajuste",V208="Rechazada"),W208&lt;&gt;""),W208,""))</f>
        <v/>
      </c>
    </row>
    <row r="209" customFormat="false" ht="22.35" hidden="false" customHeight="false" outlineLevel="0" collapsed="false">
      <c r="A209" s="18" t="s">
        <v>1047</v>
      </c>
      <c r="B209" s="18" t="s">
        <v>58</v>
      </c>
      <c r="C209" s="18" t="s">
        <v>59</v>
      </c>
      <c r="D209" s="18" t="s">
        <v>1033</v>
      </c>
      <c r="E209" s="18" t="n">
        <v>11</v>
      </c>
      <c r="F209" s="18" t="s">
        <v>1048</v>
      </c>
      <c r="G209" s="18" t="s">
        <v>116</v>
      </c>
      <c r="H209" s="18" t="s">
        <v>117</v>
      </c>
      <c r="I209" s="18"/>
      <c r="J209" s="18"/>
      <c r="K209" s="18"/>
      <c r="L209" s="18" t="s">
        <v>109</v>
      </c>
      <c r="M209" s="18" t="s">
        <v>109</v>
      </c>
      <c r="N209" s="18"/>
      <c r="O209" s="18"/>
      <c r="P209" s="18"/>
      <c r="Q209" s="18" t="s">
        <v>134</v>
      </c>
      <c r="R209" s="18" t="s">
        <v>1049</v>
      </c>
      <c r="S209" s="18" t="s">
        <v>112</v>
      </c>
      <c r="T209" s="18" t="s">
        <v>129</v>
      </c>
      <c r="U209" s="18" t="s">
        <v>1050</v>
      </c>
      <c r="V209" s="19" t="s">
        <v>29</v>
      </c>
      <c r="W209" s="19"/>
      <c r="X209" s="19"/>
      <c r="Y209" s="20"/>
      <c r="Z209" s="19"/>
      <c r="AA209" s="18" t="str">
        <f aca="false">IF(OR(V209="Aprobada"),R209,IF(AND(OR(V209="Aprobada con ajuste",V209="Rechazada"),W209&lt;&gt;""),W209,""))</f>
        <v/>
      </c>
    </row>
    <row r="210" customFormat="false" ht="22.35" hidden="false" customHeight="false" outlineLevel="0" collapsed="false">
      <c r="A210" s="18" t="s">
        <v>1051</v>
      </c>
      <c r="B210" s="18" t="s">
        <v>58</v>
      </c>
      <c r="C210" s="18" t="s">
        <v>59</v>
      </c>
      <c r="D210" s="18" t="s">
        <v>1033</v>
      </c>
      <c r="E210" s="18" t="n">
        <v>11</v>
      </c>
      <c r="F210" s="18" t="s">
        <v>1018</v>
      </c>
      <c r="G210" s="18" t="s">
        <v>116</v>
      </c>
      <c r="H210" s="18" t="s">
        <v>117</v>
      </c>
      <c r="I210" s="18"/>
      <c r="J210" s="18"/>
      <c r="K210" s="18"/>
      <c r="L210" s="18" t="s">
        <v>109</v>
      </c>
      <c r="M210" s="18" t="s">
        <v>109</v>
      </c>
      <c r="N210" s="18"/>
      <c r="O210" s="18"/>
      <c r="P210" s="18"/>
      <c r="Q210" s="18" t="s">
        <v>110</v>
      </c>
      <c r="R210" s="18" t="s">
        <v>1052</v>
      </c>
      <c r="S210" s="18" t="s">
        <v>112</v>
      </c>
      <c r="T210" s="18" t="s">
        <v>113</v>
      </c>
      <c r="U210" s="18"/>
      <c r="V210" s="19" t="s">
        <v>29</v>
      </c>
      <c r="W210" s="19"/>
      <c r="X210" s="19"/>
      <c r="Y210" s="20"/>
      <c r="Z210" s="19"/>
      <c r="AA210" s="18" t="str">
        <f aca="false">IF(OR(V210="Aprobada"),R210,IF(AND(OR(V210="Aprobada con ajuste",V210="Rechazada"),W210&lt;&gt;""),W210,""))</f>
        <v/>
      </c>
    </row>
    <row r="211" customFormat="false" ht="32.8" hidden="false" customHeight="false" outlineLevel="0" collapsed="false">
      <c r="A211" s="18" t="s">
        <v>1053</v>
      </c>
      <c r="B211" s="18" t="s">
        <v>58</v>
      </c>
      <c r="C211" s="18" t="s">
        <v>59</v>
      </c>
      <c r="D211" s="18" t="s">
        <v>1033</v>
      </c>
      <c r="E211" s="18" t="n">
        <v>11</v>
      </c>
      <c r="F211" s="18" t="s">
        <v>961</v>
      </c>
      <c r="G211" s="18" t="s">
        <v>139</v>
      </c>
      <c r="H211" s="18" t="s">
        <v>109</v>
      </c>
      <c r="I211" s="18" t="s">
        <v>140</v>
      </c>
      <c r="J211" s="18"/>
      <c r="K211" s="18"/>
      <c r="L211" s="18" t="s">
        <v>109</v>
      </c>
      <c r="M211" s="18" t="s">
        <v>109</v>
      </c>
      <c r="N211" s="18"/>
      <c r="O211" s="18" t="s">
        <v>1054</v>
      </c>
      <c r="P211" s="18"/>
      <c r="Q211" s="18" t="s">
        <v>110</v>
      </c>
      <c r="R211" s="18" t="s">
        <v>1055</v>
      </c>
      <c r="S211" s="18" t="s">
        <v>112</v>
      </c>
      <c r="T211" s="18" t="s">
        <v>113</v>
      </c>
      <c r="U211" s="18"/>
      <c r="V211" s="19" t="s">
        <v>29</v>
      </c>
      <c r="W211" s="19"/>
      <c r="X211" s="19"/>
      <c r="Y211" s="20"/>
      <c r="Z211" s="19"/>
      <c r="AA211" s="18" t="str">
        <f aca="false">IF(OR(V211="Aprobada"),R211,IF(AND(OR(V211="Aprobada con ajuste",V211="Rechazada"),W211&lt;&gt;""),W211,""))</f>
        <v/>
      </c>
    </row>
    <row r="212" customFormat="false" ht="22.35" hidden="false" customHeight="false" outlineLevel="0" collapsed="false">
      <c r="A212" s="18" t="s">
        <v>1056</v>
      </c>
      <c r="B212" s="18" t="s">
        <v>58</v>
      </c>
      <c r="C212" s="18" t="s">
        <v>59</v>
      </c>
      <c r="D212" s="18" t="s">
        <v>1033</v>
      </c>
      <c r="E212" s="18" t="n">
        <v>11</v>
      </c>
      <c r="F212" s="18" t="s">
        <v>981</v>
      </c>
      <c r="G212" s="18" t="s">
        <v>116</v>
      </c>
      <c r="H212" s="18" t="s">
        <v>109</v>
      </c>
      <c r="I212" s="18"/>
      <c r="J212" s="18"/>
      <c r="K212" s="18"/>
      <c r="L212" s="18" t="s">
        <v>109</v>
      </c>
      <c r="M212" s="18" t="s">
        <v>109</v>
      </c>
      <c r="N212" s="18"/>
      <c r="O212" s="18"/>
      <c r="P212" s="18"/>
      <c r="Q212" s="18" t="s">
        <v>134</v>
      </c>
      <c r="R212" s="18" t="s">
        <v>1057</v>
      </c>
      <c r="S212" s="18" t="s">
        <v>125</v>
      </c>
      <c r="T212" s="18" t="s">
        <v>129</v>
      </c>
      <c r="U212" s="18"/>
      <c r="V212" s="19" t="s">
        <v>29</v>
      </c>
      <c r="W212" s="19"/>
      <c r="X212" s="19"/>
      <c r="Y212" s="20"/>
      <c r="Z212" s="19"/>
      <c r="AA212" s="18" t="str">
        <f aca="false">IF(OR(V212="Aprobada"),R212,IF(AND(OR(V212="Aprobada con ajuste",V212="Rechazada"),W212&lt;&gt;""),W212,""))</f>
        <v/>
      </c>
    </row>
    <row r="213" customFormat="false" ht="22.35" hidden="false" customHeight="false" outlineLevel="0" collapsed="false">
      <c r="A213" s="18" t="s">
        <v>1058</v>
      </c>
      <c r="B213" s="18" t="s">
        <v>58</v>
      </c>
      <c r="C213" s="18" t="s">
        <v>59</v>
      </c>
      <c r="D213" s="18" t="s">
        <v>1033</v>
      </c>
      <c r="E213" s="18" t="n">
        <v>11</v>
      </c>
      <c r="F213" s="18" t="s">
        <v>1059</v>
      </c>
      <c r="G213" s="18" t="s">
        <v>116</v>
      </c>
      <c r="H213" s="18" t="s">
        <v>109</v>
      </c>
      <c r="I213" s="18"/>
      <c r="J213" s="18"/>
      <c r="K213" s="18"/>
      <c r="L213" s="18" t="s">
        <v>109</v>
      </c>
      <c r="M213" s="18" t="s">
        <v>109</v>
      </c>
      <c r="N213" s="18"/>
      <c r="O213" s="18"/>
      <c r="P213" s="18"/>
      <c r="Q213" s="18" t="s">
        <v>110</v>
      </c>
      <c r="R213" s="18" t="s">
        <v>1060</v>
      </c>
      <c r="S213" s="18" t="s">
        <v>112</v>
      </c>
      <c r="T213" s="18" t="s">
        <v>113</v>
      </c>
      <c r="U213" s="18"/>
      <c r="V213" s="19" t="s">
        <v>29</v>
      </c>
      <c r="W213" s="19"/>
      <c r="X213" s="19"/>
      <c r="Y213" s="20"/>
      <c r="Z213" s="19"/>
      <c r="AA213" s="18" t="str">
        <f aca="false">IF(OR(V213="Aprobada"),R213,IF(AND(OR(V213="Aprobada con ajuste",V213="Rechazada"),W213&lt;&gt;""),W213,""))</f>
        <v/>
      </c>
    </row>
    <row r="214" customFormat="false" ht="22.35" hidden="false" customHeight="false" outlineLevel="0" collapsed="false">
      <c r="A214" s="18" t="s">
        <v>1061</v>
      </c>
      <c r="B214" s="18" t="s">
        <v>58</v>
      </c>
      <c r="C214" s="18" t="s">
        <v>59</v>
      </c>
      <c r="D214" s="18" t="s">
        <v>1033</v>
      </c>
      <c r="E214" s="18" t="n">
        <v>11</v>
      </c>
      <c r="F214" s="18" t="s">
        <v>988</v>
      </c>
      <c r="G214" s="18" t="s">
        <v>989</v>
      </c>
      <c r="H214" s="18" t="s">
        <v>109</v>
      </c>
      <c r="I214" s="18" t="s">
        <v>140</v>
      </c>
      <c r="J214" s="18"/>
      <c r="K214" s="18"/>
      <c r="L214" s="18" t="s">
        <v>109</v>
      </c>
      <c r="M214" s="18" t="s">
        <v>109</v>
      </c>
      <c r="N214" s="18"/>
      <c r="O214" s="18"/>
      <c r="P214" s="18"/>
      <c r="Q214" s="18" t="s">
        <v>110</v>
      </c>
      <c r="R214" s="18" t="s">
        <v>776</v>
      </c>
      <c r="S214" s="18" t="s">
        <v>112</v>
      </c>
      <c r="T214" s="18" t="s">
        <v>113</v>
      </c>
      <c r="U214" s="18"/>
      <c r="V214" s="19" t="s">
        <v>29</v>
      </c>
      <c r="W214" s="19"/>
      <c r="X214" s="19"/>
      <c r="Y214" s="20"/>
      <c r="Z214" s="19"/>
      <c r="AA214" s="18" t="str">
        <f aca="false">IF(OR(V214="Aprobada"),R214,IF(AND(OR(V214="Aprobada con ajuste",V214="Rechazada"),W214&lt;&gt;""),W214,""))</f>
        <v/>
      </c>
    </row>
    <row r="215" customFormat="false" ht="22.35" hidden="false" customHeight="false" outlineLevel="0" collapsed="false">
      <c r="A215" s="18" t="s">
        <v>1062</v>
      </c>
      <c r="B215" s="18" t="s">
        <v>58</v>
      </c>
      <c r="C215" s="18" t="s">
        <v>59</v>
      </c>
      <c r="D215" s="18" t="s">
        <v>1033</v>
      </c>
      <c r="E215" s="18" t="n">
        <v>11</v>
      </c>
      <c r="F215" s="18" t="s">
        <v>1063</v>
      </c>
      <c r="G215" s="18" t="s">
        <v>116</v>
      </c>
      <c r="H215" s="18" t="s">
        <v>109</v>
      </c>
      <c r="I215" s="18"/>
      <c r="J215" s="18"/>
      <c r="K215" s="18"/>
      <c r="L215" s="18" t="s">
        <v>109</v>
      </c>
      <c r="M215" s="18" t="s">
        <v>109</v>
      </c>
      <c r="N215" s="18"/>
      <c r="O215" s="18"/>
      <c r="P215" s="18"/>
      <c r="Q215" s="18" t="s">
        <v>134</v>
      </c>
      <c r="R215" s="18" t="s">
        <v>1064</v>
      </c>
      <c r="S215" s="18" t="s">
        <v>125</v>
      </c>
      <c r="T215" s="18" t="s">
        <v>129</v>
      </c>
      <c r="U215" s="18"/>
      <c r="V215" s="19" t="s">
        <v>29</v>
      </c>
      <c r="W215" s="19"/>
      <c r="X215" s="19"/>
      <c r="Y215" s="20"/>
      <c r="Z215" s="19"/>
      <c r="AA215" s="18" t="str">
        <f aca="false">IF(OR(V215="Aprobada"),R215,IF(AND(OR(V215="Aprobada con ajuste",V215="Rechazada"),W215&lt;&gt;""),W215,""))</f>
        <v/>
      </c>
    </row>
    <row r="216" customFormat="false" ht="22.35" hidden="false" customHeight="false" outlineLevel="0" collapsed="false">
      <c r="A216" s="18" t="s">
        <v>1065</v>
      </c>
      <c r="B216" s="18" t="s">
        <v>58</v>
      </c>
      <c r="C216" s="18" t="s">
        <v>59</v>
      </c>
      <c r="D216" s="18" t="s">
        <v>1033</v>
      </c>
      <c r="E216" s="18" t="n">
        <v>11</v>
      </c>
      <c r="F216" s="18" t="s">
        <v>1066</v>
      </c>
      <c r="G216" s="18" t="s">
        <v>116</v>
      </c>
      <c r="H216" s="18" t="s">
        <v>109</v>
      </c>
      <c r="I216" s="18"/>
      <c r="J216" s="18"/>
      <c r="K216" s="18"/>
      <c r="L216" s="18" t="s">
        <v>109</v>
      </c>
      <c r="M216" s="18" t="s">
        <v>109</v>
      </c>
      <c r="N216" s="18"/>
      <c r="O216" s="18"/>
      <c r="P216" s="18"/>
      <c r="Q216" s="18" t="s">
        <v>134</v>
      </c>
      <c r="R216" s="18" t="s">
        <v>1067</v>
      </c>
      <c r="S216" s="18" t="s">
        <v>112</v>
      </c>
      <c r="T216" s="18" t="s">
        <v>983</v>
      </c>
      <c r="U216" s="18" t="s">
        <v>1068</v>
      </c>
      <c r="V216" s="19" t="s">
        <v>29</v>
      </c>
      <c r="W216" s="19"/>
      <c r="X216" s="19"/>
      <c r="Y216" s="20"/>
      <c r="Z216" s="19"/>
      <c r="AA216" s="18" t="str">
        <f aca="false">IF(OR(V216="Aprobada"),R216,IF(AND(OR(V216="Aprobada con ajuste",V216="Rechazada"),W216&lt;&gt;""),W216,""))</f>
        <v/>
      </c>
    </row>
    <row r="217" customFormat="false" ht="22.35" hidden="false" customHeight="false" outlineLevel="0" collapsed="false">
      <c r="A217" s="18" t="s">
        <v>1069</v>
      </c>
      <c r="B217" s="18" t="s">
        <v>58</v>
      </c>
      <c r="C217" s="18" t="s">
        <v>59</v>
      </c>
      <c r="D217" s="18" t="s">
        <v>1033</v>
      </c>
      <c r="E217" s="18" t="n">
        <v>11</v>
      </c>
      <c r="F217" s="18" t="s">
        <v>1070</v>
      </c>
      <c r="G217" s="18" t="s">
        <v>116</v>
      </c>
      <c r="H217" s="18" t="s">
        <v>117</v>
      </c>
      <c r="I217" s="18"/>
      <c r="J217" s="18"/>
      <c r="K217" s="18"/>
      <c r="L217" s="18" t="s">
        <v>109</v>
      </c>
      <c r="M217" s="18" t="s">
        <v>109</v>
      </c>
      <c r="N217" s="18"/>
      <c r="O217" s="18"/>
      <c r="P217" s="18"/>
      <c r="Q217" s="18" t="s">
        <v>134</v>
      </c>
      <c r="R217" s="18" t="s">
        <v>1071</v>
      </c>
      <c r="S217" s="18" t="s">
        <v>125</v>
      </c>
      <c r="T217" s="18" t="s">
        <v>983</v>
      </c>
      <c r="U217" s="18"/>
      <c r="V217" s="19" t="s">
        <v>29</v>
      </c>
      <c r="W217" s="19"/>
      <c r="X217" s="19"/>
      <c r="Y217" s="20"/>
      <c r="Z217" s="19"/>
      <c r="AA217" s="18" t="str">
        <f aca="false">IF(OR(V217="Aprobada"),R217,IF(AND(OR(V217="Aprobada con ajuste",V217="Rechazada"),W217&lt;&gt;""),W217,""))</f>
        <v/>
      </c>
    </row>
    <row r="218" customFormat="false" ht="22.35" hidden="false" customHeight="false" outlineLevel="0" collapsed="false">
      <c r="A218" s="18" t="s">
        <v>1072</v>
      </c>
      <c r="B218" s="18" t="s">
        <v>58</v>
      </c>
      <c r="C218" s="18" t="s">
        <v>59</v>
      </c>
      <c r="D218" s="18" t="s">
        <v>1033</v>
      </c>
      <c r="E218" s="18" t="n">
        <v>11</v>
      </c>
      <c r="F218" s="18" t="s">
        <v>1073</v>
      </c>
      <c r="G218" s="18" t="s">
        <v>116</v>
      </c>
      <c r="H218" s="18" t="s">
        <v>109</v>
      </c>
      <c r="I218" s="18"/>
      <c r="J218" s="18"/>
      <c r="K218" s="18"/>
      <c r="L218" s="18" t="s">
        <v>109</v>
      </c>
      <c r="M218" s="18" t="s">
        <v>109</v>
      </c>
      <c r="N218" s="18"/>
      <c r="O218" s="18"/>
      <c r="P218" s="18"/>
      <c r="Q218" s="18" t="s">
        <v>134</v>
      </c>
      <c r="R218" s="18" t="s">
        <v>1074</v>
      </c>
      <c r="S218" s="18" t="s">
        <v>125</v>
      </c>
      <c r="T218" s="18" t="s">
        <v>983</v>
      </c>
      <c r="U218" s="18"/>
      <c r="V218" s="19" t="s">
        <v>29</v>
      </c>
      <c r="W218" s="19"/>
      <c r="X218" s="19"/>
      <c r="Y218" s="20"/>
      <c r="Z218" s="19"/>
      <c r="AA218" s="18" t="str">
        <f aca="false">IF(OR(V218="Aprobada"),R218,IF(AND(OR(V218="Aprobada con ajuste",V218="Rechazada"),W218&lt;&gt;""),W218,""))</f>
        <v/>
      </c>
    </row>
    <row r="219" customFormat="false" ht="53.7" hidden="false" customHeight="false" outlineLevel="0" collapsed="false">
      <c r="A219" s="18" t="s">
        <v>1075</v>
      </c>
      <c r="B219" s="18" t="s">
        <v>58</v>
      </c>
      <c r="C219" s="18" t="s">
        <v>59</v>
      </c>
      <c r="D219" s="18" t="s">
        <v>1033</v>
      </c>
      <c r="E219" s="18" t="n">
        <v>11</v>
      </c>
      <c r="F219" s="18" t="s">
        <v>107</v>
      </c>
      <c r="G219" s="18" t="s">
        <v>116</v>
      </c>
      <c r="H219" s="18" t="s">
        <v>109</v>
      </c>
      <c r="I219" s="18" t="s">
        <v>140</v>
      </c>
      <c r="J219" s="18" t="s">
        <v>1076</v>
      </c>
      <c r="K219" s="18"/>
      <c r="L219" s="18" t="s">
        <v>117</v>
      </c>
      <c r="M219" s="18" t="s">
        <v>117</v>
      </c>
      <c r="N219" s="18" t="s">
        <v>554</v>
      </c>
      <c r="O219" s="18"/>
      <c r="P219" s="18"/>
      <c r="Q219" s="18" t="s">
        <v>110</v>
      </c>
      <c r="R219" s="18" t="s">
        <v>1077</v>
      </c>
      <c r="S219" s="18" t="s">
        <v>112</v>
      </c>
      <c r="T219" s="18" t="s">
        <v>113</v>
      </c>
      <c r="U219" s="18"/>
      <c r="V219" s="19" t="s">
        <v>29</v>
      </c>
      <c r="W219" s="19"/>
      <c r="X219" s="19"/>
      <c r="Y219" s="20"/>
      <c r="Z219" s="19"/>
      <c r="AA219" s="18" t="str">
        <f aca="false">IF(OR(V219="Aprobada"),R219,IF(AND(OR(V219="Aprobada con ajuste",V219="Rechazada"),W219&lt;&gt;""),W219,""))</f>
        <v/>
      </c>
    </row>
    <row r="220" customFormat="false" ht="22.35" hidden="false" customHeight="false" outlineLevel="0" collapsed="false">
      <c r="A220" s="18" t="s">
        <v>1078</v>
      </c>
      <c r="B220" s="18" t="s">
        <v>58</v>
      </c>
      <c r="C220" s="18" t="s">
        <v>59</v>
      </c>
      <c r="D220" s="18" t="s">
        <v>1033</v>
      </c>
      <c r="E220" s="18" t="n">
        <v>11</v>
      </c>
      <c r="F220" s="18" t="s">
        <v>1079</v>
      </c>
      <c r="G220" s="18" t="s">
        <v>249</v>
      </c>
      <c r="H220" s="18" t="s">
        <v>117</v>
      </c>
      <c r="I220" s="18"/>
      <c r="J220" s="18"/>
      <c r="K220" s="18"/>
      <c r="L220" s="18" t="s">
        <v>109</v>
      </c>
      <c r="M220" s="18" t="s">
        <v>109</v>
      </c>
      <c r="N220" s="18"/>
      <c r="O220" s="18" t="s">
        <v>1080</v>
      </c>
      <c r="P220" s="18"/>
      <c r="Q220" s="18" t="s">
        <v>134</v>
      </c>
      <c r="R220" s="18" t="s">
        <v>1081</v>
      </c>
      <c r="S220" s="18" t="s">
        <v>112</v>
      </c>
      <c r="T220" s="18" t="s">
        <v>540</v>
      </c>
      <c r="U220" s="18" t="s">
        <v>1082</v>
      </c>
      <c r="V220" s="19" t="s">
        <v>29</v>
      </c>
      <c r="W220" s="19"/>
      <c r="X220" s="19"/>
      <c r="Y220" s="20"/>
      <c r="Z220" s="19"/>
      <c r="AA220" s="18" t="str">
        <f aca="false">IF(OR(V220="Aprobada"),R220,IF(AND(OR(V220="Aprobada con ajuste",V220="Rechazada"),W220&lt;&gt;""),W220,""))</f>
        <v/>
      </c>
    </row>
    <row r="221" customFormat="false" ht="22.35" hidden="false" customHeight="false" outlineLevel="0" collapsed="false">
      <c r="A221" s="18" t="s">
        <v>1083</v>
      </c>
      <c r="B221" s="18" t="s">
        <v>58</v>
      </c>
      <c r="C221" s="18" t="s">
        <v>59</v>
      </c>
      <c r="D221" s="18" t="s">
        <v>1033</v>
      </c>
      <c r="E221" s="18" t="n">
        <v>11</v>
      </c>
      <c r="F221" s="18" t="s">
        <v>1084</v>
      </c>
      <c r="G221" s="18" t="s">
        <v>116</v>
      </c>
      <c r="H221" s="18" t="s">
        <v>117</v>
      </c>
      <c r="I221" s="18"/>
      <c r="J221" s="18"/>
      <c r="K221" s="18"/>
      <c r="L221" s="18" t="s">
        <v>109</v>
      </c>
      <c r="M221" s="18" t="s">
        <v>109</v>
      </c>
      <c r="N221" s="18"/>
      <c r="O221" s="18"/>
      <c r="P221" s="18"/>
      <c r="Q221" s="18" t="s">
        <v>110</v>
      </c>
      <c r="R221" s="18" t="s">
        <v>1085</v>
      </c>
      <c r="S221" s="18" t="s">
        <v>112</v>
      </c>
      <c r="T221" s="18" t="s">
        <v>113</v>
      </c>
      <c r="U221" s="18"/>
      <c r="V221" s="19" t="s">
        <v>29</v>
      </c>
      <c r="W221" s="19"/>
      <c r="X221" s="19"/>
      <c r="Y221" s="20"/>
      <c r="Z221" s="19"/>
      <c r="AA221" s="18" t="str">
        <f aca="false">IF(OR(V221="Aprobada"),R221,IF(AND(OR(V221="Aprobada con ajuste",V221="Rechazada"),W221&lt;&gt;""),W221,""))</f>
        <v/>
      </c>
    </row>
    <row r="222" customFormat="false" ht="22.35" hidden="false" customHeight="false" outlineLevel="0" collapsed="false">
      <c r="A222" s="18" t="s">
        <v>1086</v>
      </c>
      <c r="B222" s="18" t="s">
        <v>58</v>
      </c>
      <c r="C222" s="18" t="s">
        <v>59</v>
      </c>
      <c r="D222" s="18" t="s">
        <v>1033</v>
      </c>
      <c r="E222" s="18" t="n">
        <v>11</v>
      </c>
      <c r="F222" s="18" t="s">
        <v>1087</v>
      </c>
      <c r="G222" s="18" t="s">
        <v>735</v>
      </c>
      <c r="H222" s="18" t="s">
        <v>117</v>
      </c>
      <c r="I222" s="18"/>
      <c r="J222" s="18"/>
      <c r="K222" s="18"/>
      <c r="L222" s="18" t="s">
        <v>109</v>
      </c>
      <c r="M222" s="18" t="s">
        <v>109</v>
      </c>
      <c r="N222" s="18"/>
      <c r="O222" s="18"/>
      <c r="P222" s="18"/>
      <c r="Q222" s="18" t="s">
        <v>110</v>
      </c>
      <c r="R222" s="18" t="s">
        <v>1088</v>
      </c>
      <c r="S222" s="18" t="s">
        <v>112</v>
      </c>
      <c r="T222" s="18" t="s">
        <v>113</v>
      </c>
      <c r="U222" s="18"/>
      <c r="V222" s="19" t="s">
        <v>29</v>
      </c>
      <c r="W222" s="19"/>
      <c r="X222" s="19"/>
      <c r="Y222" s="20"/>
      <c r="Z222" s="19"/>
      <c r="AA222" s="18" t="str">
        <f aca="false">IF(OR(V222="Aprobada"),R222,IF(AND(OR(V222="Aprobada con ajuste",V222="Rechazada"),W222&lt;&gt;""),W222,""))</f>
        <v/>
      </c>
    </row>
    <row r="223" customFormat="false" ht="22.35" hidden="false" customHeight="false" outlineLevel="0" collapsed="false">
      <c r="A223" s="18" t="s">
        <v>1089</v>
      </c>
      <c r="B223" s="18" t="s">
        <v>58</v>
      </c>
      <c r="C223" s="18" t="s">
        <v>59</v>
      </c>
      <c r="D223" s="18" t="s">
        <v>1090</v>
      </c>
      <c r="E223" s="18" t="n">
        <v>0</v>
      </c>
      <c r="F223" s="18" t="s">
        <v>1091</v>
      </c>
      <c r="G223" s="18" t="s">
        <v>184</v>
      </c>
      <c r="H223" s="18" t="s">
        <v>109</v>
      </c>
      <c r="I223" s="18"/>
      <c r="J223" s="18"/>
      <c r="K223" s="18"/>
      <c r="L223" s="18" t="s">
        <v>117</v>
      </c>
      <c r="M223" s="18" t="s">
        <v>109</v>
      </c>
      <c r="N223" s="18"/>
      <c r="O223" s="18"/>
      <c r="P223" s="18"/>
      <c r="Q223" s="18" t="s">
        <v>134</v>
      </c>
      <c r="R223" s="18" t="s">
        <v>1092</v>
      </c>
      <c r="S223" s="18" t="s">
        <v>169</v>
      </c>
      <c r="T223" s="18" t="s">
        <v>291</v>
      </c>
      <c r="U223" s="18" t="s">
        <v>1093</v>
      </c>
      <c r="V223" s="19" t="s">
        <v>29</v>
      </c>
      <c r="W223" s="19"/>
      <c r="X223" s="19"/>
      <c r="Y223" s="20"/>
      <c r="Z223" s="19"/>
      <c r="AA223" s="18" t="str">
        <f aca="false">IF(OR(V223="Aprobada"),R223,IF(AND(OR(V223="Aprobada con ajuste",V223="Rechazada"),W223&lt;&gt;""),W223,""))</f>
        <v/>
      </c>
    </row>
    <row r="224" customFormat="false" ht="53.7" hidden="false" customHeight="false" outlineLevel="0" collapsed="false">
      <c r="A224" s="18" t="s">
        <v>1094</v>
      </c>
      <c r="B224" s="18" t="s">
        <v>58</v>
      </c>
      <c r="C224" s="18" t="s">
        <v>59</v>
      </c>
      <c r="D224" s="18" t="s">
        <v>1095</v>
      </c>
      <c r="E224" s="18" t="n">
        <v>0</v>
      </c>
      <c r="F224" s="18" t="s">
        <v>1096</v>
      </c>
      <c r="G224" s="18" t="s">
        <v>116</v>
      </c>
      <c r="H224" s="18" t="s">
        <v>109</v>
      </c>
      <c r="I224" s="18"/>
      <c r="J224" s="18"/>
      <c r="K224" s="18"/>
      <c r="L224" s="18" t="s">
        <v>109</v>
      </c>
      <c r="M224" s="18" t="s">
        <v>117</v>
      </c>
      <c r="N224" s="18" t="s">
        <v>1097</v>
      </c>
      <c r="O224" s="18" t="s">
        <v>1098</v>
      </c>
      <c r="P224" s="18"/>
      <c r="Q224" s="18" t="s">
        <v>134</v>
      </c>
      <c r="R224" s="18" t="s">
        <v>1099</v>
      </c>
      <c r="S224" s="18" t="s">
        <v>125</v>
      </c>
      <c r="T224" s="18" t="s">
        <v>1100</v>
      </c>
      <c r="U224" s="18"/>
      <c r="V224" s="19" t="s">
        <v>29</v>
      </c>
      <c r="W224" s="19"/>
      <c r="X224" s="19"/>
      <c r="Y224" s="20"/>
      <c r="Z224" s="19"/>
      <c r="AA224" s="18" t="str">
        <f aca="false">IF(OR(V224="Aprobada"),R224,IF(AND(OR(V224="Aprobada con ajuste",V224="Rechazada"),W224&lt;&gt;""),W224,""))</f>
        <v/>
      </c>
    </row>
    <row r="225" customFormat="false" ht="64.15" hidden="false" customHeight="false" outlineLevel="0" collapsed="false">
      <c r="A225" s="18" t="s">
        <v>1101</v>
      </c>
      <c r="B225" s="18" t="s">
        <v>58</v>
      </c>
      <c r="C225" s="18" t="s">
        <v>59</v>
      </c>
      <c r="D225" s="18" t="s">
        <v>1095</v>
      </c>
      <c r="E225" s="18" t="n">
        <v>0</v>
      </c>
      <c r="F225" s="18" t="s">
        <v>1102</v>
      </c>
      <c r="G225" s="18" t="s">
        <v>116</v>
      </c>
      <c r="H225" s="18" t="s">
        <v>109</v>
      </c>
      <c r="I225" s="18"/>
      <c r="J225" s="18"/>
      <c r="K225" s="18"/>
      <c r="L225" s="18" t="s">
        <v>109</v>
      </c>
      <c r="M225" s="18" t="s">
        <v>117</v>
      </c>
      <c r="N225" s="18" t="s">
        <v>1103</v>
      </c>
      <c r="O225" s="18"/>
      <c r="P225" s="18"/>
      <c r="Q225" s="18" t="s">
        <v>134</v>
      </c>
      <c r="R225" s="18" t="s">
        <v>1104</v>
      </c>
      <c r="S225" s="18" t="s">
        <v>125</v>
      </c>
      <c r="T225" s="18" t="s">
        <v>1105</v>
      </c>
      <c r="U225" s="18"/>
      <c r="V225" s="19" t="s">
        <v>29</v>
      </c>
      <c r="W225" s="19"/>
      <c r="X225" s="19"/>
      <c r="Y225" s="20"/>
      <c r="Z225" s="19"/>
      <c r="AA225" s="18" t="str">
        <f aca="false">IF(OR(V225="Aprobada"),R225,IF(AND(OR(V225="Aprobada con ajuste",V225="Rechazada"),W225&lt;&gt;""),W225,""))</f>
        <v/>
      </c>
    </row>
    <row r="226" customFormat="false" ht="22.35" hidden="false" customHeight="false" outlineLevel="0" collapsed="false">
      <c r="A226" s="18" t="s">
        <v>1106</v>
      </c>
      <c r="B226" s="18" t="s">
        <v>58</v>
      </c>
      <c r="C226" s="18" t="s">
        <v>59</v>
      </c>
      <c r="D226" s="18" t="s">
        <v>1095</v>
      </c>
      <c r="E226" s="18" t="n">
        <v>0</v>
      </c>
      <c r="F226" s="18" t="s">
        <v>1107</v>
      </c>
      <c r="G226" s="18" t="s">
        <v>116</v>
      </c>
      <c r="H226" s="18" t="s">
        <v>117</v>
      </c>
      <c r="I226" s="18"/>
      <c r="J226" s="18"/>
      <c r="K226" s="18"/>
      <c r="L226" s="18" t="s">
        <v>109</v>
      </c>
      <c r="M226" s="18" t="s">
        <v>109</v>
      </c>
      <c r="N226" s="18"/>
      <c r="O226" s="18"/>
      <c r="P226" s="18"/>
      <c r="Q226" s="18" t="s">
        <v>134</v>
      </c>
      <c r="R226" s="18" t="s">
        <v>1108</v>
      </c>
      <c r="S226" s="18" t="s">
        <v>125</v>
      </c>
      <c r="T226" s="18" t="s">
        <v>1109</v>
      </c>
      <c r="U226" s="18"/>
      <c r="V226" s="19" t="s">
        <v>29</v>
      </c>
      <c r="W226" s="19"/>
      <c r="X226" s="19"/>
      <c r="Y226" s="20"/>
      <c r="Z226" s="19"/>
      <c r="AA226" s="18" t="str">
        <f aca="false">IF(OR(V226="Aprobada"),R226,IF(AND(OR(V226="Aprobada con ajuste",V226="Rechazada"),W226&lt;&gt;""),W226,""))</f>
        <v/>
      </c>
    </row>
    <row r="227" customFormat="false" ht="22.35" hidden="false" customHeight="false" outlineLevel="0" collapsed="false">
      <c r="A227" s="18" t="s">
        <v>1110</v>
      </c>
      <c r="B227" s="18" t="s">
        <v>58</v>
      </c>
      <c r="C227" s="18" t="s">
        <v>59</v>
      </c>
      <c r="D227" s="18" t="s">
        <v>1095</v>
      </c>
      <c r="E227" s="18" t="n">
        <v>0</v>
      </c>
      <c r="F227" s="18" t="s">
        <v>1111</v>
      </c>
      <c r="G227" s="18" t="s">
        <v>139</v>
      </c>
      <c r="H227" s="18" t="s">
        <v>109</v>
      </c>
      <c r="I227" s="18" t="s">
        <v>140</v>
      </c>
      <c r="J227" s="18"/>
      <c r="K227" s="18"/>
      <c r="L227" s="18" t="s">
        <v>109</v>
      </c>
      <c r="M227" s="18" t="s">
        <v>109</v>
      </c>
      <c r="N227" s="18"/>
      <c r="O227" s="18"/>
      <c r="P227" s="18"/>
      <c r="Q227" s="18" t="s">
        <v>134</v>
      </c>
      <c r="R227" s="18" t="s">
        <v>1112</v>
      </c>
      <c r="S227" s="18" t="s">
        <v>125</v>
      </c>
      <c r="T227" s="18" t="s">
        <v>1113</v>
      </c>
      <c r="U227" s="18"/>
      <c r="V227" s="19" t="s">
        <v>29</v>
      </c>
      <c r="W227" s="19"/>
      <c r="X227" s="19"/>
      <c r="Y227" s="20"/>
      <c r="Z227" s="19"/>
      <c r="AA227" s="18" t="str">
        <f aca="false">IF(OR(V227="Aprobada"),R227,IF(AND(OR(V227="Aprobada con ajuste",V227="Rechazada"),W227&lt;&gt;""),W227,""))</f>
        <v/>
      </c>
    </row>
    <row r="228" customFormat="false" ht="22.35" hidden="false" customHeight="false" outlineLevel="0" collapsed="false">
      <c r="A228" s="18" t="s">
        <v>1114</v>
      </c>
      <c r="B228" s="18" t="s">
        <v>58</v>
      </c>
      <c r="C228" s="18" t="s">
        <v>59</v>
      </c>
      <c r="D228" s="18" t="s">
        <v>1095</v>
      </c>
      <c r="E228" s="18" t="n">
        <v>0</v>
      </c>
      <c r="F228" s="18" t="s">
        <v>1115</v>
      </c>
      <c r="G228" s="18" t="s">
        <v>116</v>
      </c>
      <c r="H228" s="18" t="s">
        <v>109</v>
      </c>
      <c r="I228" s="18"/>
      <c r="J228" s="18"/>
      <c r="K228" s="18"/>
      <c r="L228" s="18" t="s">
        <v>109</v>
      </c>
      <c r="M228" s="18" t="s">
        <v>109</v>
      </c>
      <c r="N228" s="18"/>
      <c r="O228" s="18"/>
      <c r="P228" s="18"/>
      <c r="Q228" s="18" t="s">
        <v>134</v>
      </c>
      <c r="R228" s="18" t="s">
        <v>1116</v>
      </c>
      <c r="S228" s="18" t="s">
        <v>112</v>
      </c>
      <c r="T228" s="18" t="s">
        <v>1117</v>
      </c>
      <c r="U228" s="18" t="s">
        <v>1118</v>
      </c>
      <c r="V228" s="19" t="s">
        <v>29</v>
      </c>
      <c r="W228" s="19"/>
      <c r="X228" s="19"/>
      <c r="Y228" s="20"/>
      <c r="Z228" s="19"/>
      <c r="AA228" s="18" t="str">
        <f aca="false">IF(OR(V228="Aprobada"),R228,IF(AND(OR(V228="Aprobada con ajuste",V228="Rechazada"),W228&lt;&gt;""),W228,""))</f>
        <v/>
      </c>
    </row>
    <row r="229" customFormat="false" ht="22.35" hidden="false" customHeight="false" outlineLevel="0" collapsed="false">
      <c r="A229" s="18" t="s">
        <v>1119</v>
      </c>
      <c r="B229" s="18" t="s">
        <v>58</v>
      </c>
      <c r="C229" s="18" t="s">
        <v>59</v>
      </c>
      <c r="D229" s="18" t="s">
        <v>1095</v>
      </c>
      <c r="E229" s="18" t="n">
        <v>0</v>
      </c>
      <c r="F229" s="18" t="s">
        <v>1120</v>
      </c>
      <c r="G229" s="18" t="s">
        <v>1121</v>
      </c>
      <c r="H229" s="18" t="s">
        <v>109</v>
      </c>
      <c r="I229" s="18" t="s">
        <v>140</v>
      </c>
      <c r="J229" s="18"/>
      <c r="K229" s="18"/>
      <c r="L229" s="18" t="s">
        <v>109</v>
      </c>
      <c r="M229" s="18" t="s">
        <v>109</v>
      </c>
      <c r="N229" s="18"/>
      <c r="O229" s="18"/>
      <c r="P229" s="18"/>
      <c r="Q229" s="18" t="s">
        <v>134</v>
      </c>
      <c r="R229" s="18" t="s">
        <v>1122</v>
      </c>
      <c r="S229" s="18" t="s">
        <v>125</v>
      </c>
      <c r="T229" s="18" t="s">
        <v>1123</v>
      </c>
      <c r="U229" s="18"/>
      <c r="V229" s="19" t="s">
        <v>29</v>
      </c>
      <c r="W229" s="19"/>
      <c r="X229" s="19"/>
      <c r="Y229" s="20"/>
      <c r="Z229" s="19"/>
      <c r="AA229" s="18" t="str">
        <f aca="false">IF(OR(V229="Aprobada"),R229,IF(AND(OR(V229="Aprobada con ajuste",V229="Rechazada"),W229&lt;&gt;""),W229,""))</f>
        <v/>
      </c>
    </row>
    <row r="230" customFormat="false" ht="22.35" hidden="false" customHeight="false" outlineLevel="0" collapsed="false">
      <c r="A230" s="18" t="s">
        <v>1124</v>
      </c>
      <c r="B230" s="18" t="s">
        <v>58</v>
      </c>
      <c r="C230" s="18" t="s">
        <v>59</v>
      </c>
      <c r="D230" s="18" t="s">
        <v>1095</v>
      </c>
      <c r="E230" s="18" t="n">
        <v>0</v>
      </c>
      <c r="F230" s="18" t="s">
        <v>1125</v>
      </c>
      <c r="G230" s="18" t="s">
        <v>145</v>
      </c>
      <c r="H230" s="18" t="s">
        <v>109</v>
      </c>
      <c r="I230" s="18"/>
      <c r="J230" s="18"/>
      <c r="K230" s="18"/>
      <c r="L230" s="18" t="s">
        <v>109</v>
      </c>
      <c r="M230" s="18" t="s">
        <v>109</v>
      </c>
      <c r="N230" s="18"/>
      <c r="O230" s="18"/>
      <c r="P230" s="18"/>
      <c r="Q230" s="18" t="s">
        <v>110</v>
      </c>
      <c r="R230" s="18" t="s">
        <v>1126</v>
      </c>
      <c r="S230" s="18" t="s">
        <v>112</v>
      </c>
      <c r="T230" s="18" t="s">
        <v>113</v>
      </c>
      <c r="U230" s="18"/>
      <c r="V230" s="19" t="s">
        <v>29</v>
      </c>
      <c r="W230" s="19"/>
      <c r="X230" s="19"/>
      <c r="Y230" s="20"/>
      <c r="Z230" s="19"/>
      <c r="AA230" s="18" t="str">
        <f aca="false">IF(OR(V230="Aprobada"),R230,IF(AND(OR(V230="Aprobada con ajuste",V230="Rechazada"),W230&lt;&gt;""),W230,""))</f>
        <v/>
      </c>
    </row>
    <row r="231" customFormat="false" ht="53.7" hidden="false" customHeight="false" outlineLevel="0" collapsed="false">
      <c r="A231" s="18" t="s">
        <v>1127</v>
      </c>
      <c r="B231" s="18" t="s">
        <v>58</v>
      </c>
      <c r="C231" s="18" t="s">
        <v>59</v>
      </c>
      <c r="D231" s="18" t="s">
        <v>1095</v>
      </c>
      <c r="E231" s="18" t="n">
        <v>0</v>
      </c>
      <c r="F231" s="18" t="s">
        <v>107</v>
      </c>
      <c r="G231" s="18" t="s">
        <v>116</v>
      </c>
      <c r="H231" s="18" t="s">
        <v>109</v>
      </c>
      <c r="I231" s="18" t="s">
        <v>140</v>
      </c>
      <c r="J231" s="18" t="s">
        <v>1128</v>
      </c>
      <c r="K231" s="18"/>
      <c r="L231" s="18" t="s">
        <v>117</v>
      </c>
      <c r="M231" s="18" t="s">
        <v>117</v>
      </c>
      <c r="N231" s="18" t="s">
        <v>554</v>
      </c>
      <c r="O231" s="18"/>
      <c r="P231" s="18"/>
      <c r="Q231" s="18" t="s">
        <v>110</v>
      </c>
      <c r="R231" s="18" t="s">
        <v>1129</v>
      </c>
      <c r="S231" s="18" t="s">
        <v>112</v>
      </c>
      <c r="T231" s="18" t="s">
        <v>113</v>
      </c>
      <c r="U231" s="18"/>
      <c r="V231" s="19" t="s">
        <v>29</v>
      </c>
      <c r="W231" s="19"/>
      <c r="X231" s="19"/>
      <c r="Y231" s="20"/>
      <c r="Z231" s="19"/>
      <c r="AA231" s="18" t="str">
        <f aca="false">IF(OR(V231="Aprobada"),R231,IF(AND(OR(V231="Aprobada con ajuste",V231="Rechazada"),W231&lt;&gt;""),W231,""))</f>
        <v/>
      </c>
    </row>
    <row r="232" customFormat="false" ht="22.35" hidden="false" customHeight="false" outlineLevel="0" collapsed="false">
      <c r="A232" s="18" t="s">
        <v>1130</v>
      </c>
      <c r="B232" s="18" t="s">
        <v>58</v>
      </c>
      <c r="C232" s="18" t="s">
        <v>59</v>
      </c>
      <c r="D232" s="18" t="s">
        <v>1095</v>
      </c>
      <c r="E232" s="18" t="n">
        <v>0</v>
      </c>
      <c r="F232" s="18" t="s">
        <v>1131</v>
      </c>
      <c r="G232" s="18" t="s">
        <v>116</v>
      </c>
      <c r="H232" s="18" t="s">
        <v>117</v>
      </c>
      <c r="I232" s="18"/>
      <c r="J232" s="18"/>
      <c r="K232" s="18"/>
      <c r="L232" s="18" t="s">
        <v>109</v>
      </c>
      <c r="M232" s="18" t="s">
        <v>109</v>
      </c>
      <c r="N232" s="18"/>
      <c r="O232" s="18"/>
      <c r="P232" s="18"/>
      <c r="Q232" s="18" t="s">
        <v>134</v>
      </c>
      <c r="R232" s="18" t="s">
        <v>1132</v>
      </c>
      <c r="S232" s="18" t="s">
        <v>125</v>
      </c>
      <c r="T232" s="18" t="s">
        <v>1133</v>
      </c>
      <c r="U232" s="18"/>
      <c r="V232" s="19" t="s">
        <v>29</v>
      </c>
      <c r="W232" s="19"/>
      <c r="X232" s="19"/>
      <c r="Y232" s="20"/>
      <c r="Z232" s="19"/>
      <c r="AA232" s="18" t="str">
        <f aca="false">IF(OR(V232="Aprobada"),R232,IF(AND(OR(V232="Aprobada con ajuste",V232="Rechazada"),W232&lt;&gt;""),W232,""))</f>
        <v/>
      </c>
    </row>
    <row r="233" customFormat="false" ht="22.35" hidden="false" customHeight="false" outlineLevel="0" collapsed="false">
      <c r="A233" s="18" t="s">
        <v>1134</v>
      </c>
      <c r="B233" s="18" t="s">
        <v>58</v>
      </c>
      <c r="C233" s="18" t="s">
        <v>59</v>
      </c>
      <c r="D233" s="18" t="s">
        <v>1095</v>
      </c>
      <c r="E233" s="18" t="n">
        <v>0</v>
      </c>
      <c r="F233" s="18" t="s">
        <v>952</v>
      </c>
      <c r="G233" s="18" t="s">
        <v>116</v>
      </c>
      <c r="H233" s="18" t="s">
        <v>117</v>
      </c>
      <c r="I233" s="18"/>
      <c r="J233" s="18"/>
      <c r="K233" s="18"/>
      <c r="L233" s="18" t="s">
        <v>109</v>
      </c>
      <c r="M233" s="18" t="s">
        <v>109</v>
      </c>
      <c r="N233" s="18"/>
      <c r="O233" s="18"/>
      <c r="P233" s="18"/>
      <c r="Q233" s="18" t="s">
        <v>110</v>
      </c>
      <c r="R233" s="18" t="s">
        <v>1135</v>
      </c>
      <c r="S233" s="18" t="s">
        <v>112</v>
      </c>
      <c r="T233" s="18" t="s">
        <v>113</v>
      </c>
      <c r="U233" s="18"/>
      <c r="V233" s="19" t="s">
        <v>29</v>
      </c>
      <c r="W233" s="19"/>
      <c r="X233" s="19"/>
      <c r="Y233" s="20"/>
      <c r="Z233" s="19"/>
      <c r="AA233" s="18" t="str">
        <f aca="false">IF(OR(V233="Aprobada"),R233,IF(AND(OR(V233="Aprobada con ajuste",V233="Rechazada"),W233&lt;&gt;""),W233,""))</f>
        <v/>
      </c>
    </row>
    <row r="234" customFormat="false" ht="22.35" hidden="false" customHeight="false" outlineLevel="0" collapsed="false">
      <c r="A234" s="18" t="s">
        <v>1136</v>
      </c>
      <c r="B234" s="18" t="s">
        <v>58</v>
      </c>
      <c r="C234" s="18" t="s">
        <v>59</v>
      </c>
      <c r="D234" s="18" t="s">
        <v>1095</v>
      </c>
      <c r="E234" s="18" t="n">
        <v>0</v>
      </c>
      <c r="F234" s="18" t="s">
        <v>312</v>
      </c>
      <c r="G234" s="18" t="s">
        <v>116</v>
      </c>
      <c r="H234" s="18" t="s">
        <v>117</v>
      </c>
      <c r="I234" s="18"/>
      <c r="J234" s="18"/>
      <c r="K234" s="18"/>
      <c r="L234" s="18" t="s">
        <v>109</v>
      </c>
      <c r="M234" s="18" t="s">
        <v>109</v>
      </c>
      <c r="N234" s="18"/>
      <c r="O234" s="18"/>
      <c r="P234" s="18"/>
      <c r="Q234" s="18" t="s">
        <v>134</v>
      </c>
      <c r="R234" s="18" t="s">
        <v>1137</v>
      </c>
      <c r="S234" s="18" t="s">
        <v>112</v>
      </c>
      <c r="T234" s="18" t="s">
        <v>1138</v>
      </c>
      <c r="U234" s="18" t="s">
        <v>1139</v>
      </c>
      <c r="V234" s="19" t="s">
        <v>29</v>
      </c>
      <c r="W234" s="19"/>
      <c r="X234" s="19"/>
      <c r="Y234" s="20"/>
      <c r="Z234" s="19"/>
      <c r="AA234" s="18" t="str">
        <f aca="false">IF(OR(V234="Aprobada"),R234,IF(AND(OR(V234="Aprobada con ajuste",V234="Rechazada"),W234&lt;&gt;""),W234,""))</f>
        <v/>
      </c>
    </row>
    <row r="235" customFormat="false" ht="22.35" hidden="false" customHeight="false" outlineLevel="0" collapsed="false">
      <c r="A235" s="18" t="s">
        <v>1140</v>
      </c>
      <c r="B235" s="18" t="s">
        <v>58</v>
      </c>
      <c r="C235" s="18" t="s">
        <v>59</v>
      </c>
      <c r="D235" s="18" t="s">
        <v>1095</v>
      </c>
      <c r="E235" s="18" t="n">
        <v>0</v>
      </c>
      <c r="F235" s="18" t="s">
        <v>297</v>
      </c>
      <c r="G235" s="18" t="s">
        <v>184</v>
      </c>
      <c r="H235" s="18" t="s">
        <v>117</v>
      </c>
      <c r="I235" s="18"/>
      <c r="J235" s="18"/>
      <c r="K235" s="18"/>
      <c r="L235" s="18" t="s">
        <v>109</v>
      </c>
      <c r="M235" s="18" t="s">
        <v>109</v>
      </c>
      <c r="N235" s="18"/>
      <c r="O235" s="18"/>
      <c r="P235" s="18"/>
      <c r="Q235" s="18" t="s">
        <v>110</v>
      </c>
      <c r="R235" s="18" t="s">
        <v>298</v>
      </c>
      <c r="S235" s="18" t="s">
        <v>112</v>
      </c>
      <c r="T235" s="18" t="s">
        <v>113</v>
      </c>
      <c r="U235" s="18"/>
      <c r="V235" s="19" t="s">
        <v>29</v>
      </c>
      <c r="W235" s="19"/>
      <c r="X235" s="19"/>
      <c r="Y235" s="20"/>
      <c r="Z235" s="19"/>
      <c r="AA235" s="18" t="str">
        <f aca="false">IF(OR(V235="Aprobada"),R235,IF(AND(OR(V235="Aprobada con ajuste",V235="Rechazada"),W235&lt;&gt;""),W235,""))</f>
        <v/>
      </c>
    </row>
    <row r="236" customFormat="false" ht="64.15" hidden="false" customHeight="false" outlineLevel="0" collapsed="false">
      <c r="A236" s="18" t="s">
        <v>1141</v>
      </c>
      <c r="B236" s="18" t="s">
        <v>58</v>
      </c>
      <c r="C236" s="18" t="s">
        <v>59</v>
      </c>
      <c r="D236" s="18" t="s">
        <v>1142</v>
      </c>
      <c r="E236" s="18" t="n">
        <v>0</v>
      </c>
      <c r="F236" s="18" t="s">
        <v>844</v>
      </c>
      <c r="G236" s="18" t="s">
        <v>249</v>
      </c>
      <c r="H236" s="18" t="s">
        <v>109</v>
      </c>
      <c r="I236" s="18"/>
      <c r="J236" s="18"/>
      <c r="K236" s="18"/>
      <c r="L236" s="18" t="s">
        <v>109</v>
      </c>
      <c r="M236" s="18" t="s">
        <v>117</v>
      </c>
      <c r="N236" s="18" t="s">
        <v>1039</v>
      </c>
      <c r="O236" s="18" t="s">
        <v>1143</v>
      </c>
      <c r="P236" s="18"/>
      <c r="Q236" s="18" t="s">
        <v>134</v>
      </c>
      <c r="R236" s="18" t="s">
        <v>1144</v>
      </c>
      <c r="S236" s="18" t="s">
        <v>125</v>
      </c>
      <c r="T236" s="18" t="s">
        <v>1145</v>
      </c>
      <c r="U236" s="18"/>
      <c r="V236" s="19" t="s">
        <v>29</v>
      </c>
      <c r="W236" s="19"/>
      <c r="X236" s="19"/>
      <c r="Y236" s="20"/>
      <c r="Z236" s="19"/>
      <c r="AA236" s="18" t="str">
        <f aca="false">IF(OR(V236="Aprobada"),R236,IF(AND(OR(V236="Aprobada con ajuste",V236="Rechazada"),W236&lt;&gt;""),W236,""))</f>
        <v/>
      </c>
    </row>
    <row r="237" customFormat="false" ht="53.7" hidden="false" customHeight="false" outlineLevel="0" collapsed="false">
      <c r="A237" s="18" t="s">
        <v>1146</v>
      </c>
      <c r="B237" s="18" t="s">
        <v>58</v>
      </c>
      <c r="C237" s="18" t="s">
        <v>59</v>
      </c>
      <c r="D237" s="18" t="s">
        <v>1142</v>
      </c>
      <c r="E237" s="18" t="n">
        <v>0</v>
      </c>
      <c r="F237" s="18" t="s">
        <v>107</v>
      </c>
      <c r="G237" s="18" t="s">
        <v>116</v>
      </c>
      <c r="H237" s="18" t="s">
        <v>109</v>
      </c>
      <c r="I237" s="18" t="s">
        <v>140</v>
      </c>
      <c r="J237" s="18" t="s">
        <v>1147</v>
      </c>
      <c r="K237" s="18"/>
      <c r="L237" s="18" t="s">
        <v>117</v>
      </c>
      <c r="M237" s="18" t="s">
        <v>117</v>
      </c>
      <c r="N237" s="18" t="s">
        <v>554</v>
      </c>
      <c r="O237" s="18" t="s">
        <v>1148</v>
      </c>
      <c r="P237" s="18"/>
      <c r="Q237" s="18" t="s">
        <v>110</v>
      </c>
      <c r="R237" s="18" t="s">
        <v>1149</v>
      </c>
      <c r="S237" s="18" t="s">
        <v>112</v>
      </c>
      <c r="T237" s="18" t="s">
        <v>113</v>
      </c>
      <c r="U237" s="18"/>
      <c r="V237" s="19" t="s">
        <v>29</v>
      </c>
      <c r="W237" s="19"/>
      <c r="X237" s="19"/>
      <c r="Y237" s="20"/>
      <c r="Z237" s="19"/>
      <c r="AA237" s="18" t="str">
        <f aca="false">IF(OR(V237="Aprobada"),R237,IF(AND(OR(V237="Aprobada con ajuste",V237="Rechazada"),W237&lt;&gt;""),W237,""))</f>
        <v/>
      </c>
    </row>
    <row r="238" customFormat="false" ht="32.8" hidden="false" customHeight="false" outlineLevel="0" collapsed="false">
      <c r="A238" s="18" t="s">
        <v>1150</v>
      </c>
      <c r="B238" s="18" t="s">
        <v>58</v>
      </c>
      <c r="C238" s="18" t="s">
        <v>59</v>
      </c>
      <c r="D238" s="18" t="s">
        <v>1142</v>
      </c>
      <c r="E238" s="18" t="n">
        <v>0</v>
      </c>
      <c r="F238" s="18" t="s">
        <v>1151</v>
      </c>
      <c r="G238" s="18" t="s">
        <v>139</v>
      </c>
      <c r="H238" s="18" t="s">
        <v>109</v>
      </c>
      <c r="I238" s="18"/>
      <c r="J238" s="18"/>
      <c r="K238" s="18"/>
      <c r="L238" s="18" t="s">
        <v>109</v>
      </c>
      <c r="M238" s="18" t="s">
        <v>109</v>
      </c>
      <c r="N238" s="18"/>
      <c r="O238" s="18"/>
      <c r="P238" s="18"/>
      <c r="Q238" s="18" t="s">
        <v>134</v>
      </c>
      <c r="R238" s="18" t="s">
        <v>1152</v>
      </c>
      <c r="S238" s="18" t="s">
        <v>112</v>
      </c>
      <c r="T238" s="18" t="s">
        <v>1153</v>
      </c>
      <c r="U238" s="18" t="s">
        <v>1154</v>
      </c>
      <c r="V238" s="19" t="s">
        <v>29</v>
      </c>
      <c r="W238" s="19"/>
      <c r="X238" s="19"/>
      <c r="Y238" s="20"/>
      <c r="Z238" s="19"/>
      <c r="AA238" s="18" t="str">
        <f aca="false">IF(OR(V238="Aprobada"),R238,IF(AND(OR(V238="Aprobada con ajuste",V238="Rechazada"),W238&lt;&gt;""),W238,""))</f>
        <v/>
      </c>
    </row>
    <row r="239" customFormat="false" ht="22.35" hidden="false" customHeight="false" outlineLevel="0" collapsed="false">
      <c r="A239" s="18" t="s">
        <v>1155</v>
      </c>
      <c r="B239" s="18" t="s">
        <v>58</v>
      </c>
      <c r="C239" s="18" t="s">
        <v>59</v>
      </c>
      <c r="D239" s="18" t="s">
        <v>1142</v>
      </c>
      <c r="E239" s="18" t="n">
        <v>0</v>
      </c>
      <c r="F239" s="18" t="s">
        <v>1156</v>
      </c>
      <c r="G239" s="18" t="s">
        <v>184</v>
      </c>
      <c r="H239" s="18" t="s">
        <v>109</v>
      </c>
      <c r="I239" s="18"/>
      <c r="J239" s="18"/>
      <c r="K239" s="18"/>
      <c r="L239" s="18" t="s">
        <v>109</v>
      </c>
      <c r="M239" s="18" t="s">
        <v>109</v>
      </c>
      <c r="N239" s="18"/>
      <c r="O239" s="18" t="s">
        <v>1148</v>
      </c>
      <c r="P239" s="18"/>
      <c r="Q239" s="18" t="s">
        <v>134</v>
      </c>
      <c r="R239" s="18" t="s">
        <v>1157</v>
      </c>
      <c r="S239" s="18" t="s">
        <v>112</v>
      </c>
      <c r="T239" s="18" t="s">
        <v>1158</v>
      </c>
      <c r="U239" s="18" t="s">
        <v>1159</v>
      </c>
      <c r="V239" s="19" t="s">
        <v>29</v>
      </c>
      <c r="W239" s="19"/>
      <c r="X239" s="19"/>
      <c r="Y239" s="20"/>
      <c r="Z239" s="19"/>
      <c r="AA239" s="18" t="str">
        <f aca="false">IF(OR(V239="Aprobada"),R239,IF(AND(OR(V239="Aprobada con ajuste",V239="Rechazada"),W239&lt;&gt;""),W239,""))</f>
        <v/>
      </c>
    </row>
    <row r="240" customFormat="false" ht="22.35" hidden="false" customHeight="false" outlineLevel="0" collapsed="false">
      <c r="A240" s="18" t="s">
        <v>1160</v>
      </c>
      <c r="B240" s="18" t="s">
        <v>58</v>
      </c>
      <c r="C240" s="18" t="s">
        <v>59</v>
      </c>
      <c r="D240" s="18" t="s">
        <v>1142</v>
      </c>
      <c r="E240" s="18" t="n">
        <v>0</v>
      </c>
      <c r="F240" s="18" t="s">
        <v>1161</v>
      </c>
      <c r="G240" s="18" t="s">
        <v>249</v>
      </c>
      <c r="H240" s="18" t="s">
        <v>117</v>
      </c>
      <c r="I240" s="18"/>
      <c r="J240" s="18"/>
      <c r="K240" s="18"/>
      <c r="L240" s="18" t="s">
        <v>109</v>
      </c>
      <c r="M240" s="18" t="s">
        <v>109</v>
      </c>
      <c r="N240" s="18"/>
      <c r="O240" s="18"/>
      <c r="P240" s="18"/>
      <c r="Q240" s="18" t="s">
        <v>134</v>
      </c>
      <c r="R240" s="18" t="s">
        <v>1162</v>
      </c>
      <c r="S240" s="18" t="s">
        <v>169</v>
      </c>
      <c r="T240" s="18" t="s">
        <v>1163</v>
      </c>
      <c r="U240" s="18" t="s">
        <v>1164</v>
      </c>
      <c r="V240" s="19" t="s">
        <v>29</v>
      </c>
      <c r="W240" s="19"/>
      <c r="X240" s="19"/>
      <c r="Y240" s="20"/>
      <c r="Z240" s="19"/>
      <c r="AA240" s="18" t="str">
        <f aca="false">IF(OR(V240="Aprobada"),R240,IF(AND(OR(V240="Aprobada con ajuste",V240="Rechazada"),W240&lt;&gt;""),W240,""))</f>
        <v/>
      </c>
    </row>
    <row r="241" customFormat="false" ht="32.8" hidden="false" customHeight="false" outlineLevel="0" collapsed="false">
      <c r="A241" s="18" t="s">
        <v>1165</v>
      </c>
      <c r="B241" s="18" t="s">
        <v>58</v>
      </c>
      <c r="C241" s="18" t="s">
        <v>59</v>
      </c>
      <c r="D241" s="18" t="s">
        <v>1142</v>
      </c>
      <c r="E241" s="18" t="n">
        <v>0</v>
      </c>
      <c r="F241" s="18" t="s">
        <v>1166</v>
      </c>
      <c r="G241" s="18" t="s">
        <v>184</v>
      </c>
      <c r="H241" s="18" t="s">
        <v>117</v>
      </c>
      <c r="I241" s="18"/>
      <c r="J241" s="18"/>
      <c r="K241" s="18"/>
      <c r="L241" s="18" t="s">
        <v>109</v>
      </c>
      <c r="M241" s="18" t="s">
        <v>109</v>
      </c>
      <c r="N241" s="18"/>
      <c r="O241" s="18"/>
      <c r="P241" s="18"/>
      <c r="Q241" s="18" t="s">
        <v>134</v>
      </c>
      <c r="R241" s="18" t="s">
        <v>1167</v>
      </c>
      <c r="S241" s="18" t="s">
        <v>169</v>
      </c>
      <c r="T241" s="18" t="s">
        <v>1168</v>
      </c>
      <c r="U241" s="18" t="s">
        <v>1169</v>
      </c>
      <c r="V241" s="19" t="s">
        <v>29</v>
      </c>
      <c r="W241" s="19"/>
      <c r="X241" s="19"/>
      <c r="Y241" s="20"/>
      <c r="Z241" s="19"/>
      <c r="AA241" s="18" t="str">
        <f aca="false">IF(OR(V241="Aprobada"),R241,IF(AND(OR(V241="Aprobada con ajuste",V241="Rechazada"),W241&lt;&gt;""),W241,""))</f>
        <v/>
      </c>
    </row>
    <row r="242" customFormat="false" ht="22.35" hidden="false" customHeight="false" outlineLevel="0" collapsed="false">
      <c r="A242" s="18" t="s">
        <v>1170</v>
      </c>
      <c r="B242" s="18" t="s">
        <v>58</v>
      </c>
      <c r="C242" s="18" t="s">
        <v>59</v>
      </c>
      <c r="D242" s="18" t="s">
        <v>1142</v>
      </c>
      <c r="E242" s="18" t="n">
        <v>0</v>
      </c>
      <c r="F242" s="18" t="s">
        <v>1171</v>
      </c>
      <c r="G242" s="18" t="s">
        <v>212</v>
      </c>
      <c r="H242" s="18" t="s">
        <v>109</v>
      </c>
      <c r="I242" s="18"/>
      <c r="J242" s="18"/>
      <c r="K242" s="18"/>
      <c r="L242" s="18" t="s">
        <v>109</v>
      </c>
      <c r="M242" s="18" t="s">
        <v>109</v>
      </c>
      <c r="N242" s="18"/>
      <c r="O242" s="18"/>
      <c r="P242" s="18"/>
      <c r="Q242" s="18" t="s">
        <v>134</v>
      </c>
      <c r="R242" s="18" t="s">
        <v>1172</v>
      </c>
      <c r="S242" s="18" t="s">
        <v>169</v>
      </c>
      <c r="T242" s="18" t="s">
        <v>1173</v>
      </c>
      <c r="U242" s="18" t="s">
        <v>1174</v>
      </c>
      <c r="V242" s="19" t="s">
        <v>29</v>
      </c>
      <c r="W242" s="19"/>
      <c r="X242" s="19"/>
      <c r="Y242" s="20"/>
      <c r="Z242" s="19"/>
      <c r="AA242" s="18" t="str">
        <f aca="false">IF(OR(V242="Aprobada"),R242,IF(AND(OR(V242="Aprobada con ajuste",V242="Rechazada"),W242&lt;&gt;""),W242,""))</f>
        <v/>
      </c>
    </row>
    <row r="243" customFormat="false" ht="32.8" hidden="false" customHeight="false" outlineLevel="0" collapsed="false">
      <c r="A243" s="18" t="s">
        <v>1175</v>
      </c>
      <c r="B243" s="18" t="s">
        <v>58</v>
      </c>
      <c r="C243" s="18" t="s">
        <v>59</v>
      </c>
      <c r="D243" s="18" t="s">
        <v>1142</v>
      </c>
      <c r="E243" s="18" t="n">
        <v>0</v>
      </c>
      <c r="F243" s="18" t="s">
        <v>1176</v>
      </c>
      <c r="G243" s="18" t="s">
        <v>212</v>
      </c>
      <c r="H243" s="18" t="s">
        <v>109</v>
      </c>
      <c r="I243" s="18"/>
      <c r="J243" s="18"/>
      <c r="K243" s="18"/>
      <c r="L243" s="18" t="s">
        <v>109</v>
      </c>
      <c r="M243" s="18" t="s">
        <v>109</v>
      </c>
      <c r="N243" s="18"/>
      <c r="O243" s="18"/>
      <c r="P243" s="18"/>
      <c r="Q243" s="18" t="s">
        <v>134</v>
      </c>
      <c r="R243" s="18" t="s">
        <v>1177</v>
      </c>
      <c r="S243" s="18" t="s">
        <v>169</v>
      </c>
      <c r="T243" s="18" t="s">
        <v>1178</v>
      </c>
      <c r="U243" s="18" t="s">
        <v>1179</v>
      </c>
      <c r="V243" s="19" t="s">
        <v>29</v>
      </c>
      <c r="W243" s="19"/>
      <c r="X243" s="19"/>
      <c r="Y243" s="20"/>
      <c r="Z243" s="19"/>
      <c r="AA243" s="18" t="str">
        <f aca="false">IF(OR(V243="Aprobada"),R243,IF(AND(OR(V243="Aprobada con ajuste",V243="Rechazada"),W243&lt;&gt;""),W243,""))</f>
        <v/>
      </c>
    </row>
    <row r="244" customFormat="false" ht="22.35" hidden="false" customHeight="false" outlineLevel="0" collapsed="false">
      <c r="A244" s="18" t="s">
        <v>1180</v>
      </c>
      <c r="B244" s="18" t="s">
        <v>58</v>
      </c>
      <c r="C244" s="18" t="s">
        <v>59</v>
      </c>
      <c r="D244" s="18" t="s">
        <v>1142</v>
      </c>
      <c r="E244" s="18" t="n">
        <v>0</v>
      </c>
      <c r="F244" s="18" t="s">
        <v>1181</v>
      </c>
      <c r="G244" s="18" t="s">
        <v>116</v>
      </c>
      <c r="H244" s="18" t="s">
        <v>117</v>
      </c>
      <c r="I244" s="18"/>
      <c r="J244" s="18"/>
      <c r="K244" s="18"/>
      <c r="L244" s="18" t="s">
        <v>109</v>
      </c>
      <c r="M244" s="18" t="s">
        <v>109</v>
      </c>
      <c r="N244" s="18"/>
      <c r="O244" s="18"/>
      <c r="P244" s="18"/>
      <c r="Q244" s="18" t="s">
        <v>134</v>
      </c>
      <c r="R244" s="18" t="s">
        <v>1182</v>
      </c>
      <c r="S244" s="18" t="s">
        <v>112</v>
      </c>
      <c r="T244" s="18" t="s">
        <v>1183</v>
      </c>
      <c r="U244" s="18" t="s">
        <v>1184</v>
      </c>
      <c r="V244" s="19" t="s">
        <v>29</v>
      </c>
      <c r="W244" s="19"/>
      <c r="X244" s="19"/>
      <c r="Y244" s="20"/>
      <c r="Z244" s="19"/>
      <c r="AA244" s="18" t="str">
        <f aca="false">IF(OR(V244="Aprobada"),R244,IF(AND(OR(V244="Aprobada con ajuste",V244="Rechazada"),W244&lt;&gt;""),W244,""))</f>
        <v/>
      </c>
    </row>
    <row r="245" customFormat="false" ht="32.8" hidden="false" customHeight="false" outlineLevel="0" collapsed="false">
      <c r="A245" s="18" t="s">
        <v>1185</v>
      </c>
      <c r="B245" s="18" t="s">
        <v>58</v>
      </c>
      <c r="C245" s="18" t="s">
        <v>59</v>
      </c>
      <c r="D245" s="18" t="s">
        <v>1142</v>
      </c>
      <c r="E245" s="18" t="n">
        <v>0</v>
      </c>
      <c r="F245" s="18" t="s">
        <v>1186</v>
      </c>
      <c r="G245" s="18" t="s">
        <v>116</v>
      </c>
      <c r="H245" s="18" t="s">
        <v>109</v>
      </c>
      <c r="I245" s="18"/>
      <c r="J245" s="18"/>
      <c r="K245" s="18"/>
      <c r="L245" s="18" t="s">
        <v>109</v>
      </c>
      <c r="M245" s="18" t="s">
        <v>109</v>
      </c>
      <c r="N245" s="18"/>
      <c r="O245" s="18"/>
      <c r="P245" s="18"/>
      <c r="Q245" s="18" t="s">
        <v>134</v>
      </c>
      <c r="R245" s="18" t="s">
        <v>1187</v>
      </c>
      <c r="S245" s="18" t="s">
        <v>112</v>
      </c>
      <c r="T245" s="18" t="s">
        <v>1188</v>
      </c>
      <c r="U245" s="18" t="s">
        <v>1189</v>
      </c>
      <c r="V245" s="19" t="s">
        <v>29</v>
      </c>
      <c r="W245" s="19"/>
      <c r="X245" s="19"/>
      <c r="Y245" s="20"/>
      <c r="Z245" s="19"/>
      <c r="AA245" s="18" t="str">
        <f aca="false">IF(OR(V245="Aprobada"),R245,IF(AND(OR(V245="Aprobada con ajuste",V245="Rechazada"),W245&lt;&gt;""),W245,""))</f>
        <v/>
      </c>
    </row>
    <row r="246" customFormat="false" ht="22.35" hidden="false" customHeight="false" outlineLevel="0" collapsed="false">
      <c r="A246" s="18" t="s">
        <v>1190</v>
      </c>
      <c r="B246" s="18" t="s">
        <v>58</v>
      </c>
      <c r="C246" s="18" t="s">
        <v>59</v>
      </c>
      <c r="D246" s="18" t="s">
        <v>1142</v>
      </c>
      <c r="E246" s="18" t="n">
        <v>0</v>
      </c>
      <c r="F246" s="18" t="s">
        <v>1191</v>
      </c>
      <c r="G246" s="18" t="s">
        <v>184</v>
      </c>
      <c r="H246" s="18" t="s">
        <v>109</v>
      </c>
      <c r="I246" s="18"/>
      <c r="J246" s="18"/>
      <c r="K246" s="18"/>
      <c r="L246" s="18" t="s">
        <v>109</v>
      </c>
      <c r="M246" s="18" t="s">
        <v>109</v>
      </c>
      <c r="N246" s="18"/>
      <c r="O246" s="18"/>
      <c r="P246" s="18"/>
      <c r="Q246" s="18" t="s">
        <v>134</v>
      </c>
      <c r="R246" s="18" t="s">
        <v>1192</v>
      </c>
      <c r="S246" s="18" t="s">
        <v>125</v>
      </c>
      <c r="T246" s="18" t="s">
        <v>1193</v>
      </c>
      <c r="U246" s="18"/>
      <c r="V246" s="19" t="s">
        <v>29</v>
      </c>
      <c r="W246" s="19"/>
      <c r="X246" s="19"/>
      <c r="Y246" s="20"/>
      <c r="Z246" s="19"/>
      <c r="AA246" s="18" t="str">
        <f aca="false">IF(OR(V246="Aprobada"),R246,IF(AND(OR(V246="Aprobada con ajuste",V246="Rechazada"),W246&lt;&gt;""),W246,""))</f>
        <v/>
      </c>
    </row>
    <row r="247" customFormat="false" ht="22.35" hidden="false" customHeight="false" outlineLevel="0" collapsed="false">
      <c r="A247" s="18" t="s">
        <v>1194</v>
      </c>
      <c r="B247" s="18" t="s">
        <v>58</v>
      </c>
      <c r="C247" s="18" t="s">
        <v>59</v>
      </c>
      <c r="D247" s="18" t="s">
        <v>1142</v>
      </c>
      <c r="E247" s="18" t="n">
        <v>0</v>
      </c>
      <c r="F247" s="18" t="s">
        <v>1195</v>
      </c>
      <c r="G247" s="18" t="s">
        <v>184</v>
      </c>
      <c r="H247" s="18" t="s">
        <v>117</v>
      </c>
      <c r="I247" s="18"/>
      <c r="J247" s="18"/>
      <c r="K247" s="18"/>
      <c r="L247" s="18" t="s">
        <v>109</v>
      </c>
      <c r="M247" s="18" t="s">
        <v>109</v>
      </c>
      <c r="N247" s="18"/>
      <c r="O247" s="18"/>
      <c r="P247" s="18"/>
      <c r="Q247" s="18" t="s">
        <v>110</v>
      </c>
      <c r="R247" s="18" t="s">
        <v>1196</v>
      </c>
      <c r="S247" s="18" t="s">
        <v>112</v>
      </c>
      <c r="T247" s="18" t="s">
        <v>113</v>
      </c>
      <c r="U247" s="18"/>
      <c r="V247" s="19" t="s">
        <v>29</v>
      </c>
      <c r="W247" s="19"/>
      <c r="X247" s="19"/>
      <c r="Y247" s="20"/>
      <c r="Z247" s="19"/>
      <c r="AA247" s="18" t="str">
        <f aca="false">IF(OR(V247="Aprobada"),R247,IF(AND(OR(V247="Aprobada con ajuste",V247="Rechazada"),W247&lt;&gt;""),W247,""))</f>
        <v/>
      </c>
    </row>
    <row r="248" customFormat="false" ht="32.8" hidden="false" customHeight="false" outlineLevel="0" collapsed="false">
      <c r="A248" s="18" t="s">
        <v>1197</v>
      </c>
      <c r="B248" s="18" t="s">
        <v>58</v>
      </c>
      <c r="C248" s="18" t="s">
        <v>59</v>
      </c>
      <c r="D248" s="18" t="s">
        <v>1142</v>
      </c>
      <c r="E248" s="18" t="n">
        <v>0</v>
      </c>
      <c r="F248" s="18" t="s">
        <v>1198</v>
      </c>
      <c r="G248" s="18" t="s">
        <v>249</v>
      </c>
      <c r="H248" s="18" t="s">
        <v>109</v>
      </c>
      <c r="I248" s="18"/>
      <c r="J248" s="18"/>
      <c r="K248" s="18"/>
      <c r="L248" s="18" t="s">
        <v>109</v>
      </c>
      <c r="M248" s="18" t="s">
        <v>109</v>
      </c>
      <c r="N248" s="18"/>
      <c r="O248" s="18"/>
      <c r="P248" s="18"/>
      <c r="Q248" s="18" t="s">
        <v>134</v>
      </c>
      <c r="R248" s="18" t="s">
        <v>1199</v>
      </c>
      <c r="S248" s="18" t="s">
        <v>169</v>
      </c>
      <c r="T248" s="18" t="s">
        <v>1200</v>
      </c>
      <c r="U248" s="18" t="s">
        <v>1201</v>
      </c>
      <c r="V248" s="19" t="s">
        <v>29</v>
      </c>
      <c r="W248" s="19"/>
      <c r="X248" s="19"/>
      <c r="Y248" s="20"/>
      <c r="Z248" s="19"/>
      <c r="AA248" s="18" t="str">
        <f aca="false">IF(OR(V248="Aprobada"),R248,IF(AND(OR(V248="Aprobada con ajuste",V248="Rechazada"),W248&lt;&gt;""),W248,""))</f>
        <v/>
      </c>
    </row>
    <row r="249" customFormat="false" ht="22.35" hidden="false" customHeight="false" outlineLevel="0" collapsed="false">
      <c r="A249" s="18" t="s">
        <v>1202</v>
      </c>
      <c r="B249" s="18" t="s">
        <v>58</v>
      </c>
      <c r="C249" s="18" t="s">
        <v>59</v>
      </c>
      <c r="D249" s="18" t="s">
        <v>1142</v>
      </c>
      <c r="E249" s="18" t="n">
        <v>0</v>
      </c>
      <c r="F249" s="18" t="s">
        <v>1203</v>
      </c>
      <c r="G249" s="18" t="s">
        <v>184</v>
      </c>
      <c r="H249" s="18" t="s">
        <v>117</v>
      </c>
      <c r="I249" s="18"/>
      <c r="J249" s="18"/>
      <c r="K249" s="18"/>
      <c r="L249" s="18" t="s">
        <v>109</v>
      </c>
      <c r="M249" s="18" t="s">
        <v>109</v>
      </c>
      <c r="N249" s="18"/>
      <c r="O249" s="18"/>
      <c r="P249" s="18"/>
      <c r="Q249" s="18" t="s">
        <v>110</v>
      </c>
      <c r="R249" s="18" t="s">
        <v>1204</v>
      </c>
      <c r="S249" s="18" t="s">
        <v>112</v>
      </c>
      <c r="T249" s="18" t="s">
        <v>113</v>
      </c>
      <c r="U249" s="18"/>
      <c r="V249" s="19" t="s">
        <v>29</v>
      </c>
      <c r="W249" s="19"/>
      <c r="X249" s="19"/>
      <c r="Y249" s="20"/>
      <c r="Z249" s="19"/>
      <c r="AA249" s="18" t="str">
        <f aca="false">IF(OR(V249="Aprobada"),R249,IF(AND(OR(V249="Aprobada con ajuste",V249="Rechazada"),W249&lt;&gt;""),W249,""))</f>
        <v/>
      </c>
    </row>
    <row r="250" customFormat="false" ht="22.35" hidden="false" customHeight="false" outlineLevel="0" collapsed="false">
      <c r="A250" s="18" t="s">
        <v>1205</v>
      </c>
      <c r="B250" s="18" t="s">
        <v>58</v>
      </c>
      <c r="C250" s="18" t="s">
        <v>59</v>
      </c>
      <c r="D250" s="18" t="s">
        <v>1142</v>
      </c>
      <c r="E250" s="18" t="n">
        <v>0</v>
      </c>
      <c r="F250" s="18" t="s">
        <v>1206</v>
      </c>
      <c r="G250" s="18" t="s">
        <v>184</v>
      </c>
      <c r="H250" s="18" t="s">
        <v>109</v>
      </c>
      <c r="I250" s="18"/>
      <c r="J250" s="18"/>
      <c r="K250" s="18"/>
      <c r="L250" s="18" t="s">
        <v>109</v>
      </c>
      <c r="M250" s="18" t="s">
        <v>109</v>
      </c>
      <c r="N250" s="18"/>
      <c r="O250" s="18" t="s">
        <v>1207</v>
      </c>
      <c r="P250" s="18"/>
      <c r="Q250" s="18" t="s">
        <v>134</v>
      </c>
      <c r="R250" s="18" t="s">
        <v>1208</v>
      </c>
      <c r="S250" s="18" t="s">
        <v>112</v>
      </c>
      <c r="T250" s="18" t="s">
        <v>1209</v>
      </c>
      <c r="U250" s="18" t="s">
        <v>1210</v>
      </c>
      <c r="V250" s="19" t="s">
        <v>29</v>
      </c>
      <c r="W250" s="19"/>
      <c r="X250" s="19"/>
      <c r="Y250" s="20"/>
      <c r="Z250" s="19"/>
      <c r="AA250" s="18" t="str">
        <f aca="false">IF(OR(V250="Aprobada"),R250,IF(AND(OR(V250="Aprobada con ajuste",V250="Rechazada"),W250&lt;&gt;""),W250,""))</f>
        <v/>
      </c>
    </row>
    <row r="251" customFormat="false" ht="22.35" hidden="false" customHeight="false" outlineLevel="0" collapsed="false">
      <c r="A251" s="18" t="s">
        <v>1211</v>
      </c>
      <c r="B251" s="18" t="s">
        <v>58</v>
      </c>
      <c r="C251" s="18" t="s">
        <v>59</v>
      </c>
      <c r="D251" s="18" t="s">
        <v>1212</v>
      </c>
      <c r="E251" s="18" t="n">
        <v>0</v>
      </c>
      <c r="F251" s="18" t="s">
        <v>1213</v>
      </c>
      <c r="G251" s="18" t="s">
        <v>934</v>
      </c>
      <c r="H251" s="18" t="s">
        <v>109</v>
      </c>
      <c r="I251" s="18"/>
      <c r="J251" s="18"/>
      <c r="K251" s="18"/>
      <c r="L251" s="18" t="s">
        <v>109</v>
      </c>
      <c r="M251" s="18" t="s">
        <v>109</v>
      </c>
      <c r="N251" s="18"/>
      <c r="O251" s="18" t="s">
        <v>1214</v>
      </c>
      <c r="P251" s="18"/>
      <c r="Q251" s="18" t="s">
        <v>134</v>
      </c>
      <c r="R251" s="18" t="s">
        <v>1215</v>
      </c>
      <c r="S251" s="18" t="s">
        <v>125</v>
      </c>
      <c r="T251" s="18" t="s">
        <v>1216</v>
      </c>
      <c r="U251" s="18"/>
      <c r="V251" s="19" t="s">
        <v>29</v>
      </c>
      <c r="W251" s="19"/>
      <c r="X251" s="19"/>
      <c r="Y251" s="20"/>
      <c r="Z251" s="19"/>
      <c r="AA251" s="18" t="str">
        <f aca="false">IF(OR(V251="Aprobada"),R251,IF(AND(OR(V251="Aprobada con ajuste",V251="Rechazada"),W251&lt;&gt;""),W251,""))</f>
        <v/>
      </c>
    </row>
    <row r="252" customFormat="false" ht="22.35" hidden="false" customHeight="false" outlineLevel="0" collapsed="false">
      <c r="A252" s="18" t="s">
        <v>1217</v>
      </c>
      <c r="B252" s="18" t="s">
        <v>58</v>
      </c>
      <c r="C252" s="18" t="s">
        <v>59</v>
      </c>
      <c r="D252" s="18" t="s">
        <v>1212</v>
      </c>
      <c r="E252" s="18" t="n">
        <v>0</v>
      </c>
      <c r="F252" s="18" t="s">
        <v>1218</v>
      </c>
      <c r="G252" s="18" t="s">
        <v>414</v>
      </c>
      <c r="H252" s="18" t="s">
        <v>117</v>
      </c>
      <c r="I252" s="18"/>
      <c r="J252" s="18"/>
      <c r="K252" s="18"/>
      <c r="L252" s="18" t="s">
        <v>109</v>
      </c>
      <c r="M252" s="18" t="s">
        <v>109</v>
      </c>
      <c r="N252" s="18"/>
      <c r="O252" s="18"/>
      <c r="P252" s="18"/>
      <c r="Q252" s="18" t="s">
        <v>134</v>
      </c>
      <c r="R252" s="18" t="s">
        <v>1219</v>
      </c>
      <c r="S252" s="18" t="s">
        <v>125</v>
      </c>
      <c r="T252" s="18" t="s">
        <v>1220</v>
      </c>
      <c r="U252" s="18"/>
      <c r="V252" s="19" t="s">
        <v>29</v>
      </c>
      <c r="W252" s="19"/>
      <c r="X252" s="19"/>
      <c r="Y252" s="20"/>
      <c r="Z252" s="19"/>
      <c r="AA252" s="18" t="str">
        <f aca="false">IF(OR(V252="Aprobada"),R252,IF(AND(OR(V252="Aprobada con ajuste",V252="Rechazada"),W252&lt;&gt;""),W252,""))</f>
        <v/>
      </c>
    </row>
    <row r="253" customFormat="false" ht="43.25" hidden="false" customHeight="false" outlineLevel="0" collapsed="false">
      <c r="A253" s="18" t="s">
        <v>1221</v>
      </c>
      <c r="B253" s="18" t="s">
        <v>58</v>
      </c>
      <c r="C253" s="18" t="s">
        <v>59</v>
      </c>
      <c r="D253" s="18" t="s">
        <v>1212</v>
      </c>
      <c r="E253" s="18" t="n">
        <v>0</v>
      </c>
      <c r="F253" s="18" t="s">
        <v>1222</v>
      </c>
      <c r="G253" s="18" t="s">
        <v>934</v>
      </c>
      <c r="H253" s="18" t="s">
        <v>109</v>
      </c>
      <c r="I253" s="18" t="s">
        <v>409</v>
      </c>
      <c r="J253" s="18"/>
      <c r="K253" s="18"/>
      <c r="L253" s="18" t="s">
        <v>109</v>
      </c>
      <c r="M253" s="18" t="s">
        <v>109</v>
      </c>
      <c r="N253" s="18"/>
      <c r="O253" s="18" t="s">
        <v>1223</v>
      </c>
      <c r="P253" s="18"/>
      <c r="Q253" s="18" t="s">
        <v>134</v>
      </c>
      <c r="R253" s="18" t="s">
        <v>1224</v>
      </c>
      <c r="S253" s="18" t="s">
        <v>125</v>
      </c>
      <c r="T253" s="18" t="s">
        <v>1225</v>
      </c>
      <c r="U253" s="18"/>
      <c r="V253" s="19" t="s">
        <v>29</v>
      </c>
      <c r="W253" s="19"/>
      <c r="X253" s="19"/>
      <c r="Y253" s="20"/>
      <c r="Z253" s="19"/>
      <c r="AA253" s="18" t="str">
        <f aca="false">IF(OR(V253="Aprobada"),R253,IF(AND(OR(V253="Aprobada con ajuste",V253="Rechazada"),W253&lt;&gt;""),W253,""))</f>
        <v/>
      </c>
    </row>
    <row r="254" customFormat="false" ht="22.35" hidden="false" customHeight="false" outlineLevel="0" collapsed="false">
      <c r="A254" s="18" t="s">
        <v>1226</v>
      </c>
      <c r="B254" s="18" t="s">
        <v>58</v>
      </c>
      <c r="C254" s="18" t="s">
        <v>59</v>
      </c>
      <c r="D254" s="18" t="s">
        <v>1212</v>
      </c>
      <c r="E254" s="18" t="n">
        <v>0</v>
      </c>
      <c r="F254" s="18" t="s">
        <v>1227</v>
      </c>
      <c r="G254" s="18" t="s">
        <v>934</v>
      </c>
      <c r="H254" s="18" t="s">
        <v>117</v>
      </c>
      <c r="I254" s="18"/>
      <c r="J254" s="18"/>
      <c r="K254" s="18"/>
      <c r="L254" s="18" t="s">
        <v>109</v>
      </c>
      <c r="M254" s="18" t="s">
        <v>109</v>
      </c>
      <c r="N254" s="18"/>
      <c r="O254" s="18"/>
      <c r="P254" s="18"/>
      <c r="Q254" s="18" t="s">
        <v>134</v>
      </c>
      <c r="R254" s="18" t="s">
        <v>1228</v>
      </c>
      <c r="S254" s="18" t="s">
        <v>112</v>
      </c>
      <c r="T254" s="18" t="s">
        <v>1229</v>
      </c>
      <c r="U254" s="18" t="s">
        <v>1230</v>
      </c>
      <c r="V254" s="19" t="s">
        <v>29</v>
      </c>
      <c r="W254" s="19"/>
      <c r="X254" s="19"/>
      <c r="Y254" s="20"/>
      <c r="Z254" s="19"/>
      <c r="AA254" s="18" t="str">
        <f aca="false">IF(OR(V254="Aprobada"),R254,IF(AND(OR(V254="Aprobada con ajuste",V254="Rechazada"),W254&lt;&gt;""),W254,""))</f>
        <v/>
      </c>
    </row>
    <row r="255" customFormat="false" ht="32.8" hidden="false" customHeight="false" outlineLevel="0" collapsed="false">
      <c r="A255" s="18" t="s">
        <v>1231</v>
      </c>
      <c r="B255" s="18" t="s">
        <v>58</v>
      </c>
      <c r="C255" s="18" t="s">
        <v>59</v>
      </c>
      <c r="D255" s="18" t="s">
        <v>1212</v>
      </c>
      <c r="E255" s="18" t="n">
        <v>0</v>
      </c>
      <c r="F255" s="18" t="s">
        <v>1232</v>
      </c>
      <c r="G255" s="18" t="s">
        <v>324</v>
      </c>
      <c r="H255" s="18" t="s">
        <v>109</v>
      </c>
      <c r="I255" s="18"/>
      <c r="J255" s="18"/>
      <c r="K255" s="18"/>
      <c r="L255" s="18" t="s">
        <v>109</v>
      </c>
      <c r="M255" s="18" t="s">
        <v>109</v>
      </c>
      <c r="N255" s="18"/>
      <c r="O255" s="18"/>
      <c r="P255" s="18"/>
      <c r="Q255" s="18" t="s">
        <v>134</v>
      </c>
      <c r="R255" s="18" t="s">
        <v>1233</v>
      </c>
      <c r="S255" s="18" t="s">
        <v>112</v>
      </c>
      <c r="T255" s="18" t="s">
        <v>1234</v>
      </c>
      <c r="U255" s="18" t="s">
        <v>1235</v>
      </c>
      <c r="V255" s="19" t="s">
        <v>29</v>
      </c>
      <c r="W255" s="19"/>
      <c r="X255" s="19"/>
      <c r="Y255" s="20"/>
      <c r="Z255" s="19"/>
      <c r="AA255" s="18" t="str">
        <f aca="false">IF(OR(V255="Aprobada"),R255,IF(AND(OR(V255="Aprobada con ajuste",V255="Rechazada"),W255&lt;&gt;""),W255,""))</f>
        <v/>
      </c>
    </row>
    <row r="256" customFormat="false" ht="22.35" hidden="false" customHeight="false" outlineLevel="0" collapsed="false">
      <c r="A256" s="18" t="s">
        <v>1236</v>
      </c>
      <c r="B256" s="18" t="s">
        <v>58</v>
      </c>
      <c r="C256" s="18" t="s">
        <v>59</v>
      </c>
      <c r="D256" s="18" t="s">
        <v>1212</v>
      </c>
      <c r="E256" s="18" t="n">
        <v>0</v>
      </c>
      <c r="F256" s="18" t="s">
        <v>1237</v>
      </c>
      <c r="G256" s="18" t="s">
        <v>735</v>
      </c>
      <c r="H256" s="18" t="s">
        <v>109</v>
      </c>
      <c r="I256" s="18"/>
      <c r="J256" s="18"/>
      <c r="K256" s="18"/>
      <c r="L256" s="18" t="s">
        <v>109</v>
      </c>
      <c r="M256" s="18" t="s">
        <v>109</v>
      </c>
      <c r="N256" s="18"/>
      <c r="O256" s="18"/>
      <c r="P256" s="18"/>
      <c r="Q256" s="18" t="s">
        <v>134</v>
      </c>
      <c r="R256" s="18" t="s">
        <v>1238</v>
      </c>
      <c r="S256" s="18" t="s">
        <v>125</v>
      </c>
      <c r="T256" s="18" t="s">
        <v>1239</v>
      </c>
      <c r="U256" s="18"/>
      <c r="V256" s="19" t="s">
        <v>29</v>
      </c>
      <c r="W256" s="19"/>
      <c r="X256" s="19"/>
      <c r="Y256" s="20"/>
      <c r="Z256" s="19"/>
      <c r="AA256" s="18" t="str">
        <f aca="false">IF(OR(V256="Aprobada"),R256,IF(AND(OR(V256="Aprobada con ajuste",V256="Rechazada"),W256&lt;&gt;""),W256,""))</f>
        <v/>
      </c>
    </row>
    <row r="257" customFormat="false" ht="32.8" hidden="false" customHeight="false" outlineLevel="0" collapsed="false">
      <c r="A257" s="18" t="s">
        <v>1240</v>
      </c>
      <c r="B257" s="18" t="s">
        <v>58</v>
      </c>
      <c r="C257" s="18" t="s">
        <v>59</v>
      </c>
      <c r="D257" s="18" t="s">
        <v>1212</v>
      </c>
      <c r="E257" s="18" t="n">
        <v>0</v>
      </c>
      <c r="F257" s="18" t="s">
        <v>1241</v>
      </c>
      <c r="G257" s="18" t="s">
        <v>139</v>
      </c>
      <c r="H257" s="18" t="s">
        <v>117</v>
      </c>
      <c r="I257" s="18"/>
      <c r="J257" s="18"/>
      <c r="K257" s="18"/>
      <c r="L257" s="18" t="s">
        <v>109</v>
      </c>
      <c r="M257" s="18" t="s">
        <v>109</v>
      </c>
      <c r="N257" s="18"/>
      <c r="O257" s="18"/>
      <c r="P257" s="18"/>
      <c r="Q257" s="18" t="s">
        <v>134</v>
      </c>
      <c r="R257" s="18" t="s">
        <v>1242</v>
      </c>
      <c r="S257" s="18" t="s">
        <v>112</v>
      </c>
      <c r="T257" s="18" t="s">
        <v>1243</v>
      </c>
      <c r="U257" s="18" t="s">
        <v>1244</v>
      </c>
      <c r="V257" s="19" t="s">
        <v>29</v>
      </c>
      <c r="W257" s="19"/>
      <c r="X257" s="19"/>
      <c r="Y257" s="20"/>
      <c r="Z257" s="19"/>
      <c r="AA257" s="18" t="str">
        <f aca="false">IF(OR(V257="Aprobada"),R257,IF(AND(OR(V257="Aprobada con ajuste",V257="Rechazada"),W257&lt;&gt;""),W257,""))</f>
        <v/>
      </c>
    </row>
    <row r="258" customFormat="false" ht="22.35" hidden="false" customHeight="false" outlineLevel="0" collapsed="false">
      <c r="A258" s="18" t="s">
        <v>1245</v>
      </c>
      <c r="B258" s="18" t="s">
        <v>58</v>
      </c>
      <c r="C258" s="18" t="s">
        <v>59</v>
      </c>
      <c r="D258" s="18" t="s">
        <v>1212</v>
      </c>
      <c r="E258" s="18" t="n">
        <v>0</v>
      </c>
      <c r="F258" s="18" t="s">
        <v>1246</v>
      </c>
      <c r="G258" s="18" t="s">
        <v>735</v>
      </c>
      <c r="H258" s="18" t="s">
        <v>117</v>
      </c>
      <c r="I258" s="18"/>
      <c r="J258" s="18"/>
      <c r="K258" s="18"/>
      <c r="L258" s="18" t="s">
        <v>109</v>
      </c>
      <c r="M258" s="18" t="s">
        <v>109</v>
      </c>
      <c r="N258" s="18"/>
      <c r="O258" s="18"/>
      <c r="P258" s="18"/>
      <c r="Q258" s="18" t="s">
        <v>134</v>
      </c>
      <c r="R258" s="18" t="s">
        <v>1247</v>
      </c>
      <c r="S258" s="18" t="s">
        <v>112</v>
      </c>
      <c r="T258" s="18" t="s">
        <v>1248</v>
      </c>
      <c r="U258" s="18" t="s">
        <v>1249</v>
      </c>
      <c r="V258" s="19" t="s">
        <v>29</v>
      </c>
      <c r="W258" s="19"/>
      <c r="X258" s="19"/>
      <c r="Y258" s="20"/>
      <c r="Z258" s="19"/>
      <c r="AA258" s="18" t="str">
        <f aca="false">IF(OR(V258="Aprobada"),R258,IF(AND(OR(V258="Aprobada con ajuste",V258="Rechazada"),W258&lt;&gt;""),W258,""))</f>
        <v/>
      </c>
    </row>
    <row r="259" customFormat="false" ht="22.35" hidden="false" customHeight="false" outlineLevel="0" collapsed="false">
      <c r="A259" s="18" t="s">
        <v>1250</v>
      </c>
      <c r="B259" s="18" t="s">
        <v>58</v>
      </c>
      <c r="C259" s="18" t="s">
        <v>59</v>
      </c>
      <c r="D259" s="18" t="s">
        <v>1212</v>
      </c>
      <c r="E259" s="18" t="n">
        <v>0</v>
      </c>
      <c r="F259" s="18" t="s">
        <v>1251</v>
      </c>
      <c r="G259" s="18" t="s">
        <v>735</v>
      </c>
      <c r="H259" s="18" t="s">
        <v>117</v>
      </c>
      <c r="I259" s="18"/>
      <c r="J259" s="18"/>
      <c r="K259" s="18"/>
      <c r="L259" s="18" t="s">
        <v>109</v>
      </c>
      <c r="M259" s="18" t="s">
        <v>109</v>
      </c>
      <c r="N259" s="18"/>
      <c r="O259" s="18"/>
      <c r="P259" s="18"/>
      <c r="Q259" s="18" t="s">
        <v>110</v>
      </c>
      <c r="R259" s="18" t="s">
        <v>1252</v>
      </c>
      <c r="S259" s="18" t="s">
        <v>112</v>
      </c>
      <c r="T259" s="18" t="s">
        <v>113</v>
      </c>
      <c r="U259" s="18"/>
      <c r="V259" s="19" t="s">
        <v>29</v>
      </c>
      <c r="W259" s="19"/>
      <c r="X259" s="19"/>
      <c r="Y259" s="20"/>
      <c r="Z259" s="19"/>
      <c r="AA259" s="18" t="str">
        <f aca="false">IF(OR(V259="Aprobada"),R259,IF(AND(OR(V259="Aprobada con ajuste",V259="Rechazada"),W259&lt;&gt;""),W259,""))</f>
        <v/>
      </c>
    </row>
    <row r="260" customFormat="false" ht="22.35" hidden="false" customHeight="false" outlineLevel="0" collapsed="false">
      <c r="A260" s="18" t="s">
        <v>1253</v>
      </c>
      <c r="B260" s="18" t="s">
        <v>58</v>
      </c>
      <c r="C260" s="18" t="s">
        <v>59</v>
      </c>
      <c r="D260" s="18" t="s">
        <v>1212</v>
      </c>
      <c r="E260" s="18" t="n">
        <v>0</v>
      </c>
      <c r="F260" s="18" t="s">
        <v>1254</v>
      </c>
      <c r="G260" s="18" t="s">
        <v>735</v>
      </c>
      <c r="H260" s="18" t="s">
        <v>117</v>
      </c>
      <c r="I260" s="18"/>
      <c r="J260" s="18"/>
      <c r="K260" s="18"/>
      <c r="L260" s="18" t="s">
        <v>109</v>
      </c>
      <c r="M260" s="18" t="s">
        <v>109</v>
      </c>
      <c r="N260" s="18"/>
      <c r="O260" s="18"/>
      <c r="P260" s="18"/>
      <c r="Q260" s="18" t="s">
        <v>110</v>
      </c>
      <c r="R260" s="18" t="s">
        <v>1255</v>
      </c>
      <c r="S260" s="18" t="s">
        <v>112</v>
      </c>
      <c r="T260" s="18" t="s">
        <v>113</v>
      </c>
      <c r="U260" s="18"/>
      <c r="V260" s="19" t="s">
        <v>29</v>
      </c>
      <c r="W260" s="19"/>
      <c r="X260" s="19"/>
      <c r="Y260" s="20"/>
      <c r="Z260" s="19"/>
      <c r="AA260" s="18" t="str">
        <f aca="false">IF(OR(V260="Aprobada"),R260,IF(AND(OR(V260="Aprobada con ajuste",V260="Rechazada"),W260&lt;&gt;""),W260,""))</f>
        <v/>
      </c>
    </row>
    <row r="261" customFormat="false" ht="32.8" hidden="false" customHeight="false" outlineLevel="0" collapsed="false">
      <c r="A261" s="18" t="s">
        <v>1256</v>
      </c>
      <c r="B261" s="18" t="s">
        <v>58</v>
      </c>
      <c r="C261" s="18" t="s">
        <v>59</v>
      </c>
      <c r="D261" s="18" t="s">
        <v>1212</v>
      </c>
      <c r="E261" s="18" t="n">
        <v>0</v>
      </c>
      <c r="F261" s="18" t="s">
        <v>1257</v>
      </c>
      <c r="G261" s="18" t="s">
        <v>735</v>
      </c>
      <c r="H261" s="18" t="s">
        <v>117</v>
      </c>
      <c r="I261" s="18"/>
      <c r="J261" s="18"/>
      <c r="K261" s="18"/>
      <c r="L261" s="18" t="s">
        <v>109</v>
      </c>
      <c r="M261" s="18" t="s">
        <v>109</v>
      </c>
      <c r="N261" s="18"/>
      <c r="O261" s="18"/>
      <c r="P261" s="18"/>
      <c r="Q261" s="18" t="s">
        <v>134</v>
      </c>
      <c r="R261" s="18" t="s">
        <v>1258</v>
      </c>
      <c r="S261" s="18" t="s">
        <v>112</v>
      </c>
      <c r="T261" s="18" t="s">
        <v>1259</v>
      </c>
      <c r="U261" s="18" t="s">
        <v>1260</v>
      </c>
      <c r="V261" s="19" t="s">
        <v>29</v>
      </c>
      <c r="W261" s="19"/>
      <c r="X261" s="19"/>
      <c r="Y261" s="20"/>
      <c r="Z261" s="19"/>
      <c r="AA261" s="18" t="str">
        <f aca="false">IF(OR(V261="Aprobada"),R261,IF(AND(OR(V261="Aprobada con ajuste",V261="Rechazada"),W261&lt;&gt;""),W261,""))</f>
        <v/>
      </c>
    </row>
    <row r="262" customFormat="false" ht="32.8" hidden="false" customHeight="false" outlineLevel="0" collapsed="false">
      <c r="A262" s="18" t="s">
        <v>1261</v>
      </c>
      <c r="B262" s="18" t="s">
        <v>58</v>
      </c>
      <c r="C262" s="18" t="s">
        <v>59</v>
      </c>
      <c r="D262" s="18" t="s">
        <v>1212</v>
      </c>
      <c r="E262" s="18" t="n">
        <v>0</v>
      </c>
      <c r="F262" s="18" t="s">
        <v>844</v>
      </c>
      <c r="G262" s="18" t="s">
        <v>116</v>
      </c>
      <c r="H262" s="18" t="s">
        <v>117</v>
      </c>
      <c r="I262" s="18"/>
      <c r="J262" s="18"/>
      <c r="K262" s="18"/>
      <c r="L262" s="18" t="s">
        <v>109</v>
      </c>
      <c r="M262" s="18" t="s">
        <v>109</v>
      </c>
      <c r="N262" s="18"/>
      <c r="O262" s="18"/>
      <c r="P262" s="18"/>
      <c r="Q262" s="18" t="s">
        <v>134</v>
      </c>
      <c r="R262" s="18" t="s">
        <v>1262</v>
      </c>
      <c r="S262" s="18" t="s">
        <v>112</v>
      </c>
      <c r="T262" s="18" t="s">
        <v>1263</v>
      </c>
      <c r="U262" s="18" t="s">
        <v>1264</v>
      </c>
      <c r="V262" s="19" t="s">
        <v>29</v>
      </c>
      <c r="W262" s="19"/>
      <c r="X262" s="19"/>
      <c r="Y262" s="20"/>
      <c r="Z262" s="19"/>
      <c r="AA262" s="18" t="str">
        <f aca="false">IF(OR(V262="Aprobada"),R262,IF(AND(OR(V262="Aprobada con ajuste",V262="Rechazada"),W262&lt;&gt;""),W262,""))</f>
        <v/>
      </c>
    </row>
    <row r="263" customFormat="false" ht="32.8" hidden="false" customHeight="false" outlineLevel="0" collapsed="false">
      <c r="A263" s="18" t="s">
        <v>1265</v>
      </c>
      <c r="B263" s="18" t="s">
        <v>58</v>
      </c>
      <c r="C263" s="18" t="s">
        <v>59</v>
      </c>
      <c r="D263" s="18" t="s">
        <v>1212</v>
      </c>
      <c r="E263" s="18" t="n">
        <v>0</v>
      </c>
      <c r="F263" s="18" t="s">
        <v>1266</v>
      </c>
      <c r="G263" s="18" t="s">
        <v>934</v>
      </c>
      <c r="H263" s="18" t="s">
        <v>117</v>
      </c>
      <c r="I263" s="18"/>
      <c r="J263" s="18"/>
      <c r="K263" s="18"/>
      <c r="L263" s="18" t="s">
        <v>109</v>
      </c>
      <c r="M263" s="18" t="s">
        <v>109</v>
      </c>
      <c r="N263" s="18"/>
      <c r="O263" s="18"/>
      <c r="P263" s="18"/>
      <c r="Q263" s="18" t="s">
        <v>134</v>
      </c>
      <c r="R263" s="18" t="s">
        <v>1267</v>
      </c>
      <c r="S263" s="18" t="s">
        <v>112</v>
      </c>
      <c r="T263" s="18" t="s">
        <v>1268</v>
      </c>
      <c r="U263" s="18" t="s">
        <v>1269</v>
      </c>
      <c r="V263" s="19" t="s">
        <v>29</v>
      </c>
      <c r="W263" s="19"/>
      <c r="X263" s="19"/>
      <c r="Y263" s="20"/>
      <c r="Z263" s="19"/>
      <c r="AA263" s="18" t="str">
        <f aca="false">IF(OR(V263="Aprobada"),R263,IF(AND(OR(V263="Aprobada con ajuste",V263="Rechazada"),W263&lt;&gt;""),W263,""))</f>
        <v/>
      </c>
    </row>
    <row r="264" customFormat="false" ht="53.7" hidden="false" customHeight="false" outlineLevel="0" collapsed="false">
      <c r="A264" s="18" t="s">
        <v>1270</v>
      </c>
      <c r="B264" s="18" t="s">
        <v>58</v>
      </c>
      <c r="C264" s="18" t="s">
        <v>59</v>
      </c>
      <c r="D264" s="18" t="s">
        <v>1271</v>
      </c>
      <c r="E264" s="18" t="n">
        <v>0</v>
      </c>
      <c r="F264" s="18" t="s">
        <v>1272</v>
      </c>
      <c r="G264" s="18" t="s">
        <v>116</v>
      </c>
      <c r="H264" s="18" t="s">
        <v>109</v>
      </c>
      <c r="I264" s="18"/>
      <c r="J264" s="18"/>
      <c r="K264" s="18"/>
      <c r="L264" s="18" t="s">
        <v>109</v>
      </c>
      <c r="M264" s="18" t="s">
        <v>109</v>
      </c>
      <c r="N264" s="18"/>
      <c r="O264" s="18"/>
      <c r="P264" s="18" t="s">
        <v>1273</v>
      </c>
      <c r="Q264" s="18" t="s">
        <v>123</v>
      </c>
      <c r="R264" s="18" t="s">
        <v>1274</v>
      </c>
      <c r="S264" s="18" t="s">
        <v>125</v>
      </c>
      <c r="T264" s="18" t="s">
        <v>1275</v>
      </c>
      <c r="U264" s="18"/>
      <c r="V264" s="19" t="s">
        <v>29</v>
      </c>
      <c r="W264" s="19"/>
      <c r="X264" s="19"/>
      <c r="Y264" s="20"/>
      <c r="Z264" s="19"/>
      <c r="AA264" s="18" t="str">
        <f aca="false">IF(OR(V264="Aprobada"),R264,IF(AND(OR(V264="Aprobada con ajuste",V264="Rechazada"),W264&lt;&gt;""),W264,""))</f>
        <v/>
      </c>
    </row>
    <row r="265" customFormat="false" ht="32.8" hidden="false" customHeight="false" outlineLevel="0" collapsed="false">
      <c r="A265" s="18" t="s">
        <v>1276</v>
      </c>
      <c r="B265" s="18" t="s">
        <v>58</v>
      </c>
      <c r="C265" s="18" t="s">
        <v>59</v>
      </c>
      <c r="D265" s="18" t="s">
        <v>1271</v>
      </c>
      <c r="E265" s="18" t="n">
        <v>0</v>
      </c>
      <c r="F265" s="18" t="s">
        <v>794</v>
      </c>
      <c r="G265" s="18" t="s">
        <v>116</v>
      </c>
      <c r="H265" s="18" t="s">
        <v>109</v>
      </c>
      <c r="I265" s="18"/>
      <c r="J265" s="18"/>
      <c r="K265" s="18"/>
      <c r="L265" s="18" t="s">
        <v>109</v>
      </c>
      <c r="M265" s="18" t="s">
        <v>109</v>
      </c>
      <c r="N265" s="18"/>
      <c r="O265" s="18"/>
      <c r="P265" s="18" t="s">
        <v>1277</v>
      </c>
      <c r="Q265" s="18" t="s">
        <v>134</v>
      </c>
      <c r="R265" s="18" t="s">
        <v>1278</v>
      </c>
      <c r="S265" s="18" t="s">
        <v>112</v>
      </c>
      <c r="T265" s="18" t="s">
        <v>1279</v>
      </c>
      <c r="U265" s="18" t="s">
        <v>1280</v>
      </c>
      <c r="V265" s="19" t="s">
        <v>29</v>
      </c>
      <c r="W265" s="19"/>
      <c r="X265" s="19"/>
      <c r="Y265" s="20"/>
      <c r="Z265" s="19"/>
      <c r="AA265" s="18" t="str">
        <f aca="false">IF(OR(V265="Aprobada"),R265,IF(AND(OR(V265="Aprobada con ajuste",V265="Rechazada"),W265&lt;&gt;""),W265,""))</f>
        <v/>
      </c>
    </row>
    <row r="266" customFormat="false" ht="32.8" hidden="false" customHeight="false" outlineLevel="0" collapsed="false">
      <c r="A266" s="18" t="s">
        <v>1281</v>
      </c>
      <c r="B266" s="18" t="s">
        <v>58</v>
      </c>
      <c r="C266" s="18" t="s">
        <v>59</v>
      </c>
      <c r="D266" s="18" t="s">
        <v>1271</v>
      </c>
      <c r="E266" s="18" t="n">
        <v>0</v>
      </c>
      <c r="F266" s="18" t="s">
        <v>799</v>
      </c>
      <c r="G266" s="18" t="s">
        <v>800</v>
      </c>
      <c r="H266" s="18" t="s">
        <v>117</v>
      </c>
      <c r="I266" s="18"/>
      <c r="J266" s="18"/>
      <c r="K266" s="18"/>
      <c r="L266" s="18" t="s">
        <v>109</v>
      </c>
      <c r="M266" s="18" t="s">
        <v>109</v>
      </c>
      <c r="N266" s="18"/>
      <c r="O266" s="18"/>
      <c r="P266" s="18" t="s">
        <v>1282</v>
      </c>
      <c r="Q266" s="18" t="s">
        <v>134</v>
      </c>
      <c r="R266" s="18" t="s">
        <v>1283</v>
      </c>
      <c r="S266" s="18" t="s">
        <v>125</v>
      </c>
      <c r="T266" s="18" t="s">
        <v>1284</v>
      </c>
      <c r="U266" s="18"/>
      <c r="V266" s="19" t="s">
        <v>29</v>
      </c>
      <c r="W266" s="19"/>
      <c r="X266" s="19"/>
      <c r="Y266" s="20"/>
      <c r="Z266" s="19"/>
      <c r="AA266" s="18" t="str">
        <f aca="false">IF(OR(V266="Aprobada"),R266,IF(AND(OR(V266="Aprobada con ajuste",V266="Rechazada"),W266&lt;&gt;""),W266,""))</f>
        <v/>
      </c>
    </row>
    <row r="267" customFormat="false" ht="32.8" hidden="false" customHeight="false" outlineLevel="0" collapsed="false">
      <c r="A267" s="18" t="s">
        <v>1285</v>
      </c>
      <c r="B267" s="18" t="s">
        <v>58</v>
      </c>
      <c r="C267" s="18" t="s">
        <v>59</v>
      </c>
      <c r="D267" s="18" t="s">
        <v>1271</v>
      </c>
      <c r="E267" s="18" t="n">
        <v>0</v>
      </c>
      <c r="F267" s="18" t="s">
        <v>844</v>
      </c>
      <c r="G267" s="18" t="s">
        <v>116</v>
      </c>
      <c r="H267" s="18" t="s">
        <v>117</v>
      </c>
      <c r="I267" s="18"/>
      <c r="J267" s="18"/>
      <c r="K267" s="18"/>
      <c r="L267" s="18" t="s">
        <v>109</v>
      </c>
      <c r="M267" s="18" t="s">
        <v>109</v>
      </c>
      <c r="N267" s="18"/>
      <c r="O267" s="18" t="s">
        <v>1286</v>
      </c>
      <c r="P267" s="18" t="s">
        <v>1287</v>
      </c>
      <c r="Q267" s="18" t="s">
        <v>134</v>
      </c>
      <c r="R267" s="18" t="s">
        <v>1288</v>
      </c>
      <c r="S267" s="18" t="s">
        <v>112</v>
      </c>
      <c r="T267" s="18" t="s">
        <v>1289</v>
      </c>
      <c r="U267" s="18" t="s">
        <v>1290</v>
      </c>
      <c r="V267" s="19" t="s">
        <v>29</v>
      </c>
      <c r="W267" s="19"/>
      <c r="X267" s="19"/>
      <c r="Y267" s="20"/>
      <c r="Z267" s="19"/>
      <c r="AA267" s="18" t="str">
        <f aca="false">IF(OR(V267="Aprobada"),R267,IF(AND(OR(V267="Aprobada con ajuste",V267="Rechazada"),W267&lt;&gt;""),W267,""))</f>
        <v/>
      </c>
    </row>
    <row r="268" customFormat="false" ht="32.8" hidden="false" customHeight="false" outlineLevel="0" collapsed="false">
      <c r="A268" s="18" t="s">
        <v>1291</v>
      </c>
      <c r="B268" s="18" t="s">
        <v>58</v>
      </c>
      <c r="C268" s="18" t="s">
        <v>59</v>
      </c>
      <c r="D268" s="18" t="s">
        <v>1271</v>
      </c>
      <c r="E268" s="18" t="n">
        <v>0</v>
      </c>
      <c r="F268" s="18" t="s">
        <v>422</v>
      </c>
      <c r="G268" s="18" t="s">
        <v>116</v>
      </c>
      <c r="H268" s="18" t="s">
        <v>117</v>
      </c>
      <c r="I268" s="18"/>
      <c r="J268" s="18"/>
      <c r="K268" s="18"/>
      <c r="L268" s="18" t="s">
        <v>109</v>
      </c>
      <c r="M268" s="18" t="s">
        <v>109</v>
      </c>
      <c r="N268" s="18"/>
      <c r="O268" s="18"/>
      <c r="P268" s="18" t="s">
        <v>1292</v>
      </c>
      <c r="Q268" s="18" t="s">
        <v>134</v>
      </c>
      <c r="R268" s="18" t="s">
        <v>1293</v>
      </c>
      <c r="S268" s="18" t="s">
        <v>112</v>
      </c>
      <c r="T268" s="18" t="s">
        <v>1263</v>
      </c>
      <c r="U268" s="18" t="s">
        <v>1294</v>
      </c>
      <c r="V268" s="19" t="s">
        <v>29</v>
      </c>
      <c r="W268" s="19"/>
      <c r="X268" s="19"/>
      <c r="Y268" s="20"/>
      <c r="Z268" s="19"/>
      <c r="AA268" s="18" t="str">
        <f aca="false">IF(OR(V268="Aprobada"),R268,IF(AND(OR(V268="Aprobada con ajuste",V268="Rechazada"),W268&lt;&gt;""),W268,""))</f>
        <v/>
      </c>
    </row>
    <row r="269" customFormat="false" ht="32.8" hidden="false" customHeight="false" outlineLevel="0" collapsed="false">
      <c r="A269" s="18" t="s">
        <v>1295</v>
      </c>
      <c r="B269" s="18" t="s">
        <v>58</v>
      </c>
      <c r="C269" s="18" t="s">
        <v>59</v>
      </c>
      <c r="D269" s="18" t="s">
        <v>1271</v>
      </c>
      <c r="E269" s="18" t="n">
        <v>0</v>
      </c>
      <c r="F269" s="18" t="s">
        <v>1296</v>
      </c>
      <c r="G269" s="18" t="s">
        <v>212</v>
      </c>
      <c r="H269" s="18" t="s">
        <v>117</v>
      </c>
      <c r="I269" s="18"/>
      <c r="J269" s="18"/>
      <c r="K269" s="18"/>
      <c r="L269" s="18" t="s">
        <v>109</v>
      </c>
      <c r="M269" s="18" t="s">
        <v>109</v>
      </c>
      <c r="N269" s="18"/>
      <c r="O269" s="18"/>
      <c r="P269" s="18" t="s">
        <v>1297</v>
      </c>
      <c r="Q269" s="18" t="s">
        <v>134</v>
      </c>
      <c r="R269" s="18" t="s">
        <v>1298</v>
      </c>
      <c r="S269" s="18" t="s">
        <v>125</v>
      </c>
      <c r="T269" s="18" t="s">
        <v>1299</v>
      </c>
      <c r="U269" s="18"/>
      <c r="V269" s="19" t="s">
        <v>29</v>
      </c>
      <c r="W269" s="19"/>
      <c r="X269" s="19"/>
      <c r="Y269" s="20"/>
      <c r="Z269" s="19"/>
      <c r="AA269" s="18" t="str">
        <f aca="false">IF(OR(V269="Aprobada"),R269,IF(AND(OR(V269="Aprobada con ajuste",V269="Rechazada"),W269&lt;&gt;""),W269,""))</f>
        <v/>
      </c>
    </row>
    <row r="270" customFormat="false" ht="32.8" hidden="false" customHeight="false" outlineLevel="0" collapsed="false">
      <c r="A270" s="18" t="s">
        <v>1300</v>
      </c>
      <c r="B270" s="18" t="s">
        <v>58</v>
      </c>
      <c r="C270" s="18" t="s">
        <v>59</v>
      </c>
      <c r="D270" s="18" t="s">
        <v>1271</v>
      </c>
      <c r="E270" s="18" t="n">
        <v>0</v>
      </c>
      <c r="F270" s="18" t="s">
        <v>1301</v>
      </c>
      <c r="G270" s="18" t="s">
        <v>139</v>
      </c>
      <c r="H270" s="18" t="s">
        <v>117</v>
      </c>
      <c r="I270" s="18"/>
      <c r="J270" s="18"/>
      <c r="K270" s="18"/>
      <c r="L270" s="18" t="s">
        <v>109</v>
      </c>
      <c r="M270" s="18" t="s">
        <v>109</v>
      </c>
      <c r="N270" s="18"/>
      <c r="O270" s="18"/>
      <c r="P270" s="18" t="s">
        <v>1302</v>
      </c>
      <c r="Q270" s="18" t="s">
        <v>134</v>
      </c>
      <c r="R270" s="18" t="s">
        <v>1303</v>
      </c>
      <c r="S270" s="18" t="s">
        <v>125</v>
      </c>
      <c r="T270" s="18" t="s">
        <v>1304</v>
      </c>
      <c r="U270" s="18"/>
      <c r="V270" s="19" t="s">
        <v>29</v>
      </c>
      <c r="W270" s="19"/>
      <c r="X270" s="19"/>
      <c r="Y270" s="20"/>
      <c r="Z270" s="19"/>
      <c r="AA270" s="18" t="str">
        <f aca="false">IF(OR(V270="Aprobada"),R270,IF(AND(OR(V270="Aprobada con ajuste",V270="Rechazada"),W270&lt;&gt;""),W270,""))</f>
        <v/>
      </c>
    </row>
    <row r="271" customFormat="false" ht="32.8" hidden="false" customHeight="false" outlineLevel="0" collapsed="false">
      <c r="A271" s="18" t="s">
        <v>1305</v>
      </c>
      <c r="B271" s="18" t="s">
        <v>58</v>
      </c>
      <c r="C271" s="18" t="s">
        <v>59</v>
      </c>
      <c r="D271" s="18" t="s">
        <v>1271</v>
      </c>
      <c r="E271" s="18" t="n">
        <v>0</v>
      </c>
      <c r="F271" s="18" t="s">
        <v>824</v>
      </c>
      <c r="G271" s="18" t="s">
        <v>116</v>
      </c>
      <c r="H271" s="18" t="s">
        <v>117</v>
      </c>
      <c r="I271" s="18"/>
      <c r="J271" s="18"/>
      <c r="K271" s="18"/>
      <c r="L271" s="18" t="s">
        <v>109</v>
      </c>
      <c r="M271" s="18" t="s">
        <v>109</v>
      </c>
      <c r="N271" s="18"/>
      <c r="O271" s="18"/>
      <c r="P271" s="18" t="s">
        <v>1306</v>
      </c>
      <c r="Q271" s="18" t="s">
        <v>110</v>
      </c>
      <c r="R271" s="18" t="s">
        <v>825</v>
      </c>
      <c r="S271" s="18" t="s">
        <v>112</v>
      </c>
      <c r="T271" s="18" t="s">
        <v>113</v>
      </c>
      <c r="U271" s="18"/>
      <c r="V271" s="19" t="s">
        <v>29</v>
      </c>
      <c r="W271" s="19"/>
      <c r="X271" s="19"/>
      <c r="Y271" s="20"/>
      <c r="Z271" s="19"/>
      <c r="AA271" s="18" t="str">
        <f aca="false">IF(OR(V271="Aprobada"),R271,IF(AND(OR(V271="Aprobada con ajuste",V271="Rechazada"),W271&lt;&gt;""),W271,""))</f>
        <v/>
      </c>
    </row>
    <row r="272" customFormat="false" ht="43.25" hidden="false" customHeight="false" outlineLevel="0" collapsed="false">
      <c r="A272" s="18" t="s">
        <v>1307</v>
      </c>
      <c r="B272" s="18" t="s">
        <v>58</v>
      </c>
      <c r="C272" s="18" t="s">
        <v>59</v>
      </c>
      <c r="D272" s="18" t="s">
        <v>1308</v>
      </c>
      <c r="E272" s="18" t="n">
        <v>12</v>
      </c>
      <c r="F272" s="18" t="s">
        <v>844</v>
      </c>
      <c r="G272" s="18" t="s">
        <v>249</v>
      </c>
      <c r="H272" s="18" t="s">
        <v>117</v>
      </c>
      <c r="I272" s="18"/>
      <c r="J272" s="18"/>
      <c r="K272" s="18"/>
      <c r="L272" s="18" t="s">
        <v>109</v>
      </c>
      <c r="M272" s="18" t="s">
        <v>109</v>
      </c>
      <c r="N272" s="18"/>
      <c r="O272" s="18" t="s">
        <v>1309</v>
      </c>
      <c r="P272" s="18" t="s">
        <v>1310</v>
      </c>
      <c r="Q272" s="18" t="s">
        <v>134</v>
      </c>
      <c r="R272" s="18" t="s">
        <v>1311</v>
      </c>
      <c r="S272" s="18" t="s">
        <v>125</v>
      </c>
      <c r="T272" s="18" t="s">
        <v>1312</v>
      </c>
      <c r="U272" s="18"/>
      <c r="V272" s="19" t="s">
        <v>29</v>
      </c>
      <c r="W272" s="19"/>
      <c r="X272" s="19"/>
      <c r="Y272" s="20"/>
      <c r="Z272" s="19"/>
      <c r="AA272" s="18" t="str">
        <f aca="false">IF(OR(V272="Aprobada"),R272,IF(AND(OR(V272="Aprobada con ajuste",V272="Rechazada"),W272&lt;&gt;""),W272,""))</f>
        <v/>
      </c>
    </row>
    <row r="273" customFormat="false" ht="32.8" hidden="false" customHeight="false" outlineLevel="0" collapsed="false">
      <c r="A273" s="18" t="s">
        <v>1313</v>
      </c>
      <c r="B273" s="18" t="s">
        <v>58</v>
      </c>
      <c r="C273" s="18" t="s">
        <v>59</v>
      </c>
      <c r="D273" s="18" t="s">
        <v>1308</v>
      </c>
      <c r="E273" s="18" t="n">
        <v>12</v>
      </c>
      <c r="F273" s="18" t="s">
        <v>882</v>
      </c>
      <c r="G273" s="18" t="s">
        <v>116</v>
      </c>
      <c r="H273" s="18" t="s">
        <v>117</v>
      </c>
      <c r="I273" s="18"/>
      <c r="J273" s="18"/>
      <c r="K273" s="18"/>
      <c r="L273" s="18" t="s">
        <v>109</v>
      </c>
      <c r="M273" s="18" t="s">
        <v>109</v>
      </c>
      <c r="N273" s="18"/>
      <c r="O273" s="18" t="s">
        <v>1314</v>
      </c>
      <c r="P273" s="18" t="s">
        <v>1315</v>
      </c>
      <c r="Q273" s="18" t="s">
        <v>123</v>
      </c>
      <c r="R273" s="18" t="s">
        <v>1316</v>
      </c>
      <c r="S273" s="18" t="s">
        <v>125</v>
      </c>
      <c r="T273" s="18" t="s">
        <v>1317</v>
      </c>
      <c r="U273" s="18"/>
      <c r="V273" s="19" t="s">
        <v>29</v>
      </c>
      <c r="W273" s="19"/>
      <c r="X273" s="19"/>
      <c r="Y273" s="20"/>
      <c r="Z273" s="19"/>
      <c r="AA273" s="18" t="str">
        <f aca="false">IF(OR(V273="Aprobada"),R273,IF(AND(OR(V273="Aprobada con ajuste",V273="Rechazada"),W273&lt;&gt;""),W273,""))</f>
        <v/>
      </c>
    </row>
    <row r="274" customFormat="false" ht="74.6" hidden="false" customHeight="false" outlineLevel="0" collapsed="false">
      <c r="A274" s="18" t="s">
        <v>1318</v>
      </c>
      <c r="B274" s="18" t="s">
        <v>58</v>
      </c>
      <c r="C274" s="18" t="s">
        <v>59</v>
      </c>
      <c r="D274" s="18" t="s">
        <v>1308</v>
      </c>
      <c r="E274" s="18" t="n">
        <v>12</v>
      </c>
      <c r="F274" s="18" t="s">
        <v>1048</v>
      </c>
      <c r="G274" s="18" t="s">
        <v>116</v>
      </c>
      <c r="H274" s="18" t="s">
        <v>117</v>
      </c>
      <c r="I274" s="18"/>
      <c r="J274" s="18"/>
      <c r="K274" s="18"/>
      <c r="L274" s="18" t="s">
        <v>109</v>
      </c>
      <c r="M274" s="18" t="s">
        <v>109</v>
      </c>
      <c r="N274" s="18"/>
      <c r="O274" s="18"/>
      <c r="P274" s="18" t="s">
        <v>1319</v>
      </c>
      <c r="Q274" s="18" t="s">
        <v>123</v>
      </c>
      <c r="R274" s="18" t="s">
        <v>1320</v>
      </c>
      <c r="S274" s="18" t="s">
        <v>125</v>
      </c>
      <c r="T274" s="18" t="s">
        <v>1321</v>
      </c>
      <c r="U274" s="18"/>
      <c r="V274" s="19" t="s">
        <v>29</v>
      </c>
      <c r="W274" s="19"/>
      <c r="X274" s="19"/>
      <c r="Y274" s="20"/>
      <c r="Z274" s="19"/>
      <c r="AA274" s="18" t="str">
        <f aca="false">IF(OR(V274="Aprobada"),R274,IF(AND(OR(V274="Aprobada con ajuste",V274="Rechazada"),W274&lt;&gt;""),W274,""))</f>
        <v/>
      </c>
    </row>
    <row r="275" customFormat="false" ht="43.25" hidden="false" customHeight="false" outlineLevel="0" collapsed="false">
      <c r="A275" s="18" t="s">
        <v>1322</v>
      </c>
      <c r="B275" s="18" t="s">
        <v>58</v>
      </c>
      <c r="C275" s="18" t="s">
        <v>59</v>
      </c>
      <c r="D275" s="18" t="s">
        <v>1308</v>
      </c>
      <c r="E275" s="18" t="n">
        <v>12</v>
      </c>
      <c r="F275" s="18" t="s">
        <v>1323</v>
      </c>
      <c r="G275" s="18" t="s">
        <v>116</v>
      </c>
      <c r="H275" s="18" t="s">
        <v>117</v>
      </c>
      <c r="I275" s="18"/>
      <c r="J275" s="18"/>
      <c r="K275" s="18"/>
      <c r="L275" s="18" t="s">
        <v>109</v>
      </c>
      <c r="M275" s="18" t="s">
        <v>109</v>
      </c>
      <c r="N275" s="18"/>
      <c r="O275" s="18"/>
      <c r="P275" s="18" t="s">
        <v>1324</v>
      </c>
      <c r="Q275" s="18" t="s">
        <v>123</v>
      </c>
      <c r="R275" s="18" t="s">
        <v>1325</v>
      </c>
      <c r="S275" s="18" t="s">
        <v>125</v>
      </c>
      <c r="T275" s="18" t="s">
        <v>1326</v>
      </c>
      <c r="U275" s="18"/>
      <c r="V275" s="19" t="s">
        <v>29</v>
      </c>
      <c r="W275" s="19"/>
      <c r="X275" s="19"/>
      <c r="Y275" s="20"/>
      <c r="Z275" s="19"/>
      <c r="AA275" s="18" t="str">
        <f aca="false">IF(OR(V275="Aprobada"),R275,IF(AND(OR(V275="Aprobada con ajuste",V275="Rechazada"),W275&lt;&gt;""),W275,""))</f>
        <v/>
      </c>
    </row>
    <row r="276" customFormat="false" ht="32.8" hidden="false" customHeight="false" outlineLevel="0" collapsed="false">
      <c r="A276" s="18" t="s">
        <v>1327</v>
      </c>
      <c r="B276" s="18" t="s">
        <v>58</v>
      </c>
      <c r="C276" s="18" t="s">
        <v>59</v>
      </c>
      <c r="D276" s="18" t="s">
        <v>1308</v>
      </c>
      <c r="E276" s="18" t="n">
        <v>12</v>
      </c>
      <c r="F276" s="18" t="s">
        <v>981</v>
      </c>
      <c r="G276" s="18" t="s">
        <v>116</v>
      </c>
      <c r="H276" s="18" t="s">
        <v>117</v>
      </c>
      <c r="I276" s="18"/>
      <c r="J276" s="18"/>
      <c r="K276" s="18"/>
      <c r="L276" s="18" t="s">
        <v>109</v>
      </c>
      <c r="M276" s="18" t="s">
        <v>109</v>
      </c>
      <c r="N276" s="18"/>
      <c r="O276" s="18"/>
      <c r="P276" s="18" t="s">
        <v>1328</v>
      </c>
      <c r="Q276" s="18" t="s">
        <v>123</v>
      </c>
      <c r="R276" s="18" t="s">
        <v>1329</v>
      </c>
      <c r="S276" s="18" t="s">
        <v>125</v>
      </c>
      <c r="T276" s="18" t="s">
        <v>1330</v>
      </c>
      <c r="U276" s="18"/>
      <c r="V276" s="19" t="s">
        <v>29</v>
      </c>
      <c r="W276" s="19"/>
      <c r="X276" s="19"/>
      <c r="Y276" s="20"/>
      <c r="Z276" s="19"/>
      <c r="AA276" s="18" t="str">
        <f aca="false">IF(OR(V276="Aprobada"),R276,IF(AND(OR(V276="Aprobada con ajuste",V276="Rechazada"),W276&lt;&gt;""),W276,""))</f>
        <v/>
      </c>
    </row>
    <row r="277" customFormat="false" ht="32.8" hidden="false" customHeight="false" outlineLevel="0" collapsed="false">
      <c r="A277" s="18" t="s">
        <v>1331</v>
      </c>
      <c r="B277" s="18" t="s">
        <v>58</v>
      </c>
      <c r="C277" s="18" t="s">
        <v>59</v>
      </c>
      <c r="D277" s="18" t="s">
        <v>1308</v>
      </c>
      <c r="E277" s="18" t="n">
        <v>12</v>
      </c>
      <c r="F277" s="18" t="s">
        <v>107</v>
      </c>
      <c r="G277" s="18" t="s">
        <v>324</v>
      </c>
      <c r="H277" s="18" t="s">
        <v>109</v>
      </c>
      <c r="I277" s="18"/>
      <c r="J277" s="18"/>
      <c r="K277" s="18"/>
      <c r="L277" s="18" t="s">
        <v>109</v>
      </c>
      <c r="M277" s="18" t="s">
        <v>109</v>
      </c>
      <c r="N277" s="18"/>
      <c r="O277" s="18"/>
      <c r="P277" s="18" t="s">
        <v>1332</v>
      </c>
      <c r="Q277" s="18" t="s">
        <v>123</v>
      </c>
      <c r="R277" s="18" t="s">
        <v>1333</v>
      </c>
      <c r="S277" s="18" t="s">
        <v>125</v>
      </c>
      <c r="T277" s="18" t="s">
        <v>1334</v>
      </c>
      <c r="U277" s="18"/>
      <c r="V277" s="19" t="s">
        <v>29</v>
      </c>
      <c r="W277" s="19"/>
      <c r="X277" s="19"/>
      <c r="Y277" s="20"/>
      <c r="Z277" s="19"/>
      <c r="AA277" s="18" t="str">
        <f aca="false">IF(OR(V277="Aprobada"),R277,IF(AND(OR(V277="Aprobada con ajuste",V277="Rechazada"),W277&lt;&gt;""),W277,""))</f>
        <v/>
      </c>
    </row>
    <row r="278" customFormat="false" ht="32.8" hidden="false" customHeight="false" outlineLevel="0" collapsed="false">
      <c r="A278" s="18" t="s">
        <v>1335</v>
      </c>
      <c r="B278" s="18" t="s">
        <v>58</v>
      </c>
      <c r="C278" s="18" t="s">
        <v>59</v>
      </c>
      <c r="D278" s="18" t="s">
        <v>1308</v>
      </c>
      <c r="E278" s="18" t="n">
        <v>12</v>
      </c>
      <c r="F278" s="18" t="s">
        <v>947</v>
      </c>
      <c r="G278" s="18" t="s">
        <v>934</v>
      </c>
      <c r="H278" s="18" t="s">
        <v>117</v>
      </c>
      <c r="I278" s="18"/>
      <c r="J278" s="18"/>
      <c r="K278" s="18"/>
      <c r="L278" s="18" t="s">
        <v>109</v>
      </c>
      <c r="M278" s="18" t="s">
        <v>109</v>
      </c>
      <c r="N278" s="18"/>
      <c r="O278" s="18"/>
      <c r="P278" s="18" t="s">
        <v>1336</v>
      </c>
      <c r="Q278" s="18" t="s">
        <v>123</v>
      </c>
      <c r="R278" s="18" t="s">
        <v>1337</v>
      </c>
      <c r="S278" s="18" t="s">
        <v>125</v>
      </c>
      <c r="T278" s="18" t="s">
        <v>1338</v>
      </c>
      <c r="U278" s="18"/>
      <c r="V278" s="19" t="s">
        <v>29</v>
      </c>
      <c r="W278" s="19"/>
      <c r="X278" s="19"/>
      <c r="Y278" s="20"/>
      <c r="Z278" s="19"/>
      <c r="AA278" s="18" t="str">
        <f aca="false">IF(OR(V278="Aprobada"),R278,IF(AND(OR(V278="Aprobada con ajuste",V278="Rechazada"),W278&lt;&gt;""),W278,""))</f>
        <v/>
      </c>
    </row>
    <row r="279" customFormat="false" ht="32.8" hidden="false" customHeight="false" outlineLevel="0" collapsed="false">
      <c r="A279" s="18" t="s">
        <v>1339</v>
      </c>
      <c r="B279" s="18" t="s">
        <v>58</v>
      </c>
      <c r="C279" s="18" t="s">
        <v>59</v>
      </c>
      <c r="D279" s="18" t="s">
        <v>1308</v>
      </c>
      <c r="E279" s="18" t="n">
        <v>12</v>
      </c>
      <c r="F279" s="18" t="s">
        <v>914</v>
      </c>
      <c r="G279" s="18" t="s">
        <v>116</v>
      </c>
      <c r="H279" s="18" t="s">
        <v>117</v>
      </c>
      <c r="I279" s="18"/>
      <c r="J279" s="18"/>
      <c r="K279" s="18"/>
      <c r="L279" s="18" t="s">
        <v>109</v>
      </c>
      <c r="M279" s="18" t="s">
        <v>109</v>
      </c>
      <c r="N279" s="18"/>
      <c r="O279" s="18"/>
      <c r="P279" s="18" t="s">
        <v>1340</v>
      </c>
      <c r="Q279" s="18" t="s">
        <v>123</v>
      </c>
      <c r="R279" s="18" t="s">
        <v>1341</v>
      </c>
      <c r="S279" s="18" t="s">
        <v>125</v>
      </c>
      <c r="T279" s="18" t="s">
        <v>1342</v>
      </c>
      <c r="U279" s="18"/>
      <c r="V279" s="19" t="s">
        <v>29</v>
      </c>
      <c r="W279" s="19"/>
      <c r="X279" s="19"/>
      <c r="Y279" s="20"/>
      <c r="Z279" s="19"/>
      <c r="AA279" s="18" t="str">
        <f aca="false">IF(OR(V279="Aprobada"),R279,IF(AND(OR(V279="Aprobada con ajuste",V279="Rechazada"),W279&lt;&gt;""),W279,""))</f>
        <v/>
      </c>
    </row>
    <row r="280" customFormat="false" ht="43.25" hidden="false" customHeight="false" outlineLevel="0" collapsed="false">
      <c r="A280" s="18" t="s">
        <v>1343</v>
      </c>
      <c r="B280" s="18" t="s">
        <v>58</v>
      </c>
      <c r="C280" s="18" t="s">
        <v>59</v>
      </c>
      <c r="D280" s="18" t="s">
        <v>1308</v>
      </c>
      <c r="E280" s="18" t="n">
        <v>12</v>
      </c>
      <c r="F280" s="18" t="s">
        <v>1344</v>
      </c>
      <c r="G280" s="18" t="s">
        <v>735</v>
      </c>
      <c r="H280" s="18" t="s">
        <v>117</v>
      </c>
      <c r="I280" s="18"/>
      <c r="J280" s="18"/>
      <c r="K280" s="18"/>
      <c r="L280" s="18" t="s">
        <v>109</v>
      </c>
      <c r="M280" s="18" t="s">
        <v>109</v>
      </c>
      <c r="N280" s="18"/>
      <c r="O280" s="18"/>
      <c r="P280" s="18" t="s">
        <v>1345</v>
      </c>
      <c r="Q280" s="18" t="s">
        <v>123</v>
      </c>
      <c r="R280" s="18" t="s">
        <v>1346</v>
      </c>
      <c r="S280" s="18" t="s">
        <v>125</v>
      </c>
      <c r="T280" s="18" t="s">
        <v>1347</v>
      </c>
      <c r="U280" s="18"/>
      <c r="V280" s="19" t="s">
        <v>29</v>
      </c>
      <c r="W280" s="19"/>
      <c r="X280" s="19"/>
      <c r="Y280" s="20"/>
      <c r="Z280" s="19"/>
      <c r="AA280" s="18" t="str">
        <f aca="false">IF(OR(V280="Aprobada"),R280,IF(AND(OR(V280="Aprobada con ajuste",V280="Rechazada"),W280&lt;&gt;""),W280,""))</f>
        <v/>
      </c>
    </row>
    <row r="281" customFormat="false" ht="32.8" hidden="false" customHeight="false" outlineLevel="0" collapsed="false">
      <c r="A281" s="18" t="s">
        <v>1348</v>
      </c>
      <c r="B281" s="18" t="s">
        <v>58</v>
      </c>
      <c r="C281" s="18" t="s">
        <v>59</v>
      </c>
      <c r="D281" s="18" t="s">
        <v>1308</v>
      </c>
      <c r="E281" s="18" t="n">
        <v>12</v>
      </c>
      <c r="F281" s="18" t="s">
        <v>1349</v>
      </c>
      <c r="G281" s="18" t="s">
        <v>249</v>
      </c>
      <c r="H281" s="18" t="s">
        <v>117</v>
      </c>
      <c r="I281" s="18"/>
      <c r="J281" s="18"/>
      <c r="K281" s="18"/>
      <c r="L281" s="18" t="s">
        <v>109</v>
      </c>
      <c r="M281" s="18" t="s">
        <v>109</v>
      </c>
      <c r="N281" s="18"/>
      <c r="O281" s="18"/>
      <c r="P281" s="18"/>
      <c r="Q281" s="18" t="s">
        <v>134</v>
      </c>
      <c r="R281" s="18" t="s">
        <v>1350</v>
      </c>
      <c r="S281" s="18" t="s">
        <v>169</v>
      </c>
      <c r="T281" s="18" t="s">
        <v>1351</v>
      </c>
      <c r="U281" s="18" t="s">
        <v>1352</v>
      </c>
      <c r="V281" s="19" t="s">
        <v>29</v>
      </c>
      <c r="W281" s="19"/>
      <c r="X281" s="19"/>
      <c r="Y281" s="20"/>
      <c r="Z281" s="19"/>
      <c r="AA281" s="18" t="str">
        <f aca="false">IF(OR(V281="Aprobada"),R281,IF(AND(OR(V281="Aprobada con ajuste",V281="Rechazada"),W281&lt;&gt;""),W281,""))</f>
        <v/>
      </c>
    </row>
    <row r="282" customFormat="false" ht="32.8" hidden="false" customHeight="false" outlineLevel="0" collapsed="false">
      <c r="A282" s="18" t="s">
        <v>1353</v>
      </c>
      <c r="B282" s="18" t="s">
        <v>58</v>
      </c>
      <c r="C282" s="18" t="s">
        <v>59</v>
      </c>
      <c r="D282" s="18" t="s">
        <v>1308</v>
      </c>
      <c r="E282" s="18" t="n">
        <v>12</v>
      </c>
      <c r="F282" s="18" t="s">
        <v>1354</v>
      </c>
      <c r="G282" s="18" t="s">
        <v>212</v>
      </c>
      <c r="H282" s="18" t="s">
        <v>109</v>
      </c>
      <c r="I282" s="18"/>
      <c r="J282" s="18"/>
      <c r="K282" s="18"/>
      <c r="L282" s="18" t="s">
        <v>109</v>
      </c>
      <c r="M282" s="18" t="s">
        <v>109</v>
      </c>
      <c r="N282" s="18"/>
      <c r="O282" s="18"/>
      <c r="P282" s="18" t="s">
        <v>1355</v>
      </c>
      <c r="Q282" s="18" t="s">
        <v>134</v>
      </c>
      <c r="R282" s="18" t="s">
        <v>1356</v>
      </c>
      <c r="S282" s="18" t="s">
        <v>169</v>
      </c>
      <c r="T282" s="18" t="s">
        <v>1173</v>
      </c>
      <c r="U282" s="18" t="s">
        <v>1357</v>
      </c>
      <c r="V282" s="19" t="s">
        <v>29</v>
      </c>
      <c r="W282" s="19"/>
      <c r="X282" s="19"/>
      <c r="Y282" s="20"/>
      <c r="Z282" s="19"/>
      <c r="AA282" s="18" t="str">
        <f aca="false">IF(OR(V282="Aprobada"),R282,IF(AND(OR(V282="Aprobada con ajuste",V282="Rechazada"),W282&lt;&gt;""),W282,""))</f>
        <v/>
      </c>
    </row>
    <row r="283" customFormat="false" ht="85.05" hidden="false" customHeight="false" outlineLevel="0" collapsed="false">
      <c r="A283" s="18" t="s">
        <v>1358</v>
      </c>
      <c r="B283" s="18" t="s">
        <v>60</v>
      </c>
      <c r="C283" s="18" t="s">
        <v>61</v>
      </c>
      <c r="D283" s="18" t="s">
        <v>1359</v>
      </c>
      <c r="E283" s="18" t="n">
        <v>1</v>
      </c>
      <c r="F283" s="18" t="s">
        <v>417</v>
      </c>
      <c r="G283" s="18" t="s">
        <v>394</v>
      </c>
      <c r="H283" s="18" t="s">
        <v>109</v>
      </c>
      <c r="I283" s="18"/>
      <c r="J283" s="18"/>
      <c r="K283" s="18"/>
      <c r="L283" s="18" t="s">
        <v>109</v>
      </c>
      <c r="M283" s="18" t="s">
        <v>109</v>
      </c>
      <c r="N283" s="18"/>
      <c r="O283" s="18"/>
      <c r="P283" s="18" t="s">
        <v>1360</v>
      </c>
      <c r="Q283" s="18" t="s">
        <v>123</v>
      </c>
      <c r="R283" s="18" t="s">
        <v>1361</v>
      </c>
      <c r="S283" s="18" t="s">
        <v>125</v>
      </c>
      <c r="T283" s="18" t="s">
        <v>1362</v>
      </c>
      <c r="U283" s="18"/>
      <c r="V283" s="19" t="s">
        <v>29</v>
      </c>
      <c r="W283" s="19"/>
      <c r="X283" s="19"/>
      <c r="Y283" s="20"/>
      <c r="Z283" s="19"/>
      <c r="AA283" s="18" t="str">
        <f aca="false">IF(OR(V283="Aprobada"),R283,IF(AND(OR(V283="Aprobada con ajuste",V283="Rechazada"),W283&lt;&gt;""),W283,""))</f>
        <v/>
      </c>
    </row>
    <row r="284" customFormat="false" ht="116.4" hidden="false" customHeight="false" outlineLevel="0" collapsed="false">
      <c r="A284" s="18" t="s">
        <v>1363</v>
      </c>
      <c r="B284" s="18" t="s">
        <v>60</v>
      </c>
      <c r="C284" s="18" t="s">
        <v>61</v>
      </c>
      <c r="D284" s="18" t="s">
        <v>1359</v>
      </c>
      <c r="E284" s="18" t="n">
        <v>1</v>
      </c>
      <c r="F284" s="18" t="s">
        <v>1364</v>
      </c>
      <c r="G284" s="18" t="s">
        <v>116</v>
      </c>
      <c r="H284" s="18" t="s">
        <v>109</v>
      </c>
      <c r="I284" s="18" t="s">
        <v>140</v>
      </c>
      <c r="J284" s="18"/>
      <c r="K284" s="18"/>
      <c r="L284" s="18" t="s">
        <v>109</v>
      </c>
      <c r="M284" s="18" t="s">
        <v>109</v>
      </c>
      <c r="N284" s="18"/>
      <c r="O284" s="18"/>
      <c r="P284" s="18" t="s">
        <v>1365</v>
      </c>
      <c r="Q284" s="18" t="s">
        <v>123</v>
      </c>
      <c r="R284" s="18" t="s">
        <v>1366</v>
      </c>
      <c r="S284" s="18" t="s">
        <v>125</v>
      </c>
      <c r="T284" s="18" t="s">
        <v>1367</v>
      </c>
      <c r="U284" s="18"/>
      <c r="V284" s="19" t="s">
        <v>29</v>
      </c>
      <c r="W284" s="19"/>
      <c r="X284" s="19"/>
      <c r="Y284" s="20"/>
      <c r="Z284" s="19"/>
      <c r="AA284" s="18" t="str">
        <f aca="false">IF(OR(V284="Aprobada"),R284,IF(AND(OR(V284="Aprobada con ajuste",V284="Rechazada"),W284&lt;&gt;""),W284,""))</f>
        <v/>
      </c>
    </row>
    <row r="285" customFormat="false" ht="105.95" hidden="false" customHeight="false" outlineLevel="0" collapsed="false">
      <c r="A285" s="18" t="s">
        <v>1368</v>
      </c>
      <c r="B285" s="18" t="s">
        <v>60</v>
      </c>
      <c r="C285" s="18" t="s">
        <v>61</v>
      </c>
      <c r="D285" s="18" t="s">
        <v>1359</v>
      </c>
      <c r="E285" s="18" t="n">
        <v>1</v>
      </c>
      <c r="F285" s="18" t="s">
        <v>1369</v>
      </c>
      <c r="G285" s="18" t="s">
        <v>116</v>
      </c>
      <c r="H285" s="18" t="s">
        <v>117</v>
      </c>
      <c r="I285" s="18"/>
      <c r="J285" s="18"/>
      <c r="K285" s="18"/>
      <c r="L285" s="18" t="s">
        <v>109</v>
      </c>
      <c r="M285" s="18" t="s">
        <v>109</v>
      </c>
      <c r="N285" s="18"/>
      <c r="O285" s="18"/>
      <c r="P285" s="18" t="s">
        <v>1370</v>
      </c>
      <c r="Q285" s="18" t="s">
        <v>123</v>
      </c>
      <c r="R285" s="18" t="s">
        <v>1371</v>
      </c>
      <c r="S285" s="18" t="s">
        <v>125</v>
      </c>
      <c r="T285" s="18" t="s">
        <v>1372</v>
      </c>
      <c r="U285" s="18"/>
      <c r="V285" s="19" t="s">
        <v>29</v>
      </c>
      <c r="W285" s="19"/>
      <c r="X285" s="19"/>
      <c r="Y285" s="20"/>
      <c r="Z285" s="19"/>
      <c r="AA285" s="18" t="str">
        <f aca="false">IF(OR(V285="Aprobada"),R285,IF(AND(OR(V285="Aprobada con ajuste",V285="Rechazada"),W285&lt;&gt;""),W285,""))</f>
        <v/>
      </c>
    </row>
    <row r="286" customFormat="false" ht="74.6" hidden="false" customHeight="false" outlineLevel="0" collapsed="false">
      <c r="A286" s="18" t="s">
        <v>1373</v>
      </c>
      <c r="B286" s="18" t="s">
        <v>60</v>
      </c>
      <c r="C286" s="18" t="s">
        <v>61</v>
      </c>
      <c r="D286" s="18" t="s">
        <v>1359</v>
      </c>
      <c r="E286" s="18" t="n">
        <v>1</v>
      </c>
      <c r="F286" s="18" t="s">
        <v>1374</v>
      </c>
      <c r="G286" s="18" t="s">
        <v>145</v>
      </c>
      <c r="H286" s="18" t="s">
        <v>109</v>
      </c>
      <c r="I286" s="18"/>
      <c r="J286" s="18"/>
      <c r="K286" s="18"/>
      <c r="L286" s="18" t="s">
        <v>109</v>
      </c>
      <c r="M286" s="18" t="s">
        <v>109</v>
      </c>
      <c r="N286" s="18"/>
      <c r="O286" s="18"/>
      <c r="P286" s="18" t="s">
        <v>1375</v>
      </c>
      <c r="Q286" s="18" t="s">
        <v>123</v>
      </c>
      <c r="R286" s="18" t="s">
        <v>1376</v>
      </c>
      <c r="S286" s="18" t="s">
        <v>125</v>
      </c>
      <c r="T286" s="18" t="s">
        <v>1377</v>
      </c>
      <c r="U286" s="18"/>
      <c r="V286" s="19" t="s">
        <v>29</v>
      </c>
      <c r="W286" s="19"/>
      <c r="X286" s="19"/>
      <c r="Y286" s="20"/>
      <c r="Z286" s="19"/>
      <c r="AA286" s="18" t="str">
        <f aca="false">IF(OR(V286="Aprobada"),R286,IF(AND(OR(V286="Aprobada con ajuste",V286="Rechazada"),W286&lt;&gt;""),W286,""))</f>
        <v/>
      </c>
    </row>
    <row r="287" customFormat="false" ht="22.35" hidden="false" customHeight="false" outlineLevel="0" collapsed="false">
      <c r="A287" s="18" t="s">
        <v>1378</v>
      </c>
      <c r="B287" s="18" t="s">
        <v>60</v>
      </c>
      <c r="C287" s="18" t="s">
        <v>61</v>
      </c>
      <c r="D287" s="18" t="s">
        <v>1359</v>
      </c>
      <c r="E287" s="18" t="n">
        <v>1</v>
      </c>
      <c r="F287" s="18" t="s">
        <v>1379</v>
      </c>
      <c r="G287" s="18" t="s">
        <v>459</v>
      </c>
      <c r="H287" s="18" t="s">
        <v>117</v>
      </c>
      <c r="I287" s="18"/>
      <c r="J287" s="18"/>
      <c r="K287" s="18"/>
      <c r="L287" s="18" t="s">
        <v>109</v>
      </c>
      <c r="M287" s="18" t="s">
        <v>109</v>
      </c>
      <c r="N287" s="18"/>
      <c r="O287" s="18"/>
      <c r="P287" s="18" t="s">
        <v>1380</v>
      </c>
      <c r="Q287" s="18" t="s">
        <v>110</v>
      </c>
      <c r="R287" s="18" t="s">
        <v>1381</v>
      </c>
      <c r="S287" s="18" t="s">
        <v>112</v>
      </c>
      <c r="T287" s="18" t="s">
        <v>113</v>
      </c>
      <c r="U287" s="18"/>
      <c r="V287" s="19" t="s">
        <v>29</v>
      </c>
      <c r="W287" s="19"/>
      <c r="X287" s="19"/>
      <c r="Y287" s="20"/>
      <c r="Z287" s="19"/>
      <c r="AA287" s="18" t="str">
        <f aca="false">IF(OR(V287="Aprobada"),R287,IF(AND(OR(V287="Aprobada con ajuste",V287="Rechazada"),W287&lt;&gt;""),W287,""))</f>
        <v/>
      </c>
    </row>
    <row r="288" customFormat="false" ht="189.55" hidden="false" customHeight="false" outlineLevel="0" collapsed="false">
      <c r="A288" s="18" t="s">
        <v>1382</v>
      </c>
      <c r="B288" s="18" t="s">
        <v>60</v>
      </c>
      <c r="C288" s="18" t="s">
        <v>61</v>
      </c>
      <c r="D288" s="18" t="s">
        <v>1383</v>
      </c>
      <c r="E288" s="18" t="n">
        <v>0</v>
      </c>
      <c r="F288" s="18" t="s">
        <v>150</v>
      </c>
      <c r="G288" s="18" t="s">
        <v>151</v>
      </c>
      <c r="H288" s="18" t="s">
        <v>109</v>
      </c>
      <c r="I288" s="18" t="s">
        <v>140</v>
      </c>
      <c r="J288" s="18" t="s">
        <v>1384</v>
      </c>
      <c r="K288" s="18"/>
      <c r="L288" s="18" t="s">
        <v>117</v>
      </c>
      <c r="M288" s="18" t="s">
        <v>109</v>
      </c>
      <c r="N288" s="18"/>
      <c r="O288" s="18"/>
      <c r="P288" s="18" t="s">
        <v>1385</v>
      </c>
      <c r="Q288" s="18" t="s">
        <v>123</v>
      </c>
      <c r="R288" s="18" t="s">
        <v>1386</v>
      </c>
      <c r="S288" s="18" t="s">
        <v>125</v>
      </c>
      <c r="T288" s="18" t="s">
        <v>1387</v>
      </c>
      <c r="U288" s="18"/>
      <c r="V288" s="19" t="s">
        <v>29</v>
      </c>
      <c r="W288" s="19"/>
      <c r="X288" s="19"/>
      <c r="Y288" s="20"/>
      <c r="Z288" s="19"/>
      <c r="AA288" s="18" t="str">
        <f aca="false">IF(OR(V288="Aprobada"),R288,IF(AND(OR(V288="Aprobada con ajuste",V288="Rechazada"),W288&lt;&gt;""),W288,""))</f>
        <v/>
      </c>
    </row>
    <row r="289" customFormat="false" ht="43.25" hidden="false" customHeight="false" outlineLevel="0" collapsed="false">
      <c r="A289" s="18" t="s">
        <v>1388</v>
      </c>
      <c r="B289" s="18" t="s">
        <v>60</v>
      </c>
      <c r="C289" s="18" t="s">
        <v>61</v>
      </c>
      <c r="D289" s="18" t="s">
        <v>1383</v>
      </c>
      <c r="E289" s="18" t="n">
        <v>0</v>
      </c>
      <c r="F289" s="18" t="s">
        <v>1389</v>
      </c>
      <c r="G289" s="18" t="s">
        <v>394</v>
      </c>
      <c r="H289" s="18" t="s">
        <v>109</v>
      </c>
      <c r="I289" s="18"/>
      <c r="J289" s="18"/>
      <c r="K289" s="18"/>
      <c r="L289" s="18" t="s">
        <v>109</v>
      </c>
      <c r="M289" s="18" t="s">
        <v>109</v>
      </c>
      <c r="N289" s="18"/>
      <c r="O289" s="18"/>
      <c r="P289" s="18" t="s">
        <v>1390</v>
      </c>
      <c r="Q289" s="18" t="s">
        <v>110</v>
      </c>
      <c r="R289" s="18" t="s">
        <v>1391</v>
      </c>
      <c r="S289" s="18" t="s">
        <v>112</v>
      </c>
      <c r="T289" s="18" t="s">
        <v>113</v>
      </c>
      <c r="U289" s="18"/>
      <c r="V289" s="19" t="s">
        <v>29</v>
      </c>
      <c r="W289" s="19"/>
      <c r="X289" s="19"/>
      <c r="Y289" s="20"/>
      <c r="Z289" s="19"/>
      <c r="AA289" s="18" t="str">
        <f aca="false">IF(OR(V289="Aprobada"),R289,IF(AND(OR(V289="Aprobada con ajuste",V289="Rechazada"),W289&lt;&gt;""),W289,""))</f>
        <v/>
      </c>
    </row>
    <row r="290" customFormat="false" ht="22.35" hidden="false" customHeight="false" outlineLevel="0" collapsed="false">
      <c r="A290" s="18" t="s">
        <v>1392</v>
      </c>
      <c r="B290" s="18" t="s">
        <v>60</v>
      </c>
      <c r="C290" s="18" t="s">
        <v>61</v>
      </c>
      <c r="D290" s="18" t="s">
        <v>1383</v>
      </c>
      <c r="E290" s="18" t="n">
        <v>0</v>
      </c>
      <c r="F290" s="18" t="s">
        <v>1393</v>
      </c>
      <c r="G290" s="18" t="s">
        <v>212</v>
      </c>
      <c r="H290" s="18" t="s">
        <v>109</v>
      </c>
      <c r="I290" s="18"/>
      <c r="J290" s="18"/>
      <c r="K290" s="18"/>
      <c r="L290" s="18" t="s">
        <v>109</v>
      </c>
      <c r="M290" s="18" t="s">
        <v>109</v>
      </c>
      <c r="N290" s="18"/>
      <c r="O290" s="18"/>
      <c r="P290" s="18" t="s">
        <v>1394</v>
      </c>
      <c r="Q290" s="18" t="s">
        <v>134</v>
      </c>
      <c r="R290" s="18" t="s">
        <v>1395</v>
      </c>
      <c r="S290" s="18" t="s">
        <v>112</v>
      </c>
      <c r="T290" s="18" t="s">
        <v>1396</v>
      </c>
      <c r="U290" s="18" t="s">
        <v>1397</v>
      </c>
      <c r="V290" s="19" t="s">
        <v>29</v>
      </c>
      <c r="W290" s="19"/>
      <c r="X290" s="19"/>
      <c r="Y290" s="20"/>
      <c r="Z290" s="19"/>
      <c r="AA290" s="18" t="str">
        <f aca="false">IF(OR(V290="Aprobada"),R290,IF(AND(OR(V290="Aprobada con ajuste",V290="Rechazada"),W290&lt;&gt;""),W290,""))</f>
        <v/>
      </c>
    </row>
    <row r="291" customFormat="false" ht="43.25" hidden="false" customHeight="false" outlineLevel="0" collapsed="false">
      <c r="A291" s="18" t="s">
        <v>1398</v>
      </c>
      <c r="B291" s="18" t="s">
        <v>60</v>
      </c>
      <c r="C291" s="18" t="s">
        <v>61</v>
      </c>
      <c r="D291" s="18" t="s">
        <v>1383</v>
      </c>
      <c r="E291" s="18" t="n">
        <v>0</v>
      </c>
      <c r="F291" s="18" t="s">
        <v>1399</v>
      </c>
      <c r="G291" s="18" t="s">
        <v>145</v>
      </c>
      <c r="H291" s="18" t="s">
        <v>109</v>
      </c>
      <c r="I291" s="18" t="s">
        <v>140</v>
      </c>
      <c r="J291" s="18"/>
      <c r="K291" s="18"/>
      <c r="L291" s="18" t="s">
        <v>109</v>
      </c>
      <c r="M291" s="18" t="s">
        <v>109</v>
      </c>
      <c r="N291" s="18"/>
      <c r="O291" s="18"/>
      <c r="P291" s="18" t="s">
        <v>1400</v>
      </c>
      <c r="Q291" s="18" t="s">
        <v>123</v>
      </c>
      <c r="R291" s="18" t="s">
        <v>1401</v>
      </c>
      <c r="S291" s="18" t="s">
        <v>125</v>
      </c>
      <c r="T291" s="18" t="s">
        <v>1402</v>
      </c>
      <c r="U291" s="18"/>
      <c r="V291" s="19" t="s">
        <v>29</v>
      </c>
      <c r="W291" s="19"/>
      <c r="X291" s="19"/>
      <c r="Y291" s="20"/>
      <c r="Z291" s="19"/>
      <c r="AA291" s="18" t="str">
        <f aca="false">IF(OR(V291="Aprobada"),R291,IF(AND(OR(V291="Aprobada con ajuste",V291="Rechazada"),W291&lt;&gt;""),W291,""))</f>
        <v/>
      </c>
    </row>
    <row r="292" customFormat="false" ht="64.15" hidden="false" customHeight="false" outlineLevel="0" collapsed="false">
      <c r="A292" s="18" t="s">
        <v>1403</v>
      </c>
      <c r="B292" s="18" t="s">
        <v>60</v>
      </c>
      <c r="C292" s="18" t="s">
        <v>61</v>
      </c>
      <c r="D292" s="18" t="s">
        <v>1383</v>
      </c>
      <c r="E292" s="18" t="n">
        <v>0</v>
      </c>
      <c r="F292" s="18" t="s">
        <v>115</v>
      </c>
      <c r="G292" s="18" t="s">
        <v>116</v>
      </c>
      <c r="H292" s="18" t="s">
        <v>117</v>
      </c>
      <c r="I292" s="18"/>
      <c r="J292" s="18"/>
      <c r="K292" s="18"/>
      <c r="L292" s="18" t="s">
        <v>109</v>
      </c>
      <c r="M292" s="18" t="s">
        <v>109</v>
      </c>
      <c r="N292" s="18"/>
      <c r="O292" s="18"/>
      <c r="P292" s="18" t="s">
        <v>1404</v>
      </c>
      <c r="Q292" s="18" t="s">
        <v>110</v>
      </c>
      <c r="R292" s="18" t="s">
        <v>118</v>
      </c>
      <c r="S292" s="18" t="s">
        <v>112</v>
      </c>
      <c r="T292" s="18" t="s">
        <v>113</v>
      </c>
      <c r="U292" s="18"/>
      <c r="V292" s="19" t="s">
        <v>29</v>
      </c>
      <c r="W292" s="19"/>
      <c r="X292" s="19"/>
      <c r="Y292" s="20"/>
      <c r="Z292" s="19"/>
      <c r="AA292" s="18" t="str">
        <f aca="false">IF(OR(V292="Aprobada"),R292,IF(AND(OR(V292="Aprobada con ajuste",V292="Rechazada"),W292&lt;&gt;""),W292,""))</f>
        <v/>
      </c>
    </row>
    <row r="293" customFormat="false" ht="53.7" hidden="false" customHeight="false" outlineLevel="0" collapsed="false">
      <c r="A293" s="18" t="s">
        <v>1405</v>
      </c>
      <c r="B293" s="18" t="s">
        <v>60</v>
      </c>
      <c r="C293" s="18" t="s">
        <v>61</v>
      </c>
      <c r="D293" s="18" t="s">
        <v>1383</v>
      </c>
      <c r="E293" s="18" t="n">
        <v>0</v>
      </c>
      <c r="F293" s="18" t="s">
        <v>1406</v>
      </c>
      <c r="G293" s="18" t="s">
        <v>394</v>
      </c>
      <c r="H293" s="18" t="s">
        <v>117</v>
      </c>
      <c r="I293" s="18"/>
      <c r="J293" s="18"/>
      <c r="K293" s="18"/>
      <c r="L293" s="18" t="s">
        <v>109</v>
      </c>
      <c r="M293" s="18" t="s">
        <v>109</v>
      </c>
      <c r="N293" s="18"/>
      <c r="O293" s="18"/>
      <c r="P293" s="18" t="s">
        <v>1407</v>
      </c>
      <c r="Q293" s="18" t="s">
        <v>123</v>
      </c>
      <c r="R293" s="18" t="s">
        <v>1408</v>
      </c>
      <c r="S293" s="18" t="s">
        <v>112</v>
      </c>
      <c r="T293" s="18" t="s">
        <v>1409</v>
      </c>
      <c r="U293" s="18" t="s">
        <v>1410</v>
      </c>
      <c r="V293" s="19" t="s">
        <v>29</v>
      </c>
      <c r="W293" s="19"/>
      <c r="X293" s="19"/>
      <c r="Y293" s="20"/>
      <c r="Z293" s="19"/>
      <c r="AA293" s="18" t="str">
        <f aca="false">IF(OR(V293="Aprobada"),R293,IF(AND(OR(V293="Aprobada con ajuste",V293="Rechazada"),W293&lt;&gt;""),W293,""))</f>
        <v/>
      </c>
    </row>
    <row r="294" customFormat="false" ht="32.8" hidden="false" customHeight="false" outlineLevel="0" collapsed="false">
      <c r="A294" s="18" t="s">
        <v>1411</v>
      </c>
      <c r="B294" s="18" t="s">
        <v>60</v>
      </c>
      <c r="C294" s="18" t="s">
        <v>61</v>
      </c>
      <c r="D294" s="18" t="s">
        <v>1383</v>
      </c>
      <c r="E294" s="18" t="n">
        <v>0</v>
      </c>
      <c r="F294" s="18" t="s">
        <v>1412</v>
      </c>
      <c r="G294" s="18" t="s">
        <v>394</v>
      </c>
      <c r="H294" s="18" t="s">
        <v>117</v>
      </c>
      <c r="I294" s="18"/>
      <c r="J294" s="18"/>
      <c r="K294" s="18"/>
      <c r="L294" s="18" t="s">
        <v>109</v>
      </c>
      <c r="M294" s="18" t="s">
        <v>109</v>
      </c>
      <c r="N294" s="18"/>
      <c r="O294" s="18" t="s">
        <v>1413</v>
      </c>
      <c r="P294" s="18" t="s">
        <v>1414</v>
      </c>
      <c r="Q294" s="18" t="s">
        <v>134</v>
      </c>
      <c r="R294" s="18" t="s">
        <v>1415</v>
      </c>
      <c r="S294" s="18" t="s">
        <v>125</v>
      </c>
      <c r="T294" s="18" t="s">
        <v>1416</v>
      </c>
      <c r="U294" s="18"/>
      <c r="V294" s="19" t="s">
        <v>29</v>
      </c>
      <c r="W294" s="19"/>
      <c r="X294" s="19"/>
      <c r="Y294" s="20"/>
      <c r="Z294" s="19"/>
      <c r="AA294" s="18" t="str">
        <f aca="false">IF(OR(V294="Aprobada"),R294,IF(AND(OR(V294="Aprobada con ajuste",V294="Rechazada"),W294&lt;&gt;""),W294,""))</f>
        <v/>
      </c>
    </row>
    <row r="295" customFormat="false" ht="22.35" hidden="false" customHeight="false" outlineLevel="0" collapsed="false">
      <c r="A295" s="18" t="s">
        <v>1417</v>
      </c>
      <c r="B295" s="18" t="s">
        <v>60</v>
      </c>
      <c r="C295" s="18" t="s">
        <v>61</v>
      </c>
      <c r="D295" s="18" t="s">
        <v>1383</v>
      </c>
      <c r="E295" s="18" t="n">
        <v>0</v>
      </c>
      <c r="F295" s="18" t="s">
        <v>1418</v>
      </c>
      <c r="G295" s="18" t="s">
        <v>394</v>
      </c>
      <c r="H295" s="18" t="s">
        <v>117</v>
      </c>
      <c r="I295" s="18"/>
      <c r="J295" s="18"/>
      <c r="K295" s="18"/>
      <c r="L295" s="18" t="s">
        <v>109</v>
      </c>
      <c r="M295" s="18" t="s">
        <v>109</v>
      </c>
      <c r="N295" s="18"/>
      <c r="O295" s="18"/>
      <c r="P295" s="18" t="s">
        <v>1419</v>
      </c>
      <c r="Q295" s="18" t="s">
        <v>134</v>
      </c>
      <c r="R295" s="18" t="s">
        <v>1420</v>
      </c>
      <c r="S295" s="18" t="s">
        <v>125</v>
      </c>
      <c r="T295" s="18" t="s">
        <v>1421</v>
      </c>
      <c r="U295" s="18"/>
      <c r="V295" s="19" t="s">
        <v>29</v>
      </c>
      <c r="W295" s="19"/>
      <c r="X295" s="19"/>
      <c r="Y295" s="20"/>
      <c r="Z295" s="19"/>
      <c r="AA295" s="18" t="str">
        <f aca="false">IF(OR(V295="Aprobada"),R295,IF(AND(OR(V295="Aprobada con ajuste",V295="Rechazada"),W295&lt;&gt;""),W295,""))</f>
        <v/>
      </c>
    </row>
    <row r="296" customFormat="false" ht="64.15" hidden="false" customHeight="false" outlineLevel="0" collapsed="false">
      <c r="A296" s="18" t="s">
        <v>1422</v>
      </c>
      <c r="B296" s="18" t="s">
        <v>60</v>
      </c>
      <c r="C296" s="18" t="s">
        <v>61</v>
      </c>
      <c r="D296" s="18" t="s">
        <v>1383</v>
      </c>
      <c r="E296" s="18" t="n">
        <v>0</v>
      </c>
      <c r="F296" s="18" t="s">
        <v>1423</v>
      </c>
      <c r="G296" s="18" t="s">
        <v>151</v>
      </c>
      <c r="H296" s="18" t="s">
        <v>117</v>
      </c>
      <c r="I296" s="18" t="s">
        <v>140</v>
      </c>
      <c r="J296" s="18" t="s">
        <v>1424</v>
      </c>
      <c r="K296" s="18"/>
      <c r="L296" s="18" t="s">
        <v>117</v>
      </c>
      <c r="M296" s="18" t="s">
        <v>109</v>
      </c>
      <c r="N296" s="18"/>
      <c r="O296" s="18"/>
      <c r="P296" s="18" t="s">
        <v>1425</v>
      </c>
      <c r="Q296" s="18" t="s">
        <v>123</v>
      </c>
      <c r="R296" s="18" t="s">
        <v>1426</v>
      </c>
      <c r="S296" s="18" t="s">
        <v>125</v>
      </c>
      <c r="T296" s="18" t="s">
        <v>1427</v>
      </c>
      <c r="U296" s="18"/>
      <c r="V296" s="19" t="s">
        <v>29</v>
      </c>
      <c r="W296" s="19"/>
      <c r="X296" s="19"/>
      <c r="Y296" s="20"/>
      <c r="Z296" s="19"/>
      <c r="AA296" s="18" t="str">
        <f aca="false">IF(OR(V296="Aprobada"),R296,IF(AND(OR(V296="Aprobada con ajuste",V296="Rechazada"),W296&lt;&gt;""),W296,""))</f>
        <v/>
      </c>
    </row>
    <row r="297" customFormat="false" ht="22.35" hidden="false" customHeight="false" outlineLevel="0" collapsed="false">
      <c r="A297" s="18" t="s">
        <v>1428</v>
      </c>
      <c r="B297" s="18" t="s">
        <v>60</v>
      </c>
      <c r="C297" s="18" t="s">
        <v>61</v>
      </c>
      <c r="D297" s="18" t="s">
        <v>1383</v>
      </c>
      <c r="E297" s="18" t="n">
        <v>0</v>
      </c>
      <c r="F297" s="18" t="s">
        <v>107</v>
      </c>
      <c r="G297" s="18" t="s">
        <v>151</v>
      </c>
      <c r="H297" s="18" t="s">
        <v>109</v>
      </c>
      <c r="I297" s="18" t="s">
        <v>140</v>
      </c>
      <c r="J297" s="18" t="s">
        <v>1429</v>
      </c>
      <c r="K297" s="18"/>
      <c r="L297" s="18" t="s">
        <v>117</v>
      </c>
      <c r="M297" s="18" t="s">
        <v>109</v>
      </c>
      <c r="N297" s="18"/>
      <c r="O297" s="18"/>
      <c r="P297" s="18" t="s">
        <v>1430</v>
      </c>
      <c r="Q297" s="18" t="s">
        <v>110</v>
      </c>
      <c r="R297" s="18" t="s">
        <v>1431</v>
      </c>
      <c r="S297" s="18" t="s">
        <v>112</v>
      </c>
      <c r="T297" s="18" t="s">
        <v>113</v>
      </c>
      <c r="U297" s="18"/>
      <c r="V297" s="19" t="s">
        <v>29</v>
      </c>
      <c r="W297" s="19"/>
      <c r="X297" s="19"/>
      <c r="Y297" s="20"/>
      <c r="Z297" s="19"/>
      <c r="AA297" s="18" t="str">
        <f aca="false">IF(OR(V297="Aprobada"),R297,IF(AND(OR(V297="Aprobada con ajuste",V297="Rechazada"),W297&lt;&gt;""),W297,""))</f>
        <v/>
      </c>
    </row>
    <row r="298" customFormat="false" ht="22.35" hidden="false" customHeight="false" outlineLevel="0" collapsed="false">
      <c r="A298" s="18" t="s">
        <v>1432</v>
      </c>
      <c r="B298" s="18" t="s">
        <v>60</v>
      </c>
      <c r="C298" s="18" t="s">
        <v>61</v>
      </c>
      <c r="D298" s="18" t="s">
        <v>1383</v>
      </c>
      <c r="E298" s="18" t="n">
        <v>0</v>
      </c>
      <c r="F298" s="18" t="s">
        <v>1433</v>
      </c>
      <c r="G298" s="18" t="s">
        <v>459</v>
      </c>
      <c r="H298" s="18" t="s">
        <v>117</v>
      </c>
      <c r="I298" s="18"/>
      <c r="J298" s="18"/>
      <c r="K298" s="18"/>
      <c r="L298" s="18" t="s">
        <v>109</v>
      </c>
      <c r="M298" s="18" t="s">
        <v>109</v>
      </c>
      <c r="N298" s="18"/>
      <c r="O298" s="18"/>
      <c r="P298" s="18" t="s">
        <v>1434</v>
      </c>
      <c r="Q298" s="18" t="s">
        <v>110</v>
      </c>
      <c r="R298" s="18" t="s">
        <v>1435</v>
      </c>
      <c r="S298" s="18" t="s">
        <v>112</v>
      </c>
      <c r="T298" s="18" t="s">
        <v>113</v>
      </c>
      <c r="U298" s="18"/>
      <c r="V298" s="19" t="s">
        <v>29</v>
      </c>
      <c r="W298" s="19"/>
      <c r="X298" s="19"/>
      <c r="Y298" s="20"/>
      <c r="Z298" s="19"/>
      <c r="AA298" s="18" t="str">
        <f aca="false">IF(OR(V298="Aprobada"),R298,IF(AND(OR(V298="Aprobada con ajuste",V298="Rechazada"),W298&lt;&gt;""),W298,""))</f>
        <v/>
      </c>
    </row>
    <row r="299" customFormat="false" ht="22.35" hidden="false" customHeight="false" outlineLevel="0" collapsed="false">
      <c r="A299" s="18" t="s">
        <v>1436</v>
      </c>
      <c r="B299" s="18" t="s">
        <v>60</v>
      </c>
      <c r="C299" s="18" t="s">
        <v>61</v>
      </c>
      <c r="D299" s="18" t="s">
        <v>1383</v>
      </c>
      <c r="E299" s="18" t="n">
        <v>0</v>
      </c>
      <c r="F299" s="18" t="s">
        <v>1437</v>
      </c>
      <c r="G299" s="18" t="s">
        <v>184</v>
      </c>
      <c r="H299" s="18" t="s">
        <v>117</v>
      </c>
      <c r="I299" s="18" t="s">
        <v>140</v>
      </c>
      <c r="J299" s="18"/>
      <c r="K299" s="18"/>
      <c r="L299" s="18" t="s">
        <v>109</v>
      </c>
      <c r="M299" s="18" t="s">
        <v>109</v>
      </c>
      <c r="N299" s="18"/>
      <c r="O299" s="18"/>
      <c r="P299" s="18" t="s">
        <v>1438</v>
      </c>
      <c r="Q299" s="18" t="s">
        <v>110</v>
      </c>
      <c r="R299" s="18" t="s">
        <v>1439</v>
      </c>
      <c r="S299" s="18" t="s">
        <v>112</v>
      </c>
      <c r="T299" s="18" t="s">
        <v>113</v>
      </c>
      <c r="U299" s="18"/>
      <c r="V299" s="19" t="s">
        <v>29</v>
      </c>
      <c r="W299" s="19"/>
      <c r="X299" s="19"/>
      <c r="Y299" s="20"/>
      <c r="Z299" s="19"/>
      <c r="AA299" s="18" t="str">
        <f aca="false">IF(OR(V299="Aprobada"),R299,IF(AND(OR(V299="Aprobada con ajuste",V299="Rechazada"),W299&lt;&gt;""),W299,""))</f>
        <v/>
      </c>
    </row>
    <row r="300" customFormat="false" ht="22.35" hidden="false" customHeight="false" outlineLevel="0" collapsed="false">
      <c r="A300" s="18" t="s">
        <v>1440</v>
      </c>
      <c r="B300" s="18" t="s">
        <v>60</v>
      </c>
      <c r="C300" s="18" t="s">
        <v>61</v>
      </c>
      <c r="D300" s="18" t="s">
        <v>1383</v>
      </c>
      <c r="E300" s="18" t="n">
        <v>0</v>
      </c>
      <c r="F300" s="18" t="s">
        <v>1441</v>
      </c>
      <c r="G300" s="18" t="s">
        <v>459</v>
      </c>
      <c r="H300" s="18" t="s">
        <v>117</v>
      </c>
      <c r="I300" s="18"/>
      <c r="J300" s="18"/>
      <c r="K300" s="18"/>
      <c r="L300" s="18" t="s">
        <v>109</v>
      </c>
      <c r="M300" s="18" t="s">
        <v>109</v>
      </c>
      <c r="N300" s="18"/>
      <c r="O300" s="18"/>
      <c r="P300" s="18" t="s">
        <v>1442</v>
      </c>
      <c r="Q300" s="18" t="s">
        <v>110</v>
      </c>
      <c r="R300" s="18" t="s">
        <v>1443</v>
      </c>
      <c r="S300" s="18" t="s">
        <v>112</v>
      </c>
      <c r="T300" s="18" t="s">
        <v>113</v>
      </c>
      <c r="U300" s="18"/>
      <c r="V300" s="19" t="s">
        <v>29</v>
      </c>
      <c r="W300" s="19"/>
      <c r="X300" s="19"/>
      <c r="Y300" s="20"/>
      <c r="Z300" s="19"/>
      <c r="AA300" s="18" t="str">
        <f aca="false">IF(OR(V300="Aprobada"),R300,IF(AND(OR(V300="Aprobada con ajuste",V300="Rechazada"),W300&lt;&gt;""),W300,""))</f>
        <v/>
      </c>
    </row>
    <row r="301" customFormat="false" ht="22.35" hidden="false" customHeight="false" outlineLevel="0" collapsed="false">
      <c r="A301" s="18" t="s">
        <v>1444</v>
      </c>
      <c r="B301" s="18" t="s">
        <v>60</v>
      </c>
      <c r="C301" s="18" t="s">
        <v>61</v>
      </c>
      <c r="D301" s="18" t="s">
        <v>1383</v>
      </c>
      <c r="E301" s="18" t="n">
        <v>0</v>
      </c>
      <c r="F301" s="18" t="s">
        <v>1445</v>
      </c>
      <c r="G301" s="18" t="s">
        <v>116</v>
      </c>
      <c r="H301" s="18" t="s">
        <v>117</v>
      </c>
      <c r="I301" s="18" t="s">
        <v>140</v>
      </c>
      <c r="J301" s="18"/>
      <c r="K301" s="18"/>
      <c r="L301" s="18" t="s">
        <v>109</v>
      </c>
      <c r="M301" s="18" t="s">
        <v>109</v>
      </c>
      <c r="N301" s="18"/>
      <c r="O301" s="18"/>
      <c r="P301" s="18" t="s">
        <v>1446</v>
      </c>
      <c r="Q301" s="18" t="s">
        <v>110</v>
      </c>
      <c r="R301" s="18" t="s">
        <v>1447</v>
      </c>
      <c r="S301" s="18" t="s">
        <v>112</v>
      </c>
      <c r="T301" s="18" t="s">
        <v>113</v>
      </c>
      <c r="U301" s="18"/>
      <c r="V301" s="19" t="s">
        <v>29</v>
      </c>
      <c r="W301" s="19"/>
      <c r="X301" s="19"/>
      <c r="Y301" s="20"/>
      <c r="Z301" s="19"/>
      <c r="AA301" s="18" t="str">
        <f aca="false">IF(OR(V301="Aprobada"),R301,IF(AND(OR(V301="Aprobada con ajuste",V301="Rechazada"),W301&lt;&gt;""),W301,""))</f>
        <v/>
      </c>
    </row>
    <row r="302" customFormat="false" ht="22.35" hidden="false" customHeight="false" outlineLevel="0" collapsed="false">
      <c r="A302" s="18" t="s">
        <v>1448</v>
      </c>
      <c r="B302" s="18" t="s">
        <v>60</v>
      </c>
      <c r="C302" s="18" t="s">
        <v>61</v>
      </c>
      <c r="D302" s="18" t="s">
        <v>1449</v>
      </c>
      <c r="E302" s="18" t="n">
        <v>63</v>
      </c>
      <c r="F302" s="18" t="s">
        <v>1186</v>
      </c>
      <c r="G302" s="18" t="s">
        <v>139</v>
      </c>
      <c r="H302" s="18" t="s">
        <v>109</v>
      </c>
      <c r="I302" s="18"/>
      <c r="J302" s="18"/>
      <c r="K302" s="18"/>
      <c r="L302" s="18" t="s">
        <v>109</v>
      </c>
      <c r="M302" s="18" t="s">
        <v>109</v>
      </c>
      <c r="N302" s="18"/>
      <c r="O302" s="18"/>
      <c r="P302" s="18" t="s">
        <v>1450</v>
      </c>
      <c r="Q302" s="18" t="s">
        <v>134</v>
      </c>
      <c r="R302" s="18" t="s">
        <v>1451</v>
      </c>
      <c r="S302" s="18" t="s">
        <v>112</v>
      </c>
      <c r="T302" s="18" t="s">
        <v>1452</v>
      </c>
      <c r="U302" s="18" t="s">
        <v>1453</v>
      </c>
      <c r="V302" s="19" t="s">
        <v>29</v>
      </c>
      <c r="W302" s="19"/>
      <c r="X302" s="19"/>
      <c r="Y302" s="20"/>
      <c r="Z302" s="19"/>
      <c r="AA302" s="18" t="str">
        <f aca="false">IF(OR(V302="Aprobada"),R302,IF(AND(OR(V302="Aprobada con ajuste",V302="Rechazada"),W302&lt;&gt;""),W302,""))</f>
        <v/>
      </c>
    </row>
    <row r="303" customFormat="false" ht="85.05" hidden="false" customHeight="false" outlineLevel="0" collapsed="false">
      <c r="A303" s="18" t="s">
        <v>1454</v>
      </c>
      <c r="B303" s="18" t="s">
        <v>60</v>
      </c>
      <c r="C303" s="18" t="s">
        <v>61</v>
      </c>
      <c r="D303" s="18" t="s">
        <v>1449</v>
      </c>
      <c r="E303" s="18" t="n">
        <v>63</v>
      </c>
      <c r="F303" s="18" t="s">
        <v>129</v>
      </c>
      <c r="G303" s="18" t="s">
        <v>459</v>
      </c>
      <c r="H303" s="18" t="s">
        <v>109</v>
      </c>
      <c r="I303" s="18"/>
      <c r="J303" s="18"/>
      <c r="K303" s="18"/>
      <c r="L303" s="18" t="s">
        <v>109</v>
      </c>
      <c r="M303" s="18" t="s">
        <v>109</v>
      </c>
      <c r="N303" s="18"/>
      <c r="O303" s="18"/>
      <c r="P303" s="18" t="s">
        <v>1455</v>
      </c>
      <c r="Q303" s="18" t="s">
        <v>110</v>
      </c>
      <c r="R303" s="18" t="s">
        <v>1456</v>
      </c>
      <c r="S303" s="18" t="s">
        <v>112</v>
      </c>
      <c r="T303" s="18" t="s">
        <v>113</v>
      </c>
      <c r="U303" s="18"/>
      <c r="V303" s="19" t="s">
        <v>29</v>
      </c>
      <c r="W303" s="19"/>
      <c r="X303" s="19"/>
      <c r="Y303" s="20"/>
      <c r="Z303" s="19"/>
      <c r="AA303" s="18" t="str">
        <f aca="false">IF(OR(V303="Aprobada"),R303,IF(AND(OR(V303="Aprobada con ajuste",V303="Rechazada"),W303&lt;&gt;""),W303,""))</f>
        <v/>
      </c>
    </row>
    <row r="304" customFormat="false" ht="64.15" hidden="false" customHeight="false" outlineLevel="0" collapsed="false">
      <c r="A304" s="18" t="s">
        <v>1457</v>
      </c>
      <c r="B304" s="18" t="s">
        <v>60</v>
      </c>
      <c r="C304" s="18" t="s">
        <v>61</v>
      </c>
      <c r="D304" s="18" t="s">
        <v>1449</v>
      </c>
      <c r="E304" s="18" t="n">
        <v>63</v>
      </c>
      <c r="F304" s="18" t="s">
        <v>1018</v>
      </c>
      <c r="G304" s="18" t="s">
        <v>116</v>
      </c>
      <c r="H304" s="18" t="s">
        <v>117</v>
      </c>
      <c r="I304" s="18"/>
      <c r="J304" s="18"/>
      <c r="K304" s="18"/>
      <c r="L304" s="18" t="s">
        <v>109</v>
      </c>
      <c r="M304" s="18" t="s">
        <v>109</v>
      </c>
      <c r="N304" s="18"/>
      <c r="O304" s="18"/>
      <c r="P304" s="18" t="s">
        <v>1458</v>
      </c>
      <c r="Q304" s="18" t="s">
        <v>110</v>
      </c>
      <c r="R304" s="18" t="s">
        <v>1459</v>
      </c>
      <c r="S304" s="18" t="s">
        <v>112</v>
      </c>
      <c r="T304" s="18" t="s">
        <v>113</v>
      </c>
      <c r="U304" s="18"/>
      <c r="V304" s="19" t="s">
        <v>29</v>
      </c>
      <c r="W304" s="19"/>
      <c r="X304" s="19"/>
      <c r="Y304" s="20"/>
      <c r="Z304" s="19"/>
      <c r="AA304" s="18" t="str">
        <f aca="false">IF(OR(V304="Aprobada"),R304,IF(AND(OR(V304="Aprobada con ajuste",V304="Rechazada"),W304&lt;&gt;""),W304,""))</f>
        <v/>
      </c>
    </row>
    <row r="305" customFormat="false" ht="22.35" hidden="false" customHeight="false" outlineLevel="0" collapsed="false">
      <c r="A305" s="18" t="s">
        <v>1460</v>
      </c>
      <c r="B305" s="18" t="s">
        <v>60</v>
      </c>
      <c r="C305" s="18" t="s">
        <v>61</v>
      </c>
      <c r="D305" s="18" t="s">
        <v>1449</v>
      </c>
      <c r="E305" s="18" t="n">
        <v>63</v>
      </c>
      <c r="F305" s="18" t="s">
        <v>1030</v>
      </c>
      <c r="G305" s="18" t="s">
        <v>139</v>
      </c>
      <c r="H305" s="18" t="s">
        <v>109</v>
      </c>
      <c r="I305" s="18"/>
      <c r="J305" s="18"/>
      <c r="K305" s="18"/>
      <c r="L305" s="18" t="s">
        <v>109</v>
      </c>
      <c r="M305" s="18" t="s">
        <v>109</v>
      </c>
      <c r="N305" s="18"/>
      <c r="O305" s="18"/>
      <c r="P305" s="18" t="s">
        <v>1461</v>
      </c>
      <c r="Q305" s="18" t="s">
        <v>110</v>
      </c>
      <c r="R305" s="18" t="s">
        <v>1031</v>
      </c>
      <c r="S305" s="18" t="s">
        <v>112</v>
      </c>
      <c r="T305" s="18" t="s">
        <v>113</v>
      </c>
      <c r="U305" s="18"/>
      <c r="V305" s="19" t="s">
        <v>29</v>
      </c>
      <c r="W305" s="19"/>
      <c r="X305" s="19"/>
      <c r="Y305" s="20"/>
      <c r="Z305" s="19"/>
      <c r="AA305" s="18" t="str">
        <f aca="false">IF(OR(V305="Aprobada"),R305,IF(AND(OR(V305="Aprobada con ajuste",V305="Rechazada"),W305&lt;&gt;""),W305,""))</f>
        <v/>
      </c>
    </row>
    <row r="306" customFormat="false" ht="32.8" hidden="false" customHeight="false" outlineLevel="0" collapsed="false">
      <c r="A306" s="18" t="s">
        <v>1462</v>
      </c>
      <c r="B306" s="18" t="s">
        <v>60</v>
      </c>
      <c r="C306" s="18" t="s">
        <v>61</v>
      </c>
      <c r="D306" s="18" t="s">
        <v>1449</v>
      </c>
      <c r="E306" s="18" t="n">
        <v>63</v>
      </c>
      <c r="F306" s="18" t="s">
        <v>1463</v>
      </c>
      <c r="G306" s="18" t="s">
        <v>145</v>
      </c>
      <c r="H306" s="18" t="s">
        <v>109</v>
      </c>
      <c r="I306" s="18"/>
      <c r="J306" s="18"/>
      <c r="K306" s="18"/>
      <c r="L306" s="18" t="s">
        <v>109</v>
      </c>
      <c r="M306" s="18" t="s">
        <v>109</v>
      </c>
      <c r="N306" s="18"/>
      <c r="O306" s="18"/>
      <c r="P306" s="18" t="s">
        <v>1464</v>
      </c>
      <c r="Q306" s="18" t="s">
        <v>123</v>
      </c>
      <c r="R306" s="18" t="s">
        <v>1465</v>
      </c>
      <c r="S306" s="18" t="s">
        <v>125</v>
      </c>
      <c r="T306" s="18" t="s">
        <v>1466</v>
      </c>
      <c r="U306" s="18"/>
      <c r="V306" s="19" t="s">
        <v>29</v>
      </c>
      <c r="W306" s="19"/>
      <c r="X306" s="19"/>
      <c r="Y306" s="20"/>
      <c r="Z306" s="19"/>
      <c r="AA306" s="18" t="str">
        <f aca="false">IF(OR(V306="Aprobada"),R306,IF(AND(OR(V306="Aprobada con ajuste",V306="Rechazada"),W306&lt;&gt;""),W306,""))</f>
        <v/>
      </c>
    </row>
    <row r="307" customFormat="false" ht="32.8" hidden="false" customHeight="false" outlineLevel="0" collapsed="false">
      <c r="A307" s="18" t="s">
        <v>1467</v>
      </c>
      <c r="B307" s="18" t="s">
        <v>60</v>
      </c>
      <c r="C307" s="18" t="s">
        <v>61</v>
      </c>
      <c r="D307" s="18" t="s">
        <v>1468</v>
      </c>
      <c r="E307" s="18" t="n">
        <v>14</v>
      </c>
      <c r="F307" s="18" t="s">
        <v>1186</v>
      </c>
      <c r="G307" s="18" t="s">
        <v>139</v>
      </c>
      <c r="H307" s="18" t="s">
        <v>109</v>
      </c>
      <c r="I307" s="18"/>
      <c r="J307" s="18"/>
      <c r="K307" s="18"/>
      <c r="L307" s="18" t="s">
        <v>117</v>
      </c>
      <c r="M307" s="18" t="s">
        <v>109</v>
      </c>
      <c r="N307" s="18"/>
      <c r="O307" s="18"/>
      <c r="P307" s="18" t="s">
        <v>1469</v>
      </c>
      <c r="Q307" s="18" t="s">
        <v>134</v>
      </c>
      <c r="R307" s="18" t="s">
        <v>1451</v>
      </c>
      <c r="S307" s="18" t="s">
        <v>112</v>
      </c>
      <c r="T307" s="18" t="s">
        <v>1470</v>
      </c>
      <c r="U307" s="18" t="s">
        <v>1471</v>
      </c>
      <c r="V307" s="19" t="s">
        <v>29</v>
      </c>
      <c r="W307" s="19"/>
      <c r="X307" s="19"/>
      <c r="Y307" s="20"/>
      <c r="Z307" s="19"/>
      <c r="AA307" s="18" t="str">
        <f aca="false">IF(OR(V307="Aprobada"),R307,IF(AND(OR(V307="Aprobada con ajuste",V307="Rechazada"),W307&lt;&gt;""),W307,""))</f>
        <v/>
      </c>
    </row>
    <row r="308" customFormat="false" ht="22.35" hidden="false" customHeight="false" outlineLevel="0" collapsed="false">
      <c r="A308" s="18" t="s">
        <v>1472</v>
      </c>
      <c r="B308" s="18" t="s">
        <v>60</v>
      </c>
      <c r="C308" s="18" t="s">
        <v>61</v>
      </c>
      <c r="D308" s="18" t="s">
        <v>1468</v>
      </c>
      <c r="E308" s="18" t="n">
        <v>14</v>
      </c>
      <c r="F308" s="18" t="s">
        <v>1473</v>
      </c>
      <c r="G308" s="18" t="s">
        <v>145</v>
      </c>
      <c r="H308" s="18" t="s">
        <v>109</v>
      </c>
      <c r="I308" s="18"/>
      <c r="J308" s="18"/>
      <c r="K308" s="18"/>
      <c r="L308" s="18" t="s">
        <v>117</v>
      </c>
      <c r="M308" s="18" t="s">
        <v>109</v>
      </c>
      <c r="N308" s="18"/>
      <c r="O308" s="18"/>
      <c r="P308" s="18" t="s">
        <v>1474</v>
      </c>
      <c r="Q308" s="18" t="s">
        <v>110</v>
      </c>
      <c r="R308" s="18" t="s">
        <v>1475</v>
      </c>
      <c r="S308" s="18" t="s">
        <v>112</v>
      </c>
      <c r="T308" s="18" t="s">
        <v>113</v>
      </c>
      <c r="U308" s="18"/>
      <c r="V308" s="19" t="s">
        <v>29</v>
      </c>
      <c r="W308" s="19"/>
      <c r="X308" s="19"/>
      <c r="Y308" s="20"/>
      <c r="Z308" s="19"/>
      <c r="AA308" s="18" t="str">
        <f aca="false">IF(OR(V308="Aprobada"),R308,IF(AND(OR(V308="Aprobada con ajuste",V308="Rechazada"),W308&lt;&gt;""),W308,""))</f>
        <v/>
      </c>
    </row>
    <row r="309" customFormat="false" ht="22.35" hidden="false" customHeight="false" outlineLevel="0" collapsed="false">
      <c r="A309" s="18" t="s">
        <v>1476</v>
      </c>
      <c r="B309" s="18" t="s">
        <v>60</v>
      </c>
      <c r="C309" s="18" t="s">
        <v>61</v>
      </c>
      <c r="D309" s="18" t="s">
        <v>1468</v>
      </c>
      <c r="E309" s="18" t="n">
        <v>14</v>
      </c>
      <c r="F309" s="18" t="s">
        <v>1477</v>
      </c>
      <c r="G309" s="18" t="s">
        <v>116</v>
      </c>
      <c r="H309" s="18" t="s">
        <v>117</v>
      </c>
      <c r="I309" s="18"/>
      <c r="J309" s="18"/>
      <c r="K309" s="18"/>
      <c r="L309" s="18" t="s">
        <v>117</v>
      </c>
      <c r="M309" s="18" t="s">
        <v>109</v>
      </c>
      <c r="N309" s="18"/>
      <c r="O309" s="18"/>
      <c r="P309" s="18" t="s">
        <v>1478</v>
      </c>
      <c r="Q309" s="18" t="s">
        <v>134</v>
      </c>
      <c r="R309" s="18" t="s">
        <v>1479</v>
      </c>
      <c r="S309" s="18" t="s">
        <v>112</v>
      </c>
      <c r="T309" s="18" t="s">
        <v>1480</v>
      </c>
      <c r="U309" s="18" t="s">
        <v>1481</v>
      </c>
      <c r="V309" s="19" t="s">
        <v>29</v>
      </c>
      <c r="W309" s="19"/>
      <c r="X309" s="19"/>
      <c r="Y309" s="20"/>
      <c r="Z309" s="19"/>
      <c r="AA309" s="18" t="str">
        <f aca="false">IF(OR(V309="Aprobada"),R309,IF(AND(OR(V309="Aprobada con ajuste",V309="Rechazada"),W309&lt;&gt;""),W309,""))</f>
        <v/>
      </c>
    </row>
    <row r="310" customFormat="false" ht="85.05" hidden="false" customHeight="false" outlineLevel="0" collapsed="false">
      <c r="A310" s="18" t="s">
        <v>1482</v>
      </c>
      <c r="B310" s="18" t="s">
        <v>60</v>
      </c>
      <c r="C310" s="18" t="s">
        <v>61</v>
      </c>
      <c r="D310" s="18" t="s">
        <v>1483</v>
      </c>
      <c r="E310" s="18" t="n">
        <v>161</v>
      </c>
      <c r="F310" s="18" t="s">
        <v>312</v>
      </c>
      <c r="G310" s="18" t="s">
        <v>116</v>
      </c>
      <c r="H310" s="18" t="s">
        <v>117</v>
      </c>
      <c r="I310" s="18"/>
      <c r="J310" s="18"/>
      <c r="K310" s="18"/>
      <c r="L310" s="18" t="s">
        <v>109</v>
      </c>
      <c r="M310" s="18" t="s">
        <v>109</v>
      </c>
      <c r="N310" s="18"/>
      <c r="O310" s="18"/>
      <c r="P310" s="18" t="s">
        <v>1484</v>
      </c>
      <c r="Q310" s="18" t="s">
        <v>134</v>
      </c>
      <c r="R310" s="18" t="s">
        <v>1485</v>
      </c>
      <c r="S310" s="18" t="s">
        <v>125</v>
      </c>
      <c r="T310" s="18" t="s">
        <v>983</v>
      </c>
      <c r="U310" s="18"/>
      <c r="V310" s="19" t="s">
        <v>29</v>
      </c>
      <c r="W310" s="19"/>
      <c r="X310" s="19"/>
      <c r="Y310" s="20"/>
      <c r="Z310" s="19"/>
      <c r="AA310" s="18" t="str">
        <f aca="false">IF(OR(V310="Aprobada"),R310,IF(AND(OR(V310="Aprobada con ajuste",V310="Rechazada"),W310&lt;&gt;""),W310,""))</f>
        <v/>
      </c>
    </row>
    <row r="311" customFormat="false" ht="64.15" hidden="false" customHeight="false" outlineLevel="0" collapsed="false">
      <c r="A311" s="18" t="s">
        <v>1486</v>
      </c>
      <c r="B311" s="18" t="s">
        <v>60</v>
      </c>
      <c r="C311" s="18" t="s">
        <v>61</v>
      </c>
      <c r="D311" s="18" t="s">
        <v>1487</v>
      </c>
      <c r="E311" s="18" t="n">
        <v>0</v>
      </c>
      <c r="F311" s="18" t="s">
        <v>1488</v>
      </c>
      <c r="G311" s="18" t="s">
        <v>116</v>
      </c>
      <c r="H311" s="18" t="s">
        <v>117</v>
      </c>
      <c r="I311" s="18"/>
      <c r="J311" s="18"/>
      <c r="K311" s="18"/>
      <c r="L311" s="18" t="s">
        <v>109</v>
      </c>
      <c r="M311" s="18" t="s">
        <v>109</v>
      </c>
      <c r="N311" s="18"/>
      <c r="O311" s="18"/>
      <c r="P311" s="18" t="s">
        <v>1489</v>
      </c>
      <c r="Q311" s="18" t="s">
        <v>123</v>
      </c>
      <c r="R311" s="18" t="s">
        <v>1490</v>
      </c>
      <c r="S311" s="18" t="s">
        <v>125</v>
      </c>
      <c r="T311" s="18" t="s">
        <v>1491</v>
      </c>
      <c r="U311" s="18"/>
      <c r="V311" s="19" t="s">
        <v>29</v>
      </c>
      <c r="W311" s="19"/>
      <c r="X311" s="19"/>
      <c r="Y311" s="20"/>
      <c r="Z311" s="19"/>
      <c r="AA311" s="18" t="str">
        <f aca="false">IF(OR(V311="Aprobada"),R311,IF(AND(OR(V311="Aprobada con ajuste",V311="Rechazada"),W311&lt;&gt;""),W311,""))</f>
        <v/>
      </c>
    </row>
    <row r="312" customFormat="false" ht="74.6" hidden="false" customHeight="false" outlineLevel="0" collapsed="false">
      <c r="A312" s="18" t="s">
        <v>1492</v>
      </c>
      <c r="B312" s="18" t="s">
        <v>60</v>
      </c>
      <c r="C312" s="18" t="s">
        <v>61</v>
      </c>
      <c r="D312" s="18" t="s">
        <v>1487</v>
      </c>
      <c r="E312" s="18" t="n">
        <v>0</v>
      </c>
      <c r="F312" s="18" t="s">
        <v>1493</v>
      </c>
      <c r="G312" s="18" t="s">
        <v>116</v>
      </c>
      <c r="H312" s="18" t="s">
        <v>109</v>
      </c>
      <c r="I312" s="18"/>
      <c r="J312" s="18"/>
      <c r="K312" s="18"/>
      <c r="L312" s="18" t="s">
        <v>109</v>
      </c>
      <c r="M312" s="18" t="s">
        <v>109</v>
      </c>
      <c r="N312" s="18"/>
      <c r="O312" s="18"/>
      <c r="P312" s="18" t="s">
        <v>1494</v>
      </c>
      <c r="Q312" s="18" t="s">
        <v>123</v>
      </c>
      <c r="R312" s="18" t="s">
        <v>1495</v>
      </c>
      <c r="S312" s="18" t="s">
        <v>125</v>
      </c>
      <c r="T312" s="18" t="s">
        <v>1496</v>
      </c>
      <c r="U312" s="18"/>
      <c r="V312" s="19" t="s">
        <v>29</v>
      </c>
      <c r="W312" s="19"/>
      <c r="X312" s="19"/>
      <c r="Y312" s="20"/>
      <c r="Z312" s="19"/>
      <c r="AA312" s="18" t="str">
        <f aca="false">IF(OR(V312="Aprobada"),R312,IF(AND(OR(V312="Aprobada con ajuste",V312="Rechazada"),W312&lt;&gt;""),W312,""))</f>
        <v/>
      </c>
    </row>
    <row r="313" customFormat="false" ht="43.25" hidden="false" customHeight="false" outlineLevel="0" collapsed="false">
      <c r="A313" s="18" t="s">
        <v>1497</v>
      </c>
      <c r="B313" s="18" t="s">
        <v>60</v>
      </c>
      <c r="C313" s="18" t="s">
        <v>61</v>
      </c>
      <c r="D313" s="18" t="s">
        <v>1498</v>
      </c>
      <c r="E313" s="18" t="n">
        <v>1</v>
      </c>
      <c r="F313" s="18" t="s">
        <v>1499</v>
      </c>
      <c r="G313" s="18" t="s">
        <v>167</v>
      </c>
      <c r="H313" s="18" t="s">
        <v>109</v>
      </c>
      <c r="I313" s="18"/>
      <c r="J313" s="18"/>
      <c r="K313" s="18"/>
      <c r="L313" s="18" t="s">
        <v>109</v>
      </c>
      <c r="M313" s="18" t="s">
        <v>109</v>
      </c>
      <c r="N313" s="18"/>
      <c r="O313" s="18"/>
      <c r="P313" s="18" t="s">
        <v>1500</v>
      </c>
      <c r="Q313" s="18" t="s">
        <v>123</v>
      </c>
      <c r="R313" s="18" t="s">
        <v>1501</v>
      </c>
      <c r="S313" s="18" t="s">
        <v>125</v>
      </c>
      <c r="T313" s="18" t="s">
        <v>1502</v>
      </c>
      <c r="U313" s="18"/>
      <c r="V313" s="19" t="s">
        <v>29</v>
      </c>
      <c r="W313" s="19"/>
      <c r="X313" s="19"/>
      <c r="Y313" s="20"/>
      <c r="Z313" s="19"/>
      <c r="AA313" s="18" t="str">
        <f aca="false">IF(OR(V313="Aprobada"),R313,IF(AND(OR(V313="Aprobada con ajuste",V313="Rechazada"),W313&lt;&gt;""),W313,""))</f>
        <v/>
      </c>
    </row>
    <row r="314" customFormat="false" ht="43.25" hidden="false" customHeight="false" outlineLevel="0" collapsed="false">
      <c r="A314" s="18" t="s">
        <v>1503</v>
      </c>
      <c r="B314" s="18" t="s">
        <v>60</v>
      </c>
      <c r="C314" s="18" t="s">
        <v>61</v>
      </c>
      <c r="D314" s="18" t="s">
        <v>1498</v>
      </c>
      <c r="E314" s="18" t="n">
        <v>1</v>
      </c>
      <c r="F314" s="18" t="s">
        <v>1504</v>
      </c>
      <c r="G314" s="18" t="s">
        <v>394</v>
      </c>
      <c r="H314" s="18" t="s">
        <v>109</v>
      </c>
      <c r="I314" s="18"/>
      <c r="J314" s="18"/>
      <c r="K314" s="18"/>
      <c r="L314" s="18" t="s">
        <v>109</v>
      </c>
      <c r="M314" s="18" t="s">
        <v>109</v>
      </c>
      <c r="N314" s="18"/>
      <c r="O314" s="18"/>
      <c r="P314" s="18" t="s">
        <v>1505</v>
      </c>
      <c r="Q314" s="18" t="s">
        <v>110</v>
      </c>
      <c r="R314" s="18" t="s">
        <v>1506</v>
      </c>
      <c r="S314" s="18" t="s">
        <v>112</v>
      </c>
      <c r="T314" s="18" t="s">
        <v>113</v>
      </c>
      <c r="U314" s="18"/>
      <c r="V314" s="19" t="s">
        <v>29</v>
      </c>
      <c r="W314" s="19"/>
      <c r="X314" s="19"/>
      <c r="Y314" s="20"/>
      <c r="Z314" s="19"/>
      <c r="AA314" s="18" t="str">
        <f aca="false">IF(OR(V314="Aprobada"),R314,IF(AND(OR(V314="Aprobada con ajuste",V314="Rechazada"),W314&lt;&gt;""),W314,""))</f>
        <v/>
      </c>
    </row>
    <row r="315" customFormat="false" ht="116.4" hidden="false" customHeight="false" outlineLevel="0" collapsed="false">
      <c r="A315" s="18" t="s">
        <v>1507</v>
      </c>
      <c r="B315" s="18" t="s">
        <v>60</v>
      </c>
      <c r="C315" s="18" t="s">
        <v>61</v>
      </c>
      <c r="D315" s="18" t="s">
        <v>1498</v>
      </c>
      <c r="E315" s="18" t="n">
        <v>1</v>
      </c>
      <c r="F315" s="18" t="s">
        <v>1508</v>
      </c>
      <c r="G315" s="18" t="s">
        <v>1509</v>
      </c>
      <c r="H315" s="18" t="s">
        <v>109</v>
      </c>
      <c r="I315" s="18" t="s">
        <v>140</v>
      </c>
      <c r="J315" s="18"/>
      <c r="K315" s="18"/>
      <c r="L315" s="18" t="s">
        <v>109</v>
      </c>
      <c r="M315" s="18" t="s">
        <v>109</v>
      </c>
      <c r="N315" s="18"/>
      <c r="O315" s="18"/>
      <c r="P315" s="18" t="s">
        <v>1510</v>
      </c>
      <c r="Q315" s="18" t="s">
        <v>123</v>
      </c>
      <c r="R315" s="18" t="s">
        <v>1511</v>
      </c>
      <c r="S315" s="18" t="s">
        <v>125</v>
      </c>
      <c r="T315" s="18" t="s">
        <v>1512</v>
      </c>
      <c r="U315" s="18" t="s">
        <v>1513</v>
      </c>
      <c r="V315" s="19" t="s">
        <v>29</v>
      </c>
      <c r="W315" s="19"/>
      <c r="X315" s="19"/>
      <c r="Y315" s="20"/>
      <c r="Z315" s="19"/>
      <c r="AA315" s="18" t="str">
        <f aca="false">IF(OR(V315="Aprobada"),R315,IF(AND(OR(V315="Aprobada con ajuste",V315="Rechazada"),W315&lt;&gt;""),W315,""))</f>
        <v/>
      </c>
    </row>
    <row r="316" customFormat="false" ht="53.7" hidden="false" customHeight="false" outlineLevel="0" collapsed="false">
      <c r="A316" s="18" t="s">
        <v>1514</v>
      </c>
      <c r="B316" s="18" t="s">
        <v>60</v>
      </c>
      <c r="C316" s="18" t="s">
        <v>61</v>
      </c>
      <c r="D316" s="18" t="s">
        <v>1498</v>
      </c>
      <c r="E316" s="18" t="n">
        <v>1</v>
      </c>
      <c r="F316" s="18" t="s">
        <v>1515</v>
      </c>
      <c r="G316" s="18" t="s">
        <v>184</v>
      </c>
      <c r="H316" s="18" t="s">
        <v>117</v>
      </c>
      <c r="I316" s="18"/>
      <c r="J316" s="18"/>
      <c r="K316" s="18"/>
      <c r="L316" s="18" t="s">
        <v>109</v>
      </c>
      <c r="M316" s="18" t="s">
        <v>109</v>
      </c>
      <c r="N316" s="18"/>
      <c r="O316" s="18"/>
      <c r="P316" s="18" t="s">
        <v>1516</v>
      </c>
      <c r="Q316" s="18" t="s">
        <v>123</v>
      </c>
      <c r="R316" s="18" t="s">
        <v>1517</v>
      </c>
      <c r="S316" s="18" t="s">
        <v>125</v>
      </c>
      <c r="T316" s="18" t="s">
        <v>1518</v>
      </c>
      <c r="U316" s="18"/>
      <c r="V316" s="19" t="s">
        <v>29</v>
      </c>
      <c r="W316" s="19"/>
      <c r="X316" s="19"/>
      <c r="Y316" s="20"/>
      <c r="Z316" s="19"/>
      <c r="AA316" s="18" t="str">
        <f aca="false">IF(OR(V316="Aprobada"),R316,IF(AND(OR(V316="Aprobada con ajuste",V316="Rechazada"),W316&lt;&gt;""),W316,""))</f>
        <v/>
      </c>
    </row>
    <row r="317" customFormat="false" ht="22.35" hidden="false" customHeight="false" outlineLevel="0" collapsed="false">
      <c r="A317" s="18" t="s">
        <v>1519</v>
      </c>
      <c r="B317" s="18" t="s">
        <v>60</v>
      </c>
      <c r="C317" s="18" t="s">
        <v>61</v>
      </c>
      <c r="D317" s="18" t="s">
        <v>1498</v>
      </c>
      <c r="E317" s="18" t="n">
        <v>1</v>
      </c>
      <c r="F317" s="18" t="s">
        <v>1520</v>
      </c>
      <c r="G317" s="18" t="s">
        <v>184</v>
      </c>
      <c r="H317" s="18" t="s">
        <v>117</v>
      </c>
      <c r="I317" s="18" t="s">
        <v>140</v>
      </c>
      <c r="J317" s="18"/>
      <c r="K317" s="18"/>
      <c r="L317" s="18" t="s">
        <v>109</v>
      </c>
      <c r="M317" s="18" t="s">
        <v>109</v>
      </c>
      <c r="N317" s="18"/>
      <c r="O317" s="18"/>
      <c r="P317" s="18" t="s">
        <v>1521</v>
      </c>
      <c r="Q317" s="18" t="s">
        <v>110</v>
      </c>
      <c r="R317" s="18" t="s">
        <v>1522</v>
      </c>
      <c r="S317" s="18" t="s">
        <v>112</v>
      </c>
      <c r="T317" s="18" t="s">
        <v>113</v>
      </c>
      <c r="U317" s="18"/>
      <c r="V317" s="19" t="s">
        <v>29</v>
      </c>
      <c r="W317" s="19"/>
      <c r="X317" s="19"/>
      <c r="Y317" s="20"/>
      <c r="Z317" s="19"/>
      <c r="AA317" s="18" t="str">
        <f aca="false">IF(OR(V317="Aprobada"),R317,IF(AND(OR(V317="Aprobada con ajuste",V317="Rechazada"),W317&lt;&gt;""),W317,""))</f>
        <v/>
      </c>
    </row>
    <row r="318" customFormat="false" ht="22.35" hidden="false" customHeight="false" outlineLevel="0" collapsed="false">
      <c r="A318" s="18" t="s">
        <v>1523</v>
      </c>
      <c r="B318" s="18" t="s">
        <v>60</v>
      </c>
      <c r="C318" s="18" t="s">
        <v>61</v>
      </c>
      <c r="D318" s="18" t="s">
        <v>1498</v>
      </c>
      <c r="E318" s="18" t="n">
        <v>1</v>
      </c>
      <c r="F318" s="18" t="s">
        <v>107</v>
      </c>
      <c r="G318" s="18" t="s">
        <v>151</v>
      </c>
      <c r="H318" s="18" t="s">
        <v>109</v>
      </c>
      <c r="I318" s="18" t="s">
        <v>140</v>
      </c>
      <c r="J318" s="18" t="s">
        <v>1524</v>
      </c>
      <c r="K318" s="18"/>
      <c r="L318" s="18" t="s">
        <v>117</v>
      </c>
      <c r="M318" s="18" t="s">
        <v>109</v>
      </c>
      <c r="N318" s="18"/>
      <c r="O318" s="18"/>
      <c r="P318" s="18" t="s">
        <v>1525</v>
      </c>
      <c r="Q318" s="18" t="s">
        <v>110</v>
      </c>
      <c r="R318" s="18" t="s">
        <v>1526</v>
      </c>
      <c r="S318" s="18" t="s">
        <v>112</v>
      </c>
      <c r="T318" s="18" t="s">
        <v>113</v>
      </c>
      <c r="U318" s="18"/>
      <c r="V318" s="19" t="s">
        <v>29</v>
      </c>
      <c r="W318" s="19"/>
      <c r="X318" s="19"/>
      <c r="Y318" s="20"/>
      <c r="Z318" s="19"/>
      <c r="AA318" s="18" t="str">
        <f aca="false">IF(OR(V318="Aprobada"),R318,IF(AND(OR(V318="Aprobada con ajuste",V318="Rechazada"),W318&lt;&gt;""),W318,""))</f>
        <v/>
      </c>
    </row>
    <row r="319" customFormat="false" ht="22.35" hidden="false" customHeight="false" outlineLevel="0" collapsed="false">
      <c r="A319" s="18" t="s">
        <v>1527</v>
      </c>
      <c r="B319" s="18" t="s">
        <v>60</v>
      </c>
      <c r="C319" s="18" t="s">
        <v>61</v>
      </c>
      <c r="D319" s="18" t="s">
        <v>1498</v>
      </c>
      <c r="E319" s="18" t="n">
        <v>1</v>
      </c>
      <c r="F319" s="18" t="s">
        <v>1528</v>
      </c>
      <c r="G319" s="18" t="s">
        <v>459</v>
      </c>
      <c r="H319" s="18" t="s">
        <v>117</v>
      </c>
      <c r="I319" s="18"/>
      <c r="J319" s="18"/>
      <c r="K319" s="18"/>
      <c r="L319" s="18" t="s">
        <v>109</v>
      </c>
      <c r="M319" s="18" t="s">
        <v>109</v>
      </c>
      <c r="N319" s="18"/>
      <c r="O319" s="18"/>
      <c r="P319" s="18" t="s">
        <v>1529</v>
      </c>
      <c r="Q319" s="18" t="s">
        <v>134</v>
      </c>
      <c r="R319" s="18" t="s">
        <v>1530</v>
      </c>
      <c r="S319" s="18" t="s">
        <v>112</v>
      </c>
      <c r="T319" s="18" t="s">
        <v>1531</v>
      </c>
      <c r="U319" s="18" t="s">
        <v>1532</v>
      </c>
      <c r="V319" s="19" t="s">
        <v>29</v>
      </c>
      <c r="W319" s="19"/>
      <c r="X319" s="19"/>
      <c r="Y319" s="20"/>
      <c r="Z319" s="19"/>
      <c r="AA319" s="18" t="str">
        <f aca="false">IF(OR(V319="Aprobada"),R319,IF(AND(OR(V319="Aprobada con ajuste",V319="Rechazada"),W319&lt;&gt;""),W319,""))</f>
        <v/>
      </c>
    </row>
    <row r="320" customFormat="false" ht="22.35" hidden="false" customHeight="false" outlineLevel="0" collapsed="false">
      <c r="A320" s="18" t="s">
        <v>1533</v>
      </c>
      <c r="B320" s="18" t="s">
        <v>60</v>
      </c>
      <c r="C320" s="18" t="s">
        <v>61</v>
      </c>
      <c r="D320" s="18" t="s">
        <v>1498</v>
      </c>
      <c r="E320" s="18" t="n">
        <v>1</v>
      </c>
      <c r="F320" s="18" t="s">
        <v>1534</v>
      </c>
      <c r="G320" s="18" t="s">
        <v>184</v>
      </c>
      <c r="H320" s="18" t="s">
        <v>109</v>
      </c>
      <c r="I320" s="18"/>
      <c r="J320" s="18"/>
      <c r="K320" s="18"/>
      <c r="L320" s="18" t="s">
        <v>109</v>
      </c>
      <c r="M320" s="18" t="s">
        <v>109</v>
      </c>
      <c r="N320" s="18"/>
      <c r="O320" s="18"/>
      <c r="P320" s="18" t="s">
        <v>1535</v>
      </c>
      <c r="Q320" s="18" t="s">
        <v>134</v>
      </c>
      <c r="R320" s="18" t="s">
        <v>1536</v>
      </c>
      <c r="S320" s="18" t="s">
        <v>125</v>
      </c>
      <c r="T320" s="18" t="s">
        <v>1537</v>
      </c>
      <c r="U320" s="18"/>
      <c r="V320" s="19" t="s">
        <v>29</v>
      </c>
      <c r="W320" s="19"/>
      <c r="X320" s="19"/>
      <c r="Y320" s="20"/>
      <c r="Z320" s="19"/>
      <c r="AA320" s="18" t="str">
        <f aca="false">IF(OR(V320="Aprobada"),R320,IF(AND(OR(V320="Aprobada con ajuste",V320="Rechazada"),W320&lt;&gt;""),W320,""))</f>
        <v/>
      </c>
    </row>
    <row r="321" customFormat="false" ht="32.8" hidden="false" customHeight="false" outlineLevel="0" collapsed="false">
      <c r="A321" s="18" t="s">
        <v>1538</v>
      </c>
      <c r="B321" s="18" t="s">
        <v>60</v>
      </c>
      <c r="C321" s="18" t="s">
        <v>61</v>
      </c>
      <c r="D321" s="18" t="s">
        <v>1498</v>
      </c>
      <c r="E321" s="18" t="n">
        <v>1</v>
      </c>
      <c r="F321" s="18" t="s">
        <v>1539</v>
      </c>
      <c r="G321" s="18" t="s">
        <v>184</v>
      </c>
      <c r="H321" s="18" t="s">
        <v>117</v>
      </c>
      <c r="I321" s="18" t="s">
        <v>140</v>
      </c>
      <c r="J321" s="18"/>
      <c r="K321" s="18"/>
      <c r="L321" s="18" t="s">
        <v>109</v>
      </c>
      <c r="M321" s="18" t="s">
        <v>109</v>
      </c>
      <c r="N321" s="18"/>
      <c r="O321" s="18"/>
      <c r="P321" s="18" t="s">
        <v>1540</v>
      </c>
      <c r="Q321" s="18" t="s">
        <v>123</v>
      </c>
      <c r="R321" s="18" t="s">
        <v>1541</v>
      </c>
      <c r="S321" s="18" t="s">
        <v>125</v>
      </c>
      <c r="T321" s="18" t="s">
        <v>1542</v>
      </c>
      <c r="U321" s="18"/>
      <c r="V321" s="19" t="s">
        <v>29</v>
      </c>
      <c r="W321" s="19"/>
      <c r="X321" s="19"/>
      <c r="Y321" s="20"/>
      <c r="Z321" s="19"/>
      <c r="AA321" s="18" t="str">
        <f aca="false">IF(OR(V321="Aprobada"),R321,IF(AND(OR(V321="Aprobada con ajuste",V321="Rechazada"),W321&lt;&gt;""),W321,""))</f>
        <v/>
      </c>
    </row>
    <row r="322" customFormat="false" ht="22.35" hidden="false" customHeight="false" outlineLevel="0" collapsed="false">
      <c r="A322" s="18" t="s">
        <v>1543</v>
      </c>
      <c r="B322" s="18" t="s">
        <v>60</v>
      </c>
      <c r="C322" s="18" t="s">
        <v>61</v>
      </c>
      <c r="D322" s="18" t="s">
        <v>1498</v>
      </c>
      <c r="E322" s="18" t="n">
        <v>1</v>
      </c>
      <c r="F322" s="18" t="s">
        <v>1544</v>
      </c>
      <c r="G322" s="18" t="s">
        <v>459</v>
      </c>
      <c r="H322" s="18" t="s">
        <v>117</v>
      </c>
      <c r="I322" s="18"/>
      <c r="J322" s="18"/>
      <c r="K322" s="18"/>
      <c r="L322" s="18" t="s">
        <v>109</v>
      </c>
      <c r="M322" s="18" t="s">
        <v>109</v>
      </c>
      <c r="N322" s="18"/>
      <c r="O322" s="18"/>
      <c r="P322" s="18" t="s">
        <v>1545</v>
      </c>
      <c r="Q322" s="18" t="s">
        <v>110</v>
      </c>
      <c r="R322" s="18" t="s">
        <v>1546</v>
      </c>
      <c r="S322" s="18" t="s">
        <v>112</v>
      </c>
      <c r="T322" s="18" t="s">
        <v>113</v>
      </c>
      <c r="U322" s="18"/>
      <c r="V322" s="19" t="s">
        <v>29</v>
      </c>
      <c r="W322" s="19"/>
      <c r="X322" s="19"/>
      <c r="Y322" s="20"/>
      <c r="Z322" s="19"/>
      <c r="AA322" s="18" t="str">
        <f aca="false">IF(OR(V322="Aprobada"),R322,IF(AND(OR(V322="Aprobada con ajuste",V322="Rechazada"),W322&lt;&gt;""),W322,""))</f>
        <v/>
      </c>
    </row>
    <row r="323" customFormat="false" ht="22.35" hidden="false" customHeight="false" outlineLevel="0" collapsed="false">
      <c r="A323" s="18" t="s">
        <v>1547</v>
      </c>
      <c r="B323" s="18" t="s">
        <v>60</v>
      </c>
      <c r="C323" s="18" t="s">
        <v>61</v>
      </c>
      <c r="D323" s="18" t="s">
        <v>1498</v>
      </c>
      <c r="E323" s="18" t="n">
        <v>1</v>
      </c>
      <c r="F323" s="18" t="s">
        <v>1548</v>
      </c>
      <c r="G323" s="18" t="s">
        <v>116</v>
      </c>
      <c r="H323" s="18" t="s">
        <v>117</v>
      </c>
      <c r="I323" s="18" t="s">
        <v>140</v>
      </c>
      <c r="J323" s="18"/>
      <c r="K323" s="18"/>
      <c r="L323" s="18" t="s">
        <v>109</v>
      </c>
      <c r="M323" s="18" t="s">
        <v>109</v>
      </c>
      <c r="N323" s="18"/>
      <c r="O323" s="18"/>
      <c r="P323" s="18" t="s">
        <v>1549</v>
      </c>
      <c r="Q323" s="18" t="s">
        <v>110</v>
      </c>
      <c r="R323" s="18" t="s">
        <v>1550</v>
      </c>
      <c r="S323" s="18" t="s">
        <v>112</v>
      </c>
      <c r="T323" s="18" t="s">
        <v>113</v>
      </c>
      <c r="U323" s="18"/>
      <c r="V323" s="19" t="s">
        <v>29</v>
      </c>
      <c r="W323" s="19"/>
      <c r="X323" s="19"/>
      <c r="Y323" s="20"/>
      <c r="Z323" s="19"/>
      <c r="AA323" s="18" t="str">
        <f aca="false">IF(OR(V323="Aprobada"),R323,IF(AND(OR(V323="Aprobada con ajuste",V323="Rechazada"),W323&lt;&gt;""),W323,""))</f>
        <v/>
      </c>
    </row>
    <row r="324" customFormat="false" ht="126.85" hidden="false" customHeight="false" outlineLevel="0" collapsed="false">
      <c r="A324" s="18" t="s">
        <v>1551</v>
      </c>
      <c r="B324" s="18" t="s">
        <v>60</v>
      </c>
      <c r="C324" s="18" t="s">
        <v>61</v>
      </c>
      <c r="D324" s="18" t="s">
        <v>1552</v>
      </c>
      <c r="E324" s="18" t="n">
        <v>3</v>
      </c>
      <c r="F324" s="18" t="s">
        <v>1553</v>
      </c>
      <c r="G324" s="18" t="s">
        <v>139</v>
      </c>
      <c r="H324" s="18" t="s">
        <v>109</v>
      </c>
      <c r="I324" s="18"/>
      <c r="J324" s="18"/>
      <c r="K324" s="18"/>
      <c r="L324" s="18" t="s">
        <v>109</v>
      </c>
      <c r="M324" s="18" t="s">
        <v>109</v>
      </c>
      <c r="N324" s="18"/>
      <c r="O324" s="18" t="s">
        <v>1554</v>
      </c>
      <c r="P324" s="18" t="s">
        <v>1555</v>
      </c>
      <c r="Q324" s="18" t="s">
        <v>123</v>
      </c>
      <c r="R324" s="18" t="s">
        <v>1556</v>
      </c>
      <c r="S324" s="18" t="s">
        <v>125</v>
      </c>
      <c r="T324" s="18" t="s">
        <v>1557</v>
      </c>
      <c r="U324" s="18"/>
      <c r="V324" s="19" t="s">
        <v>29</v>
      </c>
      <c r="W324" s="19"/>
      <c r="X324" s="19"/>
      <c r="Y324" s="20"/>
      <c r="Z324" s="19"/>
      <c r="AA324" s="18" t="str">
        <f aca="false">IF(OR(V324="Aprobada"),R324,IF(AND(OR(V324="Aprobada con ajuste",V324="Rechazada"),W324&lt;&gt;""),W324,""))</f>
        <v/>
      </c>
    </row>
    <row r="325" customFormat="false" ht="168.65" hidden="false" customHeight="false" outlineLevel="0" collapsed="false">
      <c r="A325" s="18" t="s">
        <v>1558</v>
      </c>
      <c r="B325" s="18" t="s">
        <v>60</v>
      </c>
      <c r="C325" s="18" t="s">
        <v>61</v>
      </c>
      <c r="D325" s="18" t="s">
        <v>1552</v>
      </c>
      <c r="E325" s="18" t="n">
        <v>3</v>
      </c>
      <c r="F325" s="18" t="s">
        <v>150</v>
      </c>
      <c r="G325" s="18" t="s">
        <v>151</v>
      </c>
      <c r="H325" s="18" t="s">
        <v>109</v>
      </c>
      <c r="I325" s="18" t="s">
        <v>140</v>
      </c>
      <c r="J325" s="18" t="s">
        <v>1559</v>
      </c>
      <c r="K325" s="18"/>
      <c r="L325" s="18" t="s">
        <v>117</v>
      </c>
      <c r="M325" s="18" t="s">
        <v>109</v>
      </c>
      <c r="N325" s="18"/>
      <c r="O325" s="18"/>
      <c r="P325" s="18" t="s">
        <v>1560</v>
      </c>
      <c r="Q325" s="18" t="s">
        <v>110</v>
      </c>
      <c r="R325" s="18" t="s">
        <v>1561</v>
      </c>
      <c r="S325" s="18" t="s">
        <v>112</v>
      </c>
      <c r="T325" s="18" t="s">
        <v>113</v>
      </c>
      <c r="U325" s="18"/>
      <c r="V325" s="19" t="s">
        <v>29</v>
      </c>
      <c r="W325" s="19"/>
      <c r="X325" s="19"/>
      <c r="Y325" s="20"/>
      <c r="Z325" s="19"/>
      <c r="AA325" s="18" t="str">
        <f aca="false">IF(OR(V325="Aprobada"),R325,IF(AND(OR(V325="Aprobada con ajuste",V325="Rechazada"),W325&lt;&gt;""),W325,""))</f>
        <v/>
      </c>
    </row>
    <row r="326" customFormat="false" ht="53.7" hidden="false" customHeight="false" outlineLevel="0" collapsed="false">
      <c r="A326" s="18" t="s">
        <v>1562</v>
      </c>
      <c r="B326" s="18" t="s">
        <v>60</v>
      </c>
      <c r="C326" s="18" t="s">
        <v>61</v>
      </c>
      <c r="D326" s="18" t="s">
        <v>1552</v>
      </c>
      <c r="E326" s="18" t="n">
        <v>3</v>
      </c>
      <c r="F326" s="18" t="s">
        <v>1563</v>
      </c>
      <c r="G326" s="18" t="s">
        <v>116</v>
      </c>
      <c r="H326" s="18" t="s">
        <v>109</v>
      </c>
      <c r="I326" s="18"/>
      <c r="J326" s="18"/>
      <c r="K326" s="18"/>
      <c r="L326" s="18" t="s">
        <v>109</v>
      </c>
      <c r="M326" s="18" t="s">
        <v>109</v>
      </c>
      <c r="N326" s="18"/>
      <c r="O326" s="18"/>
      <c r="P326" s="18" t="s">
        <v>1564</v>
      </c>
      <c r="Q326" s="18" t="s">
        <v>123</v>
      </c>
      <c r="R326" s="18" t="s">
        <v>1565</v>
      </c>
      <c r="S326" s="18" t="s">
        <v>125</v>
      </c>
      <c r="T326" s="18" t="s">
        <v>1566</v>
      </c>
      <c r="U326" s="18"/>
      <c r="V326" s="19" t="s">
        <v>29</v>
      </c>
      <c r="W326" s="19"/>
      <c r="X326" s="19"/>
      <c r="Y326" s="20"/>
      <c r="Z326" s="19"/>
      <c r="AA326" s="18" t="str">
        <f aca="false">IF(OR(V326="Aprobada"),R326,IF(AND(OR(V326="Aprobada con ajuste",V326="Rechazada"),W326&lt;&gt;""),W326,""))</f>
        <v/>
      </c>
    </row>
    <row r="327" customFormat="false" ht="22.35" hidden="false" customHeight="false" outlineLevel="0" collapsed="false">
      <c r="A327" s="18" t="s">
        <v>1567</v>
      </c>
      <c r="B327" s="18" t="s">
        <v>60</v>
      </c>
      <c r="C327" s="18" t="s">
        <v>61</v>
      </c>
      <c r="D327" s="18" t="s">
        <v>1552</v>
      </c>
      <c r="E327" s="18" t="n">
        <v>3</v>
      </c>
      <c r="F327" s="18" t="s">
        <v>107</v>
      </c>
      <c r="G327" s="18" t="s">
        <v>151</v>
      </c>
      <c r="H327" s="18" t="s">
        <v>109</v>
      </c>
      <c r="I327" s="18" t="s">
        <v>140</v>
      </c>
      <c r="J327" s="18" t="s">
        <v>1568</v>
      </c>
      <c r="K327" s="18"/>
      <c r="L327" s="18" t="s">
        <v>117</v>
      </c>
      <c r="M327" s="18" t="s">
        <v>109</v>
      </c>
      <c r="N327" s="18"/>
      <c r="O327" s="18"/>
      <c r="P327" s="18" t="s">
        <v>1569</v>
      </c>
      <c r="Q327" s="18" t="s">
        <v>110</v>
      </c>
      <c r="R327" s="18" t="s">
        <v>1570</v>
      </c>
      <c r="S327" s="18" t="s">
        <v>112</v>
      </c>
      <c r="T327" s="18" t="s">
        <v>113</v>
      </c>
      <c r="U327" s="18"/>
      <c r="V327" s="19" t="s">
        <v>29</v>
      </c>
      <c r="W327" s="19"/>
      <c r="X327" s="19"/>
      <c r="Y327" s="20"/>
      <c r="Z327" s="19"/>
      <c r="AA327" s="18" t="str">
        <f aca="false">IF(OR(V327="Aprobada"),R327,IF(AND(OR(V327="Aprobada con ajuste",V327="Rechazada"),W327&lt;&gt;""),W327,""))</f>
        <v/>
      </c>
    </row>
    <row r="328" customFormat="false" ht="22.35" hidden="false" customHeight="false" outlineLevel="0" collapsed="false">
      <c r="A328" s="18" t="s">
        <v>1571</v>
      </c>
      <c r="B328" s="18" t="s">
        <v>60</v>
      </c>
      <c r="C328" s="18" t="s">
        <v>61</v>
      </c>
      <c r="D328" s="18" t="s">
        <v>1552</v>
      </c>
      <c r="E328" s="18" t="n">
        <v>3</v>
      </c>
      <c r="F328" s="18" t="s">
        <v>1572</v>
      </c>
      <c r="G328" s="18" t="s">
        <v>459</v>
      </c>
      <c r="H328" s="18" t="s">
        <v>117</v>
      </c>
      <c r="I328" s="18"/>
      <c r="J328" s="18"/>
      <c r="K328" s="18"/>
      <c r="L328" s="18" t="s">
        <v>109</v>
      </c>
      <c r="M328" s="18" t="s">
        <v>109</v>
      </c>
      <c r="N328" s="18"/>
      <c r="O328" s="18"/>
      <c r="P328" s="18" t="s">
        <v>1573</v>
      </c>
      <c r="Q328" s="18" t="s">
        <v>134</v>
      </c>
      <c r="R328" s="18" t="s">
        <v>1574</v>
      </c>
      <c r="S328" s="18" t="s">
        <v>112</v>
      </c>
      <c r="T328" s="18" t="s">
        <v>1531</v>
      </c>
      <c r="U328" s="18" t="s">
        <v>1532</v>
      </c>
      <c r="V328" s="19" t="s">
        <v>29</v>
      </c>
      <c r="W328" s="19"/>
      <c r="X328" s="19"/>
      <c r="Y328" s="20"/>
      <c r="Z328" s="19"/>
      <c r="AA328" s="18" t="str">
        <f aca="false">IF(OR(V328="Aprobada"),R328,IF(AND(OR(V328="Aprobada con ajuste",V328="Rechazada"),W328&lt;&gt;""),W328,""))</f>
        <v/>
      </c>
    </row>
    <row r="329" customFormat="false" ht="53.7" hidden="false" customHeight="false" outlineLevel="0" collapsed="false">
      <c r="A329" s="18" t="s">
        <v>1575</v>
      </c>
      <c r="B329" s="18" t="s">
        <v>60</v>
      </c>
      <c r="C329" s="18" t="s">
        <v>61</v>
      </c>
      <c r="D329" s="18" t="s">
        <v>1552</v>
      </c>
      <c r="E329" s="18" t="n">
        <v>3</v>
      </c>
      <c r="F329" s="18" t="s">
        <v>1576</v>
      </c>
      <c r="G329" s="18" t="s">
        <v>394</v>
      </c>
      <c r="H329" s="18" t="s">
        <v>117</v>
      </c>
      <c r="I329" s="18" t="s">
        <v>140</v>
      </c>
      <c r="J329" s="18"/>
      <c r="K329" s="18"/>
      <c r="L329" s="18" t="s">
        <v>109</v>
      </c>
      <c r="M329" s="18" t="s">
        <v>109</v>
      </c>
      <c r="N329" s="18"/>
      <c r="O329" s="18"/>
      <c r="P329" s="18" t="s">
        <v>1577</v>
      </c>
      <c r="Q329" s="18" t="s">
        <v>123</v>
      </c>
      <c r="R329" s="18" t="s">
        <v>1578</v>
      </c>
      <c r="S329" s="18" t="s">
        <v>112</v>
      </c>
      <c r="T329" s="18" t="s">
        <v>1579</v>
      </c>
      <c r="U329" s="18" t="s">
        <v>1580</v>
      </c>
      <c r="V329" s="19" t="s">
        <v>29</v>
      </c>
      <c r="W329" s="19"/>
      <c r="X329" s="19"/>
      <c r="Y329" s="20"/>
      <c r="Z329" s="19"/>
      <c r="AA329" s="18" t="str">
        <f aca="false">IF(OR(V329="Aprobada"),R329,IF(AND(OR(V329="Aprobada con ajuste",V329="Rechazada"),W329&lt;&gt;""),W329,""))</f>
        <v/>
      </c>
    </row>
    <row r="330" customFormat="false" ht="22.35" hidden="false" customHeight="false" outlineLevel="0" collapsed="false">
      <c r="A330" s="18" t="s">
        <v>1581</v>
      </c>
      <c r="B330" s="18" t="s">
        <v>60</v>
      </c>
      <c r="C330" s="18" t="s">
        <v>61</v>
      </c>
      <c r="D330" s="18" t="s">
        <v>1552</v>
      </c>
      <c r="E330" s="18" t="n">
        <v>3</v>
      </c>
      <c r="F330" s="18" t="s">
        <v>1582</v>
      </c>
      <c r="G330" s="18" t="s">
        <v>459</v>
      </c>
      <c r="H330" s="18" t="s">
        <v>117</v>
      </c>
      <c r="I330" s="18"/>
      <c r="J330" s="18"/>
      <c r="K330" s="18"/>
      <c r="L330" s="18" t="s">
        <v>109</v>
      </c>
      <c r="M330" s="18" t="s">
        <v>109</v>
      </c>
      <c r="N330" s="18"/>
      <c r="O330" s="18"/>
      <c r="P330" s="18" t="s">
        <v>1583</v>
      </c>
      <c r="Q330" s="18" t="s">
        <v>110</v>
      </c>
      <c r="R330" s="18" t="s">
        <v>1584</v>
      </c>
      <c r="S330" s="18" t="s">
        <v>112</v>
      </c>
      <c r="T330" s="18" t="s">
        <v>113</v>
      </c>
      <c r="U330" s="18"/>
      <c r="V330" s="19" t="s">
        <v>29</v>
      </c>
      <c r="W330" s="19"/>
      <c r="X330" s="19"/>
      <c r="Y330" s="20"/>
      <c r="Z330" s="19"/>
      <c r="AA330" s="18" t="str">
        <f aca="false">IF(OR(V330="Aprobada"),R330,IF(AND(OR(V330="Aprobada con ajuste",V330="Rechazada"),W330&lt;&gt;""),W330,""))</f>
        <v/>
      </c>
    </row>
    <row r="331" customFormat="false" ht="53.7" hidden="false" customHeight="false" outlineLevel="0" collapsed="false">
      <c r="A331" s="18" t="s">
        <v>1585</v>
      </c>
      <c r="B331" s="18" t="s">
        <v>60</v>
      </c>
      <c r="C331" s="18" t="s">
        <v>61</v>
      </c>
      <c r="D331" s="18" t="s">
        <v>1552</v>
      </c>
      <c r="E331" s="18" t="n">
        <v>3</v>
      </c>
      <c r="F331" s="18" t="s">
        <v>1586</v>
      </c>
      <c r="G331" s="18" t="s">
        <v>394</v>
      </c>
      <c r="H331" s="18" t="s">
        <v>117</v>
      </c>
      <c r="I331" s="18" t="s">
        <v>140</v>
      </c>
      <c r="J331" s="18"/>
      <c r="K331" s="18"/>
      <c r="L331" s="18" t="s">
        <v>109</v>
      </c>
      <c r="M331" s="18" t="s">
        <v>109</v>
      </c>
      <c r="N331" s="18"/>
      <c r="O331" s="18"/>
      <c r="P331" s="18" t="s">
        <v>1587</v>
      </c>
      <c r="Q331" s="18" t="s">
        <v>134</v>
      </c>
      <c r="R331" s="18" t="s">
        <v>1588</v>
      </c>
      <c r="S331" s="18" t="s">
        <v>112</v>
      </c>
      <c r="T331" s="18" t="s">
        <v>1589</v>
      </c>
      <c r="U331" s="18" t="s">
        <v>1590</v>
      </c>
      <c r="V331" s="19" t="s">
        <v>29</v>
      </c>
      <c r="W331" s="19"/>
      <c r="X331" s="19"/>
      <c r="Y331" s="20"/>
      <c r="Z331" s="19"/>
      <c r="AA331" s="18" t="str">
        <f aca="false">IF(OR(V331="Aprobada"),R331,IF(AND(OR(V331="Aprobada con ajuste",V331="Rechazada"),W331&lt;&gt;""),W331,""))</f>
        <v/>
      </c>
    </row>
    <row r="332" customFormat="false" ht="22.35" hidden="false" customHeight="false" outlineLevel="0" collapsed="false">
      <c r="A332" s="18" t="s">
        <v>1591</v>
      </c>
      <c r="B332" s="18" t="s">
        <v>60</v>
      </c>
      <c r="C332" s="18" t="s">
        <v>61</v>
      </c>
      <c r="D332" s="18" t="s">
        <v>1552</v>
      </c>
      <c r="E332" s="18" t="n">
        <v>3</v>
      </c>
      <c r="F332" s="18" t="s">
        <v>1592</v>
      </c>
      <c r="G332" s="18" t="s">
        <v>184</v>
      </c>
      <c r="H332" s="18" t="s">
        <v>117</v>
      </c>
      <c r="I332" s="18"/>
      <c r="J332" s="18"/>
      <c r="K332" s="18"/>
      <c r="L332" s="18" t="s">
        <v>109</v>
      </c>
      <c r="M332" s="18" t="s">
        <v>109</v>
      </c>
      <c r="N332" s="18"/>
      <c r="O332" s="18"/>
      <c r="P332" s="18" t="s">
        <v>1593</v>
      </c>
      <c r="Q332" s="18" t="s">
        <v>110</v>
      </c>
      <c r="R332" s="18" t="s">
        <v>1439</v>
      </c>
      <c r="S332" s="18" t="s">
        <v>112</v>
      </c>
      <c r="T332" s="18" t="s">
        <v>113</v>
      </c>
      <c r="U332" s="18"/>
      <c r="V332" s="19" t="s">
        <v>29</v>
      </c>
      <c r="W332" s="19"/>
      <c r="X332" s="19"/>
      <c r="Y332" s="20"/>
      <c r="Z332" s="19"/>
      <c r="AA332" s="18" t="str">
        <f aca="false">IF(OR(V332="Aprobada"),R332,IF(AND(OR(V332="Aprobada con ajuste",V332="Rechazada"),W332&lt;&gt;""),W332,""))</f>
        <v/>
      </c>
    </row>
    <row r="333" customFormat="false" ht="22.35" hidden="false" customHeight="false" outlineLevel="0" collapsed="false">
      <c r="A333" s="18" t="s">
        <v>1594</v>
      </c>
      <c r="B333" s="18" t="s">
        <v>60</v>
      </c>
      <c r="C333" s="18" t="s">
        <v>61</v>
      </c>
      <c r="D333" s="18" t="s">
        <v>1552</v>
      </c>
      <c r="E333" s="18" t="n">
        <v>3</v>
      </c>
      <c r="F333" s="18" t="s">
        <v>1595</v>
      </c>
      <c r="G333" s="18" t="s">
        <v>459</v>
      </c>
      <c r="H333" s="18" t="s">
        <v>117</v>
      </c>
      <c r="I333" s="18"/>
      <c r="J333" s="18"/>
      <c r="K333" s="18"/>
      <c r="L333" s="18" t="s">
        <v>109</v>
      </c>
      <c r="M333" s="18" t="s">
        <v>109</v>
      </c>
      <c r="N333" s="18"/>
      <c r="O333" s="18"/>
      <c r="P333" s="18" t="s">
        <v>1596</v>
      </c>
      <c r="Q333" s="18" t="s">
        <v>110</v>
      </c>
      <c r="R333" s="18" t="s">
        <v>1443</v>
      </c>
      <c r="S333" s="18" t="s">
        <v>112</v>
      </c>
      <c r="T333" s="18" t="s">
        <v>113</v>
      </c>
      <c r="U333" s="18"/>
      <c r="V333" s="19" t="s">
        <v>29</v>
      </c>
      <c r="W333" s="19"/>
      <c r="X333" s="19"/>
      <c r="Y333" s="20"/>
      <c r="Z333" s="19"/>
      <c r="AA333" s="18" t="str">
        <f aca="false">IF(OR(V333="Aprobada"),R333,IF(AND(OR(V333="Aprobada con ajuste",V333="Rechazada"),W333&lt;&gt;""),W333,""))</f>
        <v/>
      </c>
    </row>
    <row r="334" customFormat="false" ht="22.35" hidden="false" customHeight="false" outlineLevel="0" collapsed="false">
      <c r="A334" s="18" t="s">
        <v>1597</v>
      </c>
      <c r="B334" s="18" t="s">
        <v>60</v>
      </c>
      <c r="C334" s="18" t="s">
        <v>61</v>
      </c>
      <c r="D334" s="18" t="s">
        <v>1552</v>
      </c>
      <c r="E334" s="18" t="n">
        <v>3</v>
      </c>
      <c r="F334" s="18" t="s">
        <v>1445</v>
      </c>
      <c r="G334" s="18" t="s">
        <v>116</v>
      </c>
      <c r="H334" s="18" t="s">
        <v>117</v>
      </c>
      <c r="I334" s="18"/>
      <c r="J334" s="18"/>
      <c r="K334" s="18"/>
      <c r="L334" s="18" t="s">
        <v>109</v>
      </c>
      <c r="M334" s="18" t="s">
        <v>109</v>
      </c>
      <c r="N334" s="18"/>
      <c r="O334" s="18"/>
      <c r="P334" s="18" t="s">
        <v>1598</v>
      </c>
      <c r="Q334" s="18" t="s">
        <v>110</v>
      </c>
      <c r="R334" s="18" t="s">
        <v>1447</v>
      </c>
      <c r="S334" s="18" t="s">
        <v>112</v>
      </c>
      <c r="T334" s="18" t="s">
        <v>113</v>
      </c>
      <c r="U334" s="18"/>
      <c r="V334" s="19" t="s">
        <v>29</v>
      </c>
      <c r="W334" s="19"/>
      <c r="X334" s="19"/>
      <c r="Y334" s="20"/>
      <c r="Z334" s="19"/>
      <c r="AA334" s="18" t="str">
        <f aca="false">IF(OR(V334="Aprobada"),R334,IF(AND(OR(V334="Aprobada con ajuste",V334="Rechazada"),W334&lt;&gt;""),W334,""))</f>
        <v/>
      </c>
    </row>
    <row r="335" customFormat="false" ht="74.6" hidden="false" customHeight="false" outlineLevel="0" collapsed="false">
      <c r="A335" s="18" t="s">
        <v>1599</v>
      </c>
      <c r="B335" s="18" t="s">
        <v>60</v>
      </c>
      <c r="C335" s="18" t="s">
        <v>61</v>
      </c>
      <c r="D335" s="18" t="s">
        <v>1600</v>
      </c>
      <c r="E335" s="18" t="n">
        <v>0</v>
      </c>
      <c r="F335" s="18" t="s">
        <v>1601</v>
      </c>
      <c r="G335" s="18" t="s">
        <v>151</v>
      </c>
      <c r="H335" s="18" t="s">
        <v>109</v>
      </c>
      <c r="I335" s="18" t="s">
        <v>140</v>
      </c>
      <c r="J335" s="18" t="s">
        <v>1602</v>
      </c>
      <c r="K335" s="18"/>
      <c r="L335" s="18" t="s">
        <v>117</v>
      </c>
      <c r="M335" s="18" t="s">
        <v>109</v>
      </c>
      <c r="N335" s="18"/>
      <c r="O335" s="18"/>
      <c r="P335" s="18" t="s">
        <v>1603</v>
      </c>
      <c r="Q335" s="18" t="s">
        <v>123</v>
      </c>
      <c r="R335" s="18" t="s">
        <v>1604</v>
      </c>
      <c r="S335" s="18" t="s">
        <v>125</v>
      </c>
      <c r="T335" s="18" t="s">
        <v>1605</v>
      </c>
      <c r="U335" s="18"/>
      <c r="V335" s="19" t="s">
        <v>29</v>
      </c>
      <c r="W335" s="19"/>
      <c r="X335" s="19"/>
      <c r="Y335" s="20"/>
      <c r="Z335" s="19"/>
      <c r="AA335" s="18" t="str">
        <f aca="false">IF(OR(V335="Aprobada"),R335,IF(AND(OR(V335="Aprobada con ajuste",V335="Rechazada"),W335&lt;&gt;""),W335,""))</f>
        <v/>
      </c>
    </row>
    <row r="336" customFormat="false" ht="43.25" hidden="false" customHeight="false" outlineLevel="0" collapsed="false">
      <c r="A336" s="18" t="s">
        <v>1606</v>
      </c>
      <c r="B336" s="18" t="s">
        <v>60</v>
      </c>
      <c r="C336" s="18" t="s">
        <v>61</v>
      </c>
      <c r="D336" s="18" t="s">
        <v>1600</v>
      </c>
      <c r="E336" s="18" t="n">
        <v>0</v>
      </c>
      <c r="F336" s="18" t="s">
        <v>1607</v>
      </c>
      <c r="G336" s="18" t="s">
        <v>459</v>
      </c>
      <c r="H336" s="18" t="s">
        <v>109</v>
      </c>
      <c r="I336" s="18"/>
      <c r="J336" s="18"/>
      <c r="K336" s="18"/>
      <c r="L336" s="18" t="s">
        <v>109</v>
      </c>
      <c r="M336" s="18" t="s">
        <v>109</v>
      </c>
      <c r="N336" s="18"/>
      <c r="O336" s="18"/>
      <c r="P336" s="18" t="s">
        <v>1608</v>
      </c>
      <c r="Q336" s="18" t="s">
        <v>134</v>
      </c>
      <c r="R336" s="18" t="s">
        <v>1609</v>
      </c>
      <c r="S336" s="18" t="s">
        <v>125</v>
      </c>
      <c r="T336" s="18" t="s">
        <v>983</v>
      </c>
      <c r="U336" s="18"/>
      <c r="V336" s="19" t="s">
        <v>29</v>
      </c>
      <c r="W336" s="19"/>
      <c r="X336" s="19"/>
      <c r="Y336" s="20"/>
      <c r="Z336" s="19"/>
      <c r="AA336" s="18" t="str">
        <f aca="false">IF(OR(V336="Aprobada"),R336,IF(AND(OR(V336="Aprobada con ajuste",V336="Rechazada"),W336&lt;&gt;""),W336,""))</f>
        <v/>
      </c>
    </row>
    <row r="337" customFormat="false" ht="32.8" hidden="false" customHeight="false" outlineLevel="0" collapsed="false">
      <c r="A337" s="18" t="s">
        <v>1610</v>
      </c>
      <c r="B337" s="18" t="s">
        <v>60</v>
      </c>
      <c r="C337" s="18" t="s">
        <v>61</v>
      </c>
      <c r="D337" s="18" t="s">
        <v>1600</v>
      </c>
      <c r="E337" s="18" t="n">
        <v>0</v>
      </c>
      <c r="F337" s="18" t="s">
        <v>1611</v>
      </c>
      <c r="G337" s="18" t="s">
        <v>436</v>
      </c>
      <c r="H337" s="18" t="s">
        <v>117</v>
      </c>
      <c r="I337" s="18"/>
      <c r="J337" s="18"/>
      <c r="K337" s="18"/>
      <c r="L337" s="18" t="s">
        <v>109</v>
      </c>
      <c r="M337" s="18" t="s">
        <v>109</v>
      </c>
      <c r="N337" s="18"/>
      <c r="O337" s="18"/>
      <c r="P337" s="18" t="s">
        <v>1612</v>
      </c>
      <c r="Q337" s="18" t="s">
        <v>134</v>
      </c>
      <c r="R337" s="18" t="s">
        <v>1613</v>
      </c>
      <c r="S337" s="18" t="s">
        <v>125</v>
      </c>
      <c r="T337" s="18" t="s">
        <v>1614</v>
      </c>
      <c r="U337" s="18"/>
      <c r="V337" s="19" t="s">
        <v>29</v>
      </c>
      <c r="W337" s="19"/>
      <c r="X337" s="19"/>
      <c r="Y337" s="20"/>
      <c r="Z337" s="19"/>
      <c r="AA337" s="18" t="str">
        <f aca="false">IF(OR(V337="Aprobada"),R337,IF(AND(OR(V337="Aprobada con ajuste",V337="Rechazada"),W337&lt;&gt;""),W337,""))</f>
        <v/>
      </c>
    </row>
    <row r="338" customFormat="false" ht="43.25" hidden="false" customHeight="false" outlineLevel="0" collapsed="false">
      <c r="A338" s="18" t="s">
        <v>1615</v>
      </c>
      <c r="B338" s="18" t="s">
        <v>60</v>
      </c>
      <c r="C338" s="18" t="s">
        <v>61</v>
      </c>
      <c r="D338" s="18" t="s">
        <v>1600</v>
      </c>
      <c r="E338" s="18" t="n">
        <v>0</v>
      </c>
      <c r="F338" s="18" t="s">
        <v>1616</v>
      </c>
      <c r="G338" s="18" t="s">
        <v>394</v>
      </c>
      <c r="H338" s="18" t="s">
        <v>109</v>
      </c>
      <c r="I338" s="18"/>
      <c r="J338" s="18"/>
      <c r="K338" s="18"/>
      <c r="L338" s="18" t="s">
        <v>109</v>
      </c>
      <c r="M338" s="18" t="s">
        <v>109</v>
      </c>
      <c r="N338" s="18"/>
      <c r="O338" s="18"/>
      <c r="P338" s="18" t="s">
        <v>1617</v>
      </c>
      <c r="Q338" s="18" t="s">
        <v>110</v>
      </c>
      <c r="R338" s="18" t="s">
        <v>1618</v>
      </c>
      <c r="S338" s="18" t="s">
        <v>112</v>
      </c>
      <c r="T338" s="18" t="s">
        <v>113</v>
      </c>
      <c r="U338" s="18"/>
      <c r="V338" s="19" t="s">
        <v>29</v>
      </c>
      <c r="W338" s="19"/>
      <c r="X338" s="19"/>
      <c r="Y338" s="20"/>
      <c r="Z338" s="19"/>
      <c r="AA338" s="18" t="str">
        <f aca="false">IF(OR(V338="Aprobada"),R338,IF(AND(OR(V338="Aprobada con ajuste",V338="Rechazada"),W338&lt;&gt;""),W338,""))</f>
        <v/>
      </c>
    </row>
    <row r="339" customFormat="false" ht="22.35" hidden="false" customHeight="false" outlineLevel="0" collapsed="false">
      <c r="A339" s="18" t="s">
        <v>1619</v>
      </c>
      <c r="B339" s="18" t="s">
        <v>60</v>
      </c>
      <c r="C339" s="18" t="s">
        <v>61</v>
      </c>
      <c r="D339" s="18" t="s">
        <v>1600</v>
      </c>
      <c r="E339" s="18" t="n">
        <v>0</v>
      </c>
      <c r="F339" s="18" t="s">
        <v>1620</v>
      </c>
      <c r="G339" s="18" t="s">
        <v>459</v>
      </c>
      <c r="H339" s="18" t="s">
        <v>117</v>
      </c>
      <c r="I339" s="18"/>
      <c r="J339" s="18"/>
      <c r="K339" s="18"/>
      <c r="L339" s="18" t="s">
        <v>109</v>
      </c>
      <c r="M339" s="18" t="s">
        <v>109</v>
      </c>
      <c r="N339" s="18"/>
      <c r="O339" s="18"/>
      <c r="P339" s="18" t="s">
        <v>1621</v>
      </c>
      <c r="Q339" s="18" t="s">
        <v>110</v>
      </c>
      <c r="R339" s="18" t="s">
        <v>1381</v>
      </c>
      <c r="S339" s="18" t="s">
        <v>112</v>
      </c>
      <c r="T339" s="18" t="s">
        <v>113</v>
      </c>
      <c r="U339" s="18"/>
      <c r="V339" s="19" t="s">
        <v>29</v>
      </c>
      <c r="W339" s="19"/>
      <c r="X339" s="19"/>
      <c r="Y339" s="20"/>
      <c r="Z339" s="19"/>
      <c r="AA339" s="18" t="str">
        <f aca="false">IF(OR(V339="Aprobada"),R339,IF(AND(OR(V339="Aprobada con ajuste",V339="Rechazada"),W339&lt;&gt;""),W339,""))</f>
        <v/>
      </c>
    </row>
    <row r="340" customFormat="false" ht="22.35" hidden="false" customHeight="false" outlineLevel="0" collapsed="false">
      <c r="A340" s="18" t="s">
        <v>1622</v>
      </c>
      <c r="B340" s="18" t="s">
        <v>60</v>
      </c>
      <c r="C340" s="18" t="s">
        <v>61</v>
      </c>
      <c r="D340" s="18" t="s">
        <v>1623</v>
      </c>
      <c r="E340" s="18" t="n">
        <v>313</v>
      </c>
      <c r="F340" s="18" t="s">
        <v>271</v>
      </c>
      <c r="G340" s="18" t="s">
        <v>195</v>
      </c>
      <c r="H340" s="18" t="s">
        <v>109</v>
      </c>
      <c r="I340" s="18" t="s">
        <v>140</v>
      </c>
      <c r="J340" s="18" t="s">
        <v>1624</v>
      </c>
      <c r="K340" s="18"/>
      <c r="L340" s="18" t="s">
        <v>117</v>
      </c>
      <c r="M340" s="18" t="s">
        <v>109</v>
      </c>
      <c r="N340" s="18"/>
      <c r="O340" s="18" t="s">
        <v>1625</v>
      </c>
      <c r="P340" s="18"/>
      <c r="Q340" s="18" t="s">
        <v>134</v>
      </c>
      <c r="R340" s="18" t="s">
        <v>1626</v>
      </c>
      <c r="S340" s="18" t="s">
        <v>125</v>
      </c>
      <c r="T340" s="18" t="s">
        <v>1627</v>
      </c>
      <c r="U340" s="18"/>
      <c r="V340" s="19" t="s">
        <v>29</v>
      </c>
      <c r="W340" s="19"/>
      <c r="X340" s="19"/>
      <c r="Y340" s="20"/>
      <c r="Z340" s="19"/>
      <c r="AA340" s="18" t="str">
        <f aca="false">IF(OR(V340="Aprobada"),R340,IF(AND(OR(V340="Aprobada con ajuste",V340="Rechazada"),W340&lt;&gt;""),W340,""))</f>
        <v/>
      </c>
    </row>
    <row r="341" customFormat="false" ht="32.8" hidden="false" customHeight="false" outlineLevel="0" collapsed="false">
      <c r="A341" s="18" t="s">
        <v>1628</v>
      </c>
      <c r="B341" s="18" t="s">
        <v>60</v>
      </c>
      <c r="C341" s="18" t="s">
        <v>61</v>
      </c>
      <c r="D341" s="18" t="s">
        <v>1623</v>
      </c>
      <c r="E341" s="18" t="n">
        <v>313</v>
      </c>
      <c r="F341" s="18" t="s">
        <v>1186</v>
      </c>
      <c r="G341" s="18" t="s">
        <v>156</v>
      </c>
      <c r="H341" s="18" t="s">
        <v>117</v>
      </c>
      <c r="I341" s="18" t="s">
        <v>140</v>
      </c>
      <c r="J341" s="18"/>
      <c r="K341" s="18"/>
      <c r="L341" s="18" t="s">
        <v>109</v>
      </c>
      <c r="M341" s="18" t="s">
        <v>109</v>
      </c>
      <c r="N341" s="18"/>
      <c r="O341" s="18"/>
      <c r="P341" s="18"/>
      <c r="Q341" s="18" t="s">
        <v>134</v>
      </c>
      <c r="R341" s="18" t="s">
        <v>1629</v>
      </c>
      <c r="S341" s="18" t="s">
        <v>125</v>
      </c>
      <c r="T341" s="18" t="s">
        <v>1630</v>
      </c>
      <c r="U341" s="18"/>
      <c r="V341" s="19" t="s">
        <v>29</v>
      </c>
      <c r="W341" s="19"/>
      <c r="X341" s="19"/>
      <c r="Y341" s="20"/>
      <c r="Z341" s="19"/>
      <c r="AA341" s="18" t="str">
        <f aca="false">IF(OR(V341="Aprobada"),R341,IF(AND(OR(V341="Aprobada con ajuste",V341="Rechazada"),W341&lt;&gt;""),W341,""))</f>
        <v/>
      </c>
    </row>
    <row r="342" customFormat="false" ht="32.8" hidden="false" customHeight="false" outlineLevel="0" collapsed="false">
      <c r="A342" s="18" t="s">
        <v>1631</v>
      </c>
      <c r="B342" s="18" t="s">
        <v>60</v>
      </c>
      <c r="C342" s="18" t="s">
        <v>61</v>
      </c>
      <c r="D342" s="18" t="s">
        <v>1623</v>
      </c>
      <c r="E342" s="18" t="n">
        <v>313</v>
      </c>
      <c r="F342" s="18" t="s">
        <v>1632</v>
      </c>
      <c r="G342" s="18" t="s">
        <v>195</v>
      </c>
      <c r="H342" s="18" t="s">
        <v>117</v>
      </c>
      <c r="I342" s="18" t="s">
        <v>140</v>
      </c>
      <c r="J342" s="18" t="s">
        <v>1633</v>
      </c>
      <c r="K342" s="18"/>
      <c r="L342" s="18" t="s">
        <v>117</v>
      </c>
      <c r="M342" s="18" t="s">
        <v>109</v>
      </c>
      <c r="N342" s="18"/>
      <c r="O342" s="18"/>
      <c r="P342" s="18"/>
      <c r="Q342" s="18" t="s">
        <v>134</v>
      </c>
      <c r="R342" s="18" t="s">
        <v>1634</v>
      </c>
      <c r="S342" s="18" t="s">
        <v>112</v>
      </c>
      <c r="T342" s="18" t="s">
        <v>246</v>
      </c>
      <c r="U342" s="18" t="s">
        <v>1635</v>
      </c>
      <c r="V342" s="19" t="s">
        <v>29</v>
      </c>
      <c r="W342" s="19"/>
      <c r="X342" s="19"/>
      <c r="Y342" s="20"/>
      <c r="Z342" s="19"/>
      <c r="AA342" s="18" t="str">
        <f aca="false">IF(OR(V342="Aprobada"),R342,IF(AND(OR(V342="Aprobada con ajuste",V342="Rechazada"),W342&lt;&gt;""),W342,""))</f>
        <v/>
      </c>
    </row>
    <row r="343" customFormat="false" ht="22.35" hidden="false" customHeight="false" outlineLevel="0" collapsed="false">
      <c r="A343" s="18" t="s">
        <v>1636</v>
      </c>
      <c r="B343" s="18" t="s">
        <v>60</v>
      </c>
      <c r="C343" s="18" t="s">
        <v>61</v>
      </c>
      <c r="D343" s="18" t="s">
        <v>1623</v>
      </c>
      <c r="E343" s="18" t="n">
        <v>313</v>
      </c>
      <c r="F343" s="18" t="s">
        <v>1637</v>
      </c>
      <c r="G343" s="18" t="s">
        <v>145</v>
      </c>
      <c r="H343" s="18" t="s">
        <v>109</v>
      </c>
      <c r="I343" s="18"/>
      <c r="J343" s="18"/>
      <c r="K343" s="18"/>
      <c r="L343" s="18" t="s">
        <v>109</v>
      </c>
      <c r="M343" s="18" t="s">
        <v>109</v>
      </c>
      <c r="N343" s="18"/>
      <c r="O343" s="18"/>
      <c r="P343" s="18"/>
      <c r="Q343" s="18" t="s">
        <v>110</v>
      </c>
      <c r="R343" s="18" t="s">
        <v>1638</v>
      </c>
      <c r="S343" s="18" t="s">
        <v>112</v>
      </c>
      <c r="T343" s="18" t="s">
        <v>113</v>
      </c>
      <c r="U343" s="18"/>
      <c r="V343" s="19" t="s">
        <v>29</v>
      </c>
      <c r="W343" s="19"/>
      <c r="X343" s="19"/>
      <c r="Y343" s="20"/>
      <c r="Z343" s="19"/>
      <c r="AA343" s="18" t="str">
        <f aca="false">IF(OR(V343="Aprobada"),R343,IF(AND(OR(V343="Aprobada con ajuste",V343="Rechazada"),W343&lt;&gt;""),W343,""))</f>
        <v/>
      </c>
    </row>
    <row r="344" customFormat="false" ht="22.35" hidden="false" customHeight="false" outlineLevel="0" collapsed="false">
      <c r="A344" s="18" t="s">
        <v>1639</v>
      </c>
      <c r="B344" s="18" t="s">
        <v>60</v>
      </c>
      <c r="C344" s="18" t="s">
        <v>61</v>
      </c>
      <c r="D344" s="18" t="s">
        <v>1623</v>
      </c>
      <c r="E344" s="18" t="n">
        <v>313</v>
      </c>
      <c r="F344" s="18" t="s">
        <v>857</v>
      </c>
      <c r="G344" s="18" t="s">
        <v>145</v>
      </c>
      <c r="H344" s="18" t="s">
        <v>109</v>
      </c>
      <c r="I344" s="18"/>
      <c r="J344" s="18"/>
      <c r="K344" s="18"/>
      <c r="L344" s="18" t="s">
        <v>109</v>
      </c>
      <c r="M344" s="18" t="s">
        <v>109</v>
      </c>
      <c r="N344" s="18"/>
      <c r="O344" s="18"/>
      <c r="P344" s="18"/>
      <c r="Q344" s="18" t="s">
        <v>110</v>
      </c>
      <c r="R344" s="18" t="s">
        <v>859</v>
      </c>
      <c r="S344" s="18" t="s">
        <v>112</v>
      </c>
      <c r="T344" s="18" t="s">
        <v>113</v>
      </c>
      <c r="U344" s="18"/>
      <c r="V344" s="19" t="s">
        <v>29</v>
      </c>
      <c r="W344" s="19"/>
      <c r="X344" s="19"/>
      <c r="Y344" s="20"/>
      <c r="Z344" s="19"/>
      <c r="AA344" s="18" t="str">
        <f aca="false">IF(OR(V344="Aprobada"),R344,IF(AND(OR(V344="Aprobada con ajuste",V344="Rechazada"),W344&lt;&gt;""),W344,""))</f>
        <v/>
      </c>
    </row>
    <row r="345" customFormat="false" ht="43.25" hidden="false" customHeight="false" outlineLevel="0" collapsed="false">
      <c r="A345" s="18" t="s">
        <v>1640</v>
      </c>
      <c r="B345" s="18" t="s">
        <v>60</v>
      </c>
      <c r="C345" s="18" t="s">
        <v>61</v>
      </c>
      <c r="D345" s="18" t="s">
        <v>1641</v>
      </c>
      <c r="E345" s="18" t="n">
        <v>1</v>
      </c>
      <c r="F345" s="18" t="s">
        <v>1642</v>
      </c>
      <c r="G345" s="18" t="s">
        <v>1509</v>
      </c>
      <c r="H345" s="18" t="s">
        <v>109</v>
      </c>
      <c r="I345" s="18" t="s">
        <v>140</v>
      </c>
      <c r="J345" s="18"/>
      <c r="K345" s="18"/>
      <c r="L345" s="18" t="s">
        <v>109</v>
      </c>
      <c r="M345" s="18" t="s">
        <v>109</v>
      </c>
      <c r="N345" s="18"/>
      <c r="O345" s="18"/>
      <c r="P345" s="18" t="s">
        <v>1643</v>
      </c>
      <c r="Q345" s="18" t="s">
        <v>134</v>
      </c>
      <c r="R345" s="18" t="s">
        <v>1644</v>
      </c>
      <c r="S345" s="18" t="s">
        <v>112</v>
      </c>
      <c r="T345" s="18" t="s">
        <v>1645</v>
      </c>
      <c r="U345" s="18" t="s">
        <v>1646</v>
      </c>
      <c r="V345" s="19" t="s">
        <v>29</v>
      </c>
      <c r="W345" s="19"/>
      <c r="X345" s="19"/>
      <c r="Y345" s="20"/>
      <c r="Z345" s="19"/>
      <c r="AA345" s="18" t="str">
        <f aca="false">IF(OR(V345="Aprobada"),R345,IF(AND(OR(V345="Aprobada con ajuste",V345="Rechazada"),W345&lt;&gt;""),W345,""))</f>
        <v/>
      </c>
    </row>
    <row r="346" customFormat="false" ht="85.05" hidden="false" customHeight="false" outlineLevel="0" collapsed="false">
      <c r="A346" s="18" t="s">
        <v>1647</v>
      </c>
      <c r="B346" s="18" t="s">
        <v>60</v>
      </c>
      <c r="C346" s="18" t="s">
        <v>61</v>
      </c>
      <c r="D346" s="18" t="s">
        <v>1641</v>
      </c>
      <c r="E346" s="18" t="n">
        <v>1</v>
      </c>
      <c r="F346" s="18" t="s">
        <v>1648</v>
      </c>
      <c r="G346" s="18" t="s">
        <v>394</v>
      </c>
      <c r="H346" s="18" t="s">
        <v>109</v>
      </c>
      <c r="I346" s="18" t="s">
        <v>140</v>
      </c>
      <c r="J346" s="18"/>
      <c r="K346" s="18"/>
      <c r="L346" s="18" t="s">
        <v>109</v>
      </c>
      <c r="M346" s="18" t="s">
        <v>109</v>
      </c>
      <c r="N346" s="18"/>
      <c r="O346" s="18"/>
      <c r="P346" s="18" t="s">
        <v>1649</v>
      </c>
      <c r="Q346" s="18" t="s">
        <v>123</v>
      </c>
      <c r="R346" s="18" t="s">
        <v>1650</v>
      </c>
      <c r="S346" s="18" t="s">
        <v>125</v>
      </c>
      <c r="T346" s="18" t="s">
        <v>1651</v>
      </c>
      <c r="U346" s="18"/>
      <c r="V346" s="19" t="s">
        <v>29</v>
      </c>
      <c r="W346" s="19"/>
      <c r="X346" s="19"/>
      <c r="Y346" s="20"/>
      <c r="Z346" s="19"/>
      <c r="AA346" s="18" t="str">
        <f aca="false">IF(OR(V346="Aprobada"),R346,IF(AND(OR(V346="Aprobada con ajuste",V346="Rechazada"),W346&lt;&gt;""),W346,""))</f>
        <v/>
      </c>
    </row>
    <row r="347" customFormat="false" ht="32.8" hidden="false" customHeight="false" outlineLevel="0" collapsed="false">
      <c r="A347" s="18" t="s">
        <v>1652</v>
      </c>
      <c r="B347" s="18" t="s">
        <v>60</v>
      </c>
      <c r="C347" s="18" t="s">
        <v>61</v>
      </c>
      <c r="D347" s="18" t="s">
        <v>1641</v>
      </c>
      <c r="E347" s="18" t="n">
        <v>1</v>
      </c>
      <c r="F347" s="18" t="s">
        <v>1653</v>
      </c>
      <c r="G347" s="18" t="s">
        <v>394</v>
      </c>
      <c r="H347" s="18" t="s">
        <v>109</v>
      </c>
      <c r="I347" s="18" t="s">
        <v>140</v>
      </c>
      <c r="J347" s="18"/>
      <c r="K347" s="18"/>
      <c r="L347" s="18" t="s">
        <v>109</v>
      </c>
      <c r="M347" s="18" t="s">
        <v>109</v>
      </c>
      <c r="N347" s="18"/>
      <c r="O347" s="18" t="s">
        <v>1654</v>
      </c>
      <c r="P347" s="18" t="s">
        <v>1655</v>
      </c>
      <c r="Q347" s="18" t="s">
        <v>134</v>
      </c>
      <c r="R347" s="18" t="s">
        <v>1656</v>
      </c>
      <c r="S347" s="18" t="s">
        <v>125</v>
      </c>
      <c r="T347" s="18" t="s">
        <v>1657</v>
      </c>
      <c r="U347" s="18"/>
      <c r="V347" s="19" t="s">
        <v>29</v>
      </c>
      <c r="W347" s="19"/>
      <c r="X347" s="19"/>
      <c r="Y347" s="20"/>
      <c r="Z347" s="19"/>
      <c r="AA347" s="18" t="str">
        <f aca="false">IF(OR(V347="Aprobada"),R347,IF(AND(OR(V347="Aprobada con ajuste",V347="Rechazada"),W347&lt;&gt;""),W347,""))</f>
        <v/>
      </c>
    </row>
    <row r="348" customFormat="false" ht="53.7" hidden="false" customHeight="false" outlineLevel="0" collapsed="false">
      <c r="A348" s="18" t="s">
        <v>1658</v>
      </c>
      <c r="B348" s="18" t="s">
        <v>60</v>
      </c>
      <c r="C348" s="18" t="s">
        <v>61</v>
      </c>
      <c r="D348" s="18" t="s">
        <v>1659</v>
      </c>
      <c r="E348" s="18" t="n">
        <v>3</v>
      </c>
      <c r="F348" s="18" t="s">
        <v>1660</v>
      </c>
      <c r="G348" s="18" t="s">
        <v>436</v>
      </c>
      <c r="H348" s="18" t="s">
        <v>109</v>
      </c>
      <c r="I348" s="18"/>
      <c r="J348" s="18"/>
      <c r="K348" s="18"/>
      <c r="L348" s="18" t="s">
        <v>109</v>
      </c>
      <c r="M348" s="18" t="s">
        <v>109</v>
      </c>
      <c r="N348" s="18"/>
      <c r="O348" s="18"/>
      <c r="P348" s="18" t="s">
        <v>1661</v>
      </c>
      <c r="Q348" s="18" t="s">
        <v>123</v>
      </c>
      <c r="R348" s="18" t="s">
        <v>1662</v>
      </c>
      <c r="S348" s="18" t="s">
        <v>125</v>
      </c>
      <c r="T348" s="18" t="s">
        <v>1663</v>
      </c>
      <c r="U348" s="18"/>
      <c r="V348" s="19" t="s">
        <v>29</v>
      </c>
      <c r="W348" s="19"/>
      <c r="X348" s="19"/>
      <c r="Y348" s="20"/>
      <c r="Z348" s="19"/>
      <c r="AA348" s="18" t="str">
        <f aca="false">IF(OR(V348="Aprobada"),R348,IF(AND(OR(V348="Aprobada con ajuste",V348="Rechazada"),W348&lt;&gt;""),W348,""))</f>
        <v/>
      </c>
    </row>
    <row r="349" customFormat="false" ht="43.25" hidden="false" customHeight="false" outlineLevel="0" collapsed="false">
      <c r="A349" s="18" t="s">
        <v>1664</v>
      </c>
      <c r="B349" s="18" t="s">
        <v>60</v>
      </c>
      <c r="C349" s="18" t="s">
        <v>61</v>
      </c>
      <c r="D349" s="18" t="s">
        <v>1659</v>
      </c>
      <c r="E349" s="18" t="n">
        <v>3</v>
      </c>
      <c r="F349" s="18" t="s">
        <v>1665</v>
      </c>
      <c r="G349" s="18" t="s">
        <v>394</v>
      </c>
      <c r="H349" s="18" t="s">
        <v>109</v>
      </c>
      <c r="I349" s="18"/>
      <c r="J349" s="18"/>
      <c r="K349" s="18"/>
      <c r="L349" s="18" t="s">
        <v>109</v>
      </c>
      <c r="M349" s="18" t="s">
        <v>109</v>
      </c>
      <c r="N349" s="18"/>
      <c r="O349" s="18"/>
      <c r="P349" s="18" t="s">
        <v>1666</v>
      </c>
      <c r="Q349" s="18" t="s">
        <v>123</v>
      </c>
      <c r="R349" s="18" t="s">
        <v>1667</v>
      </c>
      <c r="S349" s="18" t="s">
        <v>125</v>
      </c>
      <c r="T349" s="18" t="s">
        <v>1668</v>
      </c>
      <c r="U349" s="18"/>
      <c r="V349" s="19" t="s">
        <v>29</v>
      </c>
      <c r="W349" s="19"/>
      <c r="X349" s="19"/>
      <c r="Y349" s="20"/>
      <c r="Z349" s="19"/>
      <c r="AA349" s="18" t="str">
        <f aca="false">IF(OR(V349="Aprobada"),R349,IF(AND(OR(V349="Aprobada con ajuste",V349="Rechazada"),W349&lt;&gt;""),W349,""))</f>
        <v/>
      </c>
    </row>
    <row r="350" customFormat="false" ht="95.5" hidden="false" customHeight="false" outlineLevel="0" collapsed="false">
      <c r="A350" s="18" t="s">
        <v>1669</v>
      </c>
      <c r="B350" s="18" t="s">
        <v>60</v>
      </c>
      <c r="C350" s="18" t="s">
        <v>61</v>
      </c>
      <c r="D350" s="18" t="s">
        <v>1659</v>
      </c>
      <c r="E350" s="18" t="n">
        <v>3</v>
      </c>
      <c r="F350" s="18" t="s">
        <v>1670</v>
      </c>
      <c r="G350" s="18" t="s">
        <v>116</v>
      </c>
      <c r="H350" s="18" t="s">
        <v>117</v>
      </c>
      <c r="I350" s="18"/>
      <c r="J350" s="18"/>
      <c r="K350" s="18"/>
      <c r="L350" s="18" t="s">
        <v>109</v>
      </c>
      <c r="M350" s="18" t="s">
        <v>109</v>
      </c>
      <c r="N350" s="18"/>
      <c r="O350" s="18"/>
      <c r="P350" s="18" t="s">
        <v>1671</v>
      </c>
      <c r="Q350" s="18" t="s">
        <v>134</v>
      </c>
      <c r="R350" s="18" t="s">
        <v>1672</v>
      </c>
      <c r="S350" s="18" t="s">
        <v>125</v>
      </c>
      <c r="T350" s="18" t="s">
        <v>1673</v>
      </c>
      <c r="U350" s="18"/>
      <c r="V350" s="19" t="s">
        <v>29</v>
      </c>
      <c r="W350" s="19"/>
      <c r="X350" s="19"/>
      <c r="Y350" s="20"/>
      <c r="Z350" s="19"/>
      <c r="AA350" s="18" t="str">
        <f aca="false">IF(OR(V350="Aprobada"),R350,IF(AND(OR(V350="Aprobada con ajuste",V350="Rechazada"),W350&lt;&gt;""),W350,""))</f>
        <v/>
      </c>
    </row>
    <row r="351" customFormat="false" ht="22.35" hidden="false" customHeight="false" outlineLevel="0" collapsed="false">
      <c r="A351" s="18" t="s">
        <v>1674</v>
      </c>
      <c r="B351" s="18" t="s">
        <v>60</v>
      </c>
      <c r="C351" s="18" t="s">
        <v>61</v>
      </c>
      <c r="D351" s="18" t="s">
        <v>1659</v>
      </c>
      <c r="E351" s="18" t="n">
        <v>3</v>
      </c>
      <c r="F351" s="18" t="s">
        <v>1675</v>
      </c>
      <c r="G351" s="18" t="s">
        <v>459</v>
      </c>
      <c r="H351" s="18" t="s">
        <v>117</v>
      </c>
      <c r="I351" s="18"/>
      <c r="J351" s="18"/>
      <c r="K351" s="18"/>
      <c r="L351" s="18" t="s">
        <v>109</v>
      </c>
      <c r="M351" s="18" t="s">
        <v>109</v>
      </c>
      <c r="N351" s="18"/>
      <c r="O351" s="18"/>
      <c r="P351" s="18" t="s">
        <v>1676</v>
      </c>
      <c r="Q351" s="18" t="s">
        <v>134</v>
      </c>
      <c r="R351" s="18" t="s">
        <v>1677</v>
      </c>
      <c r="S351" s="18" t="s">
        <v>112</v>
      </c>
      <c r="T351" s="18" t="s">
        <v>1531</v>
      </c>
      <c r="U351" s="18" t="s">
        <v>1532</v>
      </c>
      <c r="V351" s="19" t="s">
        <v>29</v>
      </c>
      <c r="W351" s="19"/>
      <c r="X351" s="19"/>
      <c r="Y351" s="20"/>
      <c r="Z351" s="19"/>
      <c r="AA351" s="18" t="str">
        <f aca="false">IF(OR(V351="Aprobada"),R351,IF(AND(OR(V351="Aprobada con ajuste",V351="Rechazada"),W351&lt;&gt;""),W351,""))</f>
        <v/>
      </c>
    </row>
    <row r="352" customFormat="false" ht="53.7" hidden="false" customHeight="false" outlineLevel="0" collapsed="false">
      <c r="A352" s="18" t="s">
        <v>1678</v>
      </c>
      <c r="B352" s="18" t="s">
        <v>60</v>
      </c>
      <c r="C352" s="18" t="s">
        <v>61</v>
      </c>
      <c r="D352" s="18" t="s">
        <v>1679</v>
      </c>
      <c r="E352" s="18" t="n">
        <v>1</v>
      </c>
      <c r="F352" s="18" t="s">
        <v>1680</v>
      </c>
      <c r="G352" s="18" t="s">
        <v>145</v>
      </c>
      <c r="H352" s="18" t="s">
        <v>109</v>
      </c>
      <c r="I352" s="18"/>
      <c r="J352" s="18"/>
      <c r="K352" s="18"/>
      <c r="L352" s="18" t="s">
        <v>109</v>
      </c>
      <c r="M352" s="18" t="s">
        <v>109</v>
      </c>
      <c r="N352" s="18"/>
      <c r="O352" s="18"/>
      <c r="P352" s="18" t="s">
        <v>1681</v>
      </c>
      <c r="Q352" s="18" t="s">
        <v>123</v>
      </c>
      <c r="R352" s="18" t="s">
        <v>1682</v>
      </c>
      <c r="S352" s="18" t="s">
        <v>125</v>
      </c>
      <c r="T352" s="18" t="s">
        <v>1683</v>
      </c>
      <c r="U352" s="18"/>
      <c r="V352" s="19" t="s">
        <v>29</v>
      </c>
      <c r="W352" s="19"/>
      <c r="X352" s="19"/>
      <c r="Y352" s="20"/>
      <c r="Z352" s="19"/>
      <c r="AA352" s="18" t="str">
        <f aca="false">IF(OR(V352="Aprobada"),R352,IF(AND(OR(V352="Aprobada con ajuste",V352="Rechazada"),W352&lt;&gt;""),W352,""))</f>
        <v/>
      </c>
    </row>
    <row r="353" customFormat="false" ht="32.8" hidden="false" customHeight="false" outlineLevel="0" collapsed="false">
      <c r="A353" s="18" t="s">
        <v>1684</v>
      </c>
      <c r="B353" s="18" t="s">
        <v>60</v>
      </c>
      <c r="C353" s="18" t="s">
        <v>61</v>
      </c>
      <c r="D353" s="18" t="s">
        <v>1679</v>
      </c>
      <c r="E353" s="18" t="n">
        <v>1</v>
      </c>
      <c r="F353" s="18" t="s">
        <v>1685</v>
      </c>
      <c r="G353" s="18" t="s">
        <v>116</v>
      </c>
      <c r="H353" s="18" t="s">
        <v>117</v>
      </c>
      <c r="I353" s="18"/>
      <c r="J353" s="18"/>
      <c r="K353" s="18"/>
      <c r="L353" s="18" t="s">
        <v>109</v>
      </c>
      <c r="M353" s="18" t="s">
        <v>109</v>
      </c>
      <c r="N353" s="18"/>
      <c r="O353" s="18"/>
      <c r="P353" s="18" t="s">
        <v>1686</v>
      </c>
      <c r="Q353" s="18" t="s">
        <v>134</v>
      </c>
      <c r="R353" s="18" t="s">
        <v>1687</v>
      </c>
      <c r="S353" s="18" t="s">
        <v>125</v>
      </c>
      <c r="T353" s="18" t="s">
        <v>1688</v>
      </c>
      <c r="U353" s="18"/>
      <c r="V353" s="19" t="s">
        <v>29</v>
      </c>
      <c r="W353" s="19"/>
      <c r="X353" s="19"/>
      <c r="Y353" s="20"/>
      <c r="Z353" s="19"/>
      <c r="AA353" s="18" t="str">
        <f aca="false">IF(OR(V353="Aprobada"),R353,IF(AND(OR(V353="Aprobada con ajuste",V353="Rechazada"),W353&lt;&gt;""),W353,""))</f>
        <v/>
      </c>
    </row>
    <row r="354" customFormat="false" ht="32.8" hidden="false" customHeight="false" outlineLevel="0" collapsed="false">
      <c r="A354" s="18" t="s">
        <v>1689</v>
      </c>
      <c r="B354" s="18" t="s">
        <v>60</v>
      </c>
      <c r="C354" s="18" t="s">
        <v>61</v>
      </c>
      <c r="D354" s="18" t="s">
        <v>1679</v>
      </c>
      <c r="E354" s="18" t="n">
        <v>1</v>
      </c>
      <c r="F354" s="18" t="s">
        <v>1637</v>
      </c>
      <c r="G354" s="18" t="s">
        <v>145</v>
      </c>
      <c r="H354" s="18" t="s">
        <v>109</v>
      </c>
      <c r="I354" s="18"/>
      <c r="J354" s="18"/>
      <c r="K354" s="18"/>
      <c r="L354" s="18" t="s">
        <v>109</v>
      </c>
      <c r="M354" s="18" t="s">
        <v>109</v>
      </c>
      <c r="N354" s="18"/>
      <c r="O354" s="18"/>
      <c r="P354" s="18" t="s">
        <v>1690</v>
      </c>
      <c r="Q354" s="18" t="s">
        <v>110</v>
      </c>
      <c r="R354" s="18" t="s">
        <v>1638</v>
      </c>
      <c r="S354" s="18" t="s">
        <v>112</v>
      </c>
      <c r="T354" s="18" t="s">
        <v>113</v>
      </c>
      <c r="U354" s="18"/>
      <c r="V354" s="19" t="s">
        <v>29</v>
      </c>
      <c r="W354" s="19"/>
      <c r="X354" s="19"/>
      <c r="Y354" s="20"/>
      <c r="Z354" s="19"/>
      <c r="AA354" s="18" t="str">
        <f aca="false">IF(OR(V354="Aprobada"),R354,IF(AND(OR(V354="Aprobada con ajuste",V354="Rechazada"),W354&lt;&gt;""),W354,""))</f>
        <v/>
      </c>
    </row>
    <row r="355" customFormat="false" ht="85.05" hidden="false" customHeight="false" outlineLevel="0" collapsed="false">
      <c r="A355" s="18" t="s">
        <v>1691</v>
      </c>
      <c r="B355" s="18" t="s">
        <v>60</v>
      </c>
      <c r="C355" s="18" t="s">
        <v>61</v>
      </c>
      <c r="D355" s="18" t="s">
        <v>1692</v>
      </c>
      <c r="E355" s="18" t="n">
        <v>1</v>
      </c>
      <c r="F355" s="18" t="s">
        <v>1693</v>
      </c>
      <c r="G355" s="18" t="s">
        <v>184</v>
      </c>
      <c r="H355" s="18" t="s">
        <v>109</v>
      </c>
      <c r="I355" s="18"/>
      <c r="J355" s="18"/>
      <c r="K355" s="18"/>
      <c r="L355" s="18" t="s">
        <v>109</v>
      </c>
      <c r="M355" s="18" t="s">
        <v>109</v>
      </c>
      <c r="N355" s="18"/>
      <c r="O355" s="18"/>
      <c r="P355" s="18" t="s">
        <v>1694</v>
      </c>
      <c r="Q355" s="18" t="s">
        <v>123</v>
      </c>
      <c r="R355" s="18" t="s">
        <v>1695</v>
      </c>
      <c r="S355" s="18" t="s">
        <v>125</v>
      </c>
      <c r="T355" s="18" t="s">
        <v>1696</v>
      </c>
      <c r="U355" s="18"/>
      <c r="V355" s="19" t="s">
        <v>29</v>
      </c>
      <c r="W355" s="19"/>
      <c r="X355" s="19"/>
      <c r="Y355" s="20"/>
      <c r="Z355" s="19"/>
      <c r="AA355" s="18" t="str">
        <f aca="false">IF(OR(V355="Aprobada"),R355,IF(AND(OR(V355="Aprobada con ajuste",V355="Rechazada"),W355&lt;&gt;""),W355,""))</f>
        <v/>
      </c>
    </row>
    <row r="356" customFormat="false" ht="105.95" hidden="false" customHeight="false" outlineLevel="0" collapsed="false">
      <c r="A356" s="18" t="s">
        <v>1697</v>
      </c>
      <c r="B356" s="18" t="s">
        <v>60</v>
      </c>
      <c r="C356" s="18" t="s">
        <v>61</v>
      </c>
      <c r="D356" s="18" t="s">
        <v>1692</v>
      </c>
      <c r="E356" s="18" t="n">
        <v>1</v>
      </c>
      <c r="F356" s="18" t="s">
        <v>1698</v>
      </c>
      <c r="G356" s="18" t="s">
        <v>459</v>
      </c>
      <c r="H356" s="18" t="s">
        <v>109</v>
      </c>
      <c r="I356" s="18"/>
      <c r="J356" s="18"/>
      <c r="K356" s="18"/>
      <c r="L356" s="18" t="s">
        <v>109</v>
      </c>
      <c r="M356" s="18" t="s">
        <v>109</v>
      </c>
      <c r="N356" s="18"/>
      <c r="O356" s="18"/>
      <c r="P356" s="18" t="s">
        <v>1699</v>
      </c>
      <c r="Q356" s="18" t="s">
        <v>123</v>
      </c>
      <c r="R356" s="18" t="s">
        <v>1700</v>
      </c>
      <c r="S356" s="18" t="s">
        <v>125</v>
      </c>
      <c r="T356" s="18" t="s">
        <v>1701</v>
      </c>
      <c r="U356" s="18"/>
      <c r="V356" s="19" t="s">
        <v>29</v>
      </c>
      <c r="W356" s="19"/>
      <c r="X356" s="19"/>
      <c r="Y356" s="20"/>
      <c r="Z356" s="19"/>
      <c r="AA356" s="18" t="str">
        <f aca="false">IF(OR(V356="Aprobada"),R356,IF(AND(OR(V356="Aprobada con ajuste",V356="Rechazada"),W356&lt;&gt;""),W356,""))</f>
        <v/>
      </c>
    </row>
    <row r="357" customFormat="false" ht="74.6" hidden="false" customHeight="false" outlineLevel="0" collapsed="false">
      <c r="A357" s="18" t="s">
        <v>1702</v>
      </c>
      <c r="B357" s="18" t="s">
        <v>60</v>
      </c>
      <c r="C357" s="18" t="s">
        <v>61</v>
      </c>
      <c r="D357" s="18" t="s">
        <v>1692</v>
      </c>
      <c r="E357" s="18" t="n">
        <v>1</v>
      </c>
      <c r="F357" s="18" t="s">
        <v>1010</v>
      </c>
      <c r="G357" s="18" t="s">
        <v>116</v>
      </c>
      <c r="H357" s="18" t="s">
        <v>117</v>
      </c>
      <c r="I357" s="18"/>
      <c r="J357" s="18"/>
      <c r="K357" s="18"/>
      <c r="L357" s="18" t="s">
        <v>109</v>
      </c>
      <c r="M357" s="18" t="s">
        <v>109</v>
      </c>
      <c r="N357" s="18"/>
      <c r="O357" s="18"/>
      <c r="P357" s="18" t="s">
        <v>1703</v>
      </c>
      <c r="Q357" s="18" t="s">
        <v>123</v>
      </c>
      <c r="R357" s="18" t="s">
        <v>1704</v>
      </c>
      <c r="S357" s="18" t="s">
        <v>125</v>
      </c>
      <c r="T357" s="18" t="s">
        <v>1705</v>
      </c>
      <c r="U357" s="18"/>
      <c r="V357" s="19" t="s">
        <v>29</v>
      </c>
      <c r="W357" s="19"/>
      <c r="X357" s="19"/>
      <c r="Y357" s="20"/>
      <c r="Z357" s="19"/>
      <c r="AA357" s="18" t="str">
        <f aca="false">IF(OR(V357="Aprobada"),R357,IF(AND(OR(V357="Aprobada con ajuste",V357="Rechazada"),W357&lt;&gt;""),W357,""))</f>
        <v/>
      </c>
    </row>
    <row r="358" customFormat="false" ht="22.35" hidden="false" customHeight="false" outlineLevel="0" collapsed="false">
      <c r="A358" s="18" t="s">
        <v>1706</v>
      </c>
      <c r="B358" s="18" t="s">
        <v>60</v>
      </c>
      <c r="C358" s="18" t="s">
        <v>61</v>
      </c>
      <c r="D358" s="18" t="s">
        <v>1692</v>
      </c>
      <c r="E358" s="18" t="n">
        <v>1</v>
      </c>
      <c r="F358" s="18" t="s">
        <v>107</v>
      </c>
      <c r="G358" s="18" t="s">
        <v>151</v>
      </c>
      <c r="H358" s="18" t="s">
        <v>109</v>
      </c>
      <c r="I358" s="18" t="s">
        <v>140</v>
      </c>
      <c r="J358" s="18" t="s">
        <v>1707</v>
      </c>
      <c r="K358" s="18"/>
      <c r="L358" s="18" t="s">
        <v>117</v>
      </c>
      <c r="M358" s="18" t="s">
        <v>109</v>
      </c>
      <c r="N358" s="18"/>
      <c r="O358" s="18"/>
      <c r="P358" s="18" t="s">
        <v>1708</v>
      </c>
      <c r="Q358" s="18" t="s">
        <v>110</v>
      </c>
      <c r="R358" s="18" t="s">
        <v>1709</v>
      </c>
      <c r="S358" s="18" t="s">
        <v>112</v>
      </c>
      <c r="T358" s="18" t="s">
        <v>113</v>
      </c>
      <c r="U358" s="18"/>
      <c r="V358" s="19" t="s">
        <v>29</v>
      </c>
      <c r="W358" s="19"/>
      <c r="X358" s="19"/>
      <c r="Y358" s="20"/>
      <c r="Z358" s="19"/>
      <c r="AA358" s="18" t="str">
        <f aca="false">IF(OR(V358="Aprobada"),R358,IF(AND(OR(V358="Aprobada con ajuste",V358="Rechazada"),W358&lt;&gt;""),W358,""))</f>
        <v/>
      </c>
    </row>
    <row r="359" customFormat="false" ht="22.35" hidden="false" customHeight="false" outlineLevel="0" collapsed="false">
      <c r="A359" s="18" t="s">
        <v>1710</v>
      </c>
      <c r="B359" s="18" t="s">
        <v>60</v>
      </c>
      <c r="C359" s="18" t="s">
        <v>61</v>
      </c>
      <c r="D359" s="18" t="s">
        <v>1692</v>
      </c>
      <c r="E359" s="18" t="n">
        <v>1</v>
      </c>
      <c r="F359" s="18" t="s">
        <v>1620</v>
      </c>
      <c r="G359" s="18" t="s">
        <v>459</v>
      </c>
      <c r="H359" s="18" t="s">
        <v>117</v>
      </c>
      <c r="I359" s="18"/>
      <c r="J359" s="18"/>
      <c r="K359" s="18"/>
      <c r="L359" s="18" t="s">
        <v>109</v>
      </c>
      <c r="M359" s="18" t="s">
        <v>109</v>
      </c>
      <c r="N359" s="18"/>
      <c r="O359" s="18"/>
      <c r="P359" s="18" t="s">
        <v>1711</v>
      </c>
      <c r="Q359" s="18" t="s">
        <v>110</v>
      </c>
      <c r="R359" s="18" t="s">
        <v>1381</v>
      </c>
      <c r="S359" s="18" t="s">
        <v>112</v>
      </c>
      <c r="T359" s="18" t="s">
        <v>113</v>
      </c>
      <c r="U359" s="18"/>
      <c r="V359" s="19" t="s">
        <v>29</v>
      </c>
      <c r="W359" s="19"/>
      <c r="X359" s="19"/>
      <c r="Y359" s="20"/>
      <c r="Z359" s="19"/>
      <c r="AA359" s="18" t="str">
        <f aca="false">IF(OR(V359="Aprobada"),R359,IF(AND(OR(V359="Aprobada con ajuste",V359="Rechazada"),W359&lt;&gt;""),W359,""))</f>
        <v/>
      </c>
    </row>
    <row r="360" customFormat="false" ht="22.35" hidden="false" customHeight="false" outlineLevel="0" collapsed="false">
      <c r="A360" s="18" t="s">
        <v>1712</v>
      </c>
      <c r="B360" s="18" t="s">
        <v>60</v>
      </c>
      <c r="C360" s="18" t="s">
        <v>61</v>
      </c>
      <c r="D360" s="18" t="s">
        <v>1692</v>
      </c>
      <c r="E360" s="18" t="n">
        <v>1</v>
      </c>
      <c r="F360" s="18" t="s">
        <v>1713</v>
      </c>
      <c r="G360" s="18" t="s">
        <v>184</v>
      </c>
      <c r="H360" s="18" t="s">
        <v>109</v>
      </c>
      <c r="I360" s="18"/>
      <c r="J360" s="18"/>
      <c r="K360" s="18"/>
      <c r="L360" s="18" t="s">
        <v>109</v>
      </c>
      <c r="M360" s="18" t="s">
        <v>109</v>
      </c>
      <c r="N360" s="18"/>
      <c r="O360" s="18"/>
      <c r="P360" s="18" t="s">
        <v>1714</v>
      </c>
      <c r="Q360" s="18" t="s">
        <v>110</v>
      </c>
      <c r="R360" s="18" t="s">
        <v>185</v>
      </c>
      <c r="S360" s="18" t="s">
        <v>112</v>
      </c>
      <c r="T360" s="18" t="s">
        <v>113</v>
      </c>
      <c r="U360" s="18"/>
      <c r="V360" s="19" t="s">
        <v>29</v>
      </c>
      <c r="W360" s="19"/>
      <c r="X360" s="19"/>
      <c r="Y360" s="20"/>
      <c r="Z360" s="19"/>
      <c r="AA360" s="18" t="str">
        <f aca="false">IF(OR(V360="Aprobada"),R360,IF(AND(OR(V360="Aprobada con ajuste",V360="Rechazada"),W360&lt;&gt;""),W360,""))</f>
        <v/>
      </c>
    </row>
    <row r="361" customFormat="false" ht="22.35" hidden="false" customHeight="false" outlineLevel="0" collapsed="false">
      <c r="A361" s="18" t="s">
        <v>1715</v>
      </c>
      <c r="B361" s="18" t="s">
        <v>60</v>
      </c>
      <c r="C361" s="18" t="s">
        <v>61</v>
      </c>
      <c r="D361" s="18" t="s">
        <v>1692</v>
      </c>
      <c r="E361" s="18" t="n">
        <v>1</v>
      </c>
      <c r="F361" s="18" t="s">
        <v>1592</v>
      </c>
      <c r="G361" s="18" t="s">
        <v>184</v>
      </c>
      <c r="H361" s="18" t="s">
        <v>117</v>
      </c>
      <c r="I361" s="18" t="s">
        <v>140</v>
      </c>
      <c r="J361" s="18"/>
      <c r="K361" s="18"/>
      <c r="L361" s="18" t="s">
        <v>109</v>
      </c>
      <c r="M361" s="18" t="s">
        <v>109</v>
      </c>
      <c r="N361" s="18"/>
      <c r="O361" s="18"/>
      <c r="P361" s="18" t="s">
        <v>1716</v>
      </c>
      <c r="Q361" s="18" t="s">
        <v>110</v>
      </c>
      <c r="R361" s="18" t="s">
        <v>1439</v>
      </c>
      <c r="S361" s="18" t="s">
        <v>112</v>
      </c>
      <c r="T361" s="18" t="s">
        <v>113</v>
      </c>
      <c r="U361" s="18"/>
      <c r="V361" s="19" t="s">
        <v>29</v>
      </c>
      <c r="W361" s="19"/>
      <c r="X361" s="19"/>
      <c r="Y361" s="20"/>
      <c r="Z361" s="19"/>
      <c r="AA361" s="18" t="str">
        <f aca="false">IF(OR(V361="Aprobada"),R361,IF(AND(OR(V361="Aprobada con ajuste",V361="Rechazada"),W361&lt;&gt;""),W361,""))</f>
        <v/>
      </c>
    </row>
    <row r="362" customFormat="false" ht="22.35" hidden="false" customHeight="false" outlineLevel="0" collapsed="false">
      <c r="A362" s="18" t="s">
        <v>1717</v>
      </c>
      <c r="B362" s="18" t="s">
        <v>60</v>
      </c>
      <c r="C362" s="18" t="s">
        <v>61</v>
      </c>
      <c r="D362" s="18" t="s">
        <v>1692</v>
      </c>
      <c r="E362" s="18" t="n">
        <v>1</v>
      </c>
      <c r="F362" s="18" t="s">
        <v>1445</v>
      </c>
      <c r="G362" s="18" t="s">
        <v>116</v>
      </c>
      <c r="H362" s="18" t="s">
        <v>117</v>
      </c>
      <c r="I362" s="18" t="s">
        <v>140</v>
      </c>
      <c r="J362" s="18"/>
      <c r="K362" s="18"/>
      <c r="L362" s="18" t="s">
        <v>109</v>
      </c>
      <c r="M362" s="18" t="s">
        <v>109</v>
      </c>
      <c r="N362" s="18"/>
      <c r="O362" s="18"/>
      <c r="P362" s="18" t="s">
        <v>1718</v>
      </c>
      <c r="Q362" s="18" t="s">
        <v>110</v>
      </c>
      <c r="R362" s="18" t="s">
        <v>1447</v>
      </c>
      <c r="S362" s="18" t="s">
        <v>112</v>
      </c>
      <c r="T362" s="18" t="s">
        <v>113</v>
      </c>
      <c r="U362" s="18"/>
      <c r="V362" s="19" t="s">
        <v>29</v>
      </c>
      <c r="W362" s="19"/>
      <c r="X362" s="19"/>
      <c r="Y362" s="20"/>
      <c r="Z362" s="19"/>
      <c r="AA362" s="18" t="str">
        <f aca="false">IF(OR(V362="Aprobada"),R362,IF(AND(OR(V362="Aprobada con ajuste",V362="Rechazada"),W362&lt;&gt;""),W362,""))</f>
        <v/>
      </c>
    </row>
    <row r="363" customFormat="false" ht="74.6" hidden="false" customHeight="false" outlineLevel="0" collapsed="false">
      <c r="A363" s="18" t="s">
        <v>1719</v>
      </c>
      <c r="B363" s="18" t="s">
        <v>60</v>
      </c>
      <c r="C363" s="18" t="s">
        <v>61</v>
      </c>
      <c r="D363" s="18" t="s">
        <v>1720</v>
      </c>
      <c r="E363" s="18" t="n">
        <v>3</v>
      </c>
      <c r="F363" s="18" t="s">
        <v>1721</v>
      </c>
      <c r="G363" s="18" t="s">
        <v>394</v>
      </c>
      <c r="H363" s="18" t="s">
        <v>109</v>
      </c>
      <c r="I363" s="18"/>
      <c r="J363" s="18"/>
      <c r="K363" s="18"/>
      <c r="L363" s="18" t="s">
        <v>109</v>
      </c>
      <c r="M363" s="18" t="s">
        <v>109</v>
      </c>
      <c r="N363" s="18"/>
      <c r="O363" s="18"/>
      <c r="P363" s="18" t="s">
        <v>1722</v>
      </c>
      <c r="Q363" s="18" t="s">
        <v>123</v>
      </c>
      <c r="R363" s="18" t="s">
        <v>1723</v>
      </c>
      <c r="S363" s="18" t="s">
        <v>125</v>
      </c>
      <c r="T363" s="18" t="s">
        <v>1724</v>
      </c>
      <c r="U363" s="18"/>
      <c r="V363" s="19" t="s">
        <v>29</v>
      </c>
      <c r="W363" s="19"/>
      <c r="X363" s="19"/>
      <c r="Y363" s="20"/>
      <c r="Z363" s="19"/>
      <c r="AA363" s="18" t="str">
        <f aca="false">IF(OR(V363="Aprobada"),R363,IF(AND(OR(V363="Aprobada con ajuste",V363="Rechazada"),W363&lt;&gt;""),W363,""))</f>
        <v/>
      </c>
    </row>
    <row r="364" customFormat="false" ht="64.15" hidden="false" customHeight="false" outlineLevel="0" collapsed="false">
      <c r="A364" s="18" t="s">
        <v>1725</v>
      </c>
      <c r="B364" s="18" t="s">
        <v>60</v>
      </c>
      <c r="C364" s="18" t="s">
        <v>61</v>
      </c>
      <c r="D364" s="18" t="s">
        <v>1720</v>
      </c>
      <c r="E364" s="18" t="n">
        <v>3</v>
      </c>
      <c r="F364" s="18" t="s">
        <v>115</v>
      </c>
      <c r="G364" s="18" t="s">
        <v>116</v>
      </c>
      <c r="H364" s="18" t="s">
        <v>117</v>
      </c>
      <c r="I364" s="18"/>
      <c r="J364" s="18"/>
      <c r="K364" s="18"/>
      <c r="L364" s="18" t="s">
        <v>109</v>
      </c>
      <c r="M364" s="18" t="s">
        <v>109</v>
      </c>
      <c r="N364" s="18"/>
      <c r="O364" s="18"/>
      <c r="P364" s="18" t="s">
        <v>1726</v>
      </c>
      <c r="Q364" s="18" t="s">
        <v>110</v>
      </c>
      <c r="R364" s="18" t="s">
        <v>118</v>
      </c>
      <c r="S364" s="18" t="s">
        <v>112</v>
      </c>
      <c r="T364" s="18" t="s">
        <v>113</v>
      </c>
      <c r="U364" s="18"/>
      <c r="V364" s="19" t="s">
        <v>29</v>
      </c>
      <c r="W364" s="19"/>
      <c r="X364" s="19"/>
      <c r="Y364" s="20"/>
      <c r="Z364" s="19"/>
      <c r="AA364" s="18" t="str">
        <f aca="false">IF(OR(V364="Aprobada"),R364,IF(AND(OR(V364="Aprobada con ajuste",V364="Rechazada"),W364&lt;&gt;""),W364,""))</f>
        <v/>
      </c>
    </row>
    <row r="365" customFormat="false" ht="22.35" hidden="false" customHeight="false" outlineLevel="0" collapsed="false">
      <c r="A365" s="18" t="s">
        <v>1727</v>
      </c>
      <c r="B365" s="18" t="s">
        <v>60</v>
      </c>
      <c r="C365" s="18" t="s">
        <v>61</v>
      </c>
      <c r="D365" s="18" t="s">
        <v>1720</v>
      </c>
      <c r="E365" s="18" t="n">
        <v>3</v>
      </c>
      <c r="F365" s="18" t="s">
        <v>1379</v>
      </c>
      <c r="G365" s="18" t="s">
        <v>459</v>
      </c>
      <c r="H365" s="18" t="s">
        <v>117</v>
      </c>
      <c r="I365" s="18"/>
      <c r="J365" s="18"/>
      <c r="K365" s="18"/>
      <c r="L365" s="18" t="s">
        <v>109</v>
      </c>
      <c r="M365" s="18" t="s">
        <v>109</v>
      </c>
      <c r="N365" s="18"/>
      <c r="O365" s="18"/>
      <c r="P365" s="18" t="s">
        <v>1728</v>
      </c>
      <c r="Q365" s="18" t="s">
        <v>110</v>
      </c>
      <c r="R365" s="18" t="s">
        <v>1381</v>
      </c>
      <c r="S365" s="18" t="s">
        <v>112</v>
      </c>
      <c r="T365" s="18" t="s">
        <v>113</v>
      </c>
      <c r="U365" s="18"/>
      <c r="V365" s="19" t="s">
        <v>29</v>
      </c>
      <c r="W365" s="19"/>
      <c r="X365" s="19"/>
      <c r="Y365" s="20"/>
      <c r="Z365" s="19"/>
      <c r="AA365" s="18" t="str">
        <f aca="false">IF(OR(V365="Aprobada"),R365,IF(AND(OR(V365="Aprobada con ajuste",V365="Rechazada"),W365&lt;&gt;""),W365,""))</f>
        <v/>
      </c>
    </row>
    <row r="366" customFormat="false" ht="43.25" hidden="false" customHeight="false" outlineLevel="0" collapsed="false">
      <c r="A366" s="18" t="s">
        <v>1729</v>
      </c>
      <c r="B366" s="18" t="s">
        <v>60</v>
      </c>
      <c r="C366" s="18" t="s">
        <v>61</v>
      </c>
      <c r="D366" s="18" t="s">
        <v>1720</v>
      </c>
      <c r="E366" s="18" t="n">
        <v>3</v>
      </c>
      <c r="F366" s="18" t="s">
        <v>1592</v>
      </c>
      <c r="G366" s="18" t="s">
        <v>184</v>
      </c>
      <c r="H366" s="18" t="s">
        <v>117</v>
      </c>
      <c r="I366" s="18"/>
      <c r="J366" s="18"/>
      <c r="K366" s="18"/>
      <c r="L366" s="18" t="s">
        <v>109</v>
      </c>
      <c r="M366" s="18" t="s">
        <v>109</v>
      </c>
      <c r="N366" s="18"/>
      <c r="O366" s="18"/>
      <c r="P366" s="18" t="s">
        <v>1730</v>
      </c>
      <c r="Q366" s="18" t="s">
        <v>123</v>
      </c>
      <c r="R366" s="18" t="s">
        <v>1731</v>
      </c>
      <c r="S366" s="18" t="s">
        <v>125</v>
      </c>
      <c r="T366" s="18" t="s">
        <v>1732</v>
      </c>
      <c r="U366" s="18"/>
      <c r="V366" s="19" t="s">
        <v>29</v>
      </c>
      <c r="W366" s="19"/>
      <c r="X366" s="19"/>
      <c r="Y366" s="20"/>
      <c r="Z366" s="19"/>
      <c r="AA366" s="18" t="str">
        <f aca="false">IF(OR(V366="Aprobada"),R366,IF(AND(OR(V366="Aprobada con ajuste",V366="Rechazada"),W366&lt;&gt;""),W366,""))</f>
        <v/>
      </c>
    </row>
    <row r="367" customFormat="false" ht="22.35" hidden="false" customHeight="false" outlineLevel="0" collapsed="false">
      <c r="A367" s="18" t="s">
        <v>1733</v>
      </c>
      <c r="B367" s="18" t="s">
        <v>60</v>
      </c>
      <c r="C367" s="18" t="s">
        <v>61</v>
      </c>
      <c r="D367" s="18" t="s">
        <v>1720</v>
      </c>
      <c r="E367" s="18" t="n">
        <v>3</v>
      </c>
      <c r="F367" s="18" t="s">
        <v>1595</v>
      </c>
      <c r="G367" s="18" t="s">
        <v>459</v>
      </c>
      <c r="H367" s="18" t="s">
        <v>117</v>
      </c>
      <c r="I367" s="18"/>
      <c r="J367" s="18"/>
      <c r="K367" s="18"/>
      <c r="L367" s="18" t="s">
        <v>109</v>
      </c>
      <c r="M367" s="18" t="s">
        <v>109</v>
      </c>
      <c r="N367" s="18"/>
      <c r="O367" s="18"/>
      <c r="P367" s="18" t="s">
        <v>1734</v>
      </c>
      <c r="Q367" s="18" t="s">
        <v>110</v>
      </c>
      <c r="R367" s="18" t="s">
        <v>1443</v>
      </c>
      <c r="S367" s="18" t="s">
        <v>112</v>
      </c>
      <c r="T367" s="18" t="s">
        <v>113</v>
      </c>
      <c r="U367" s="18"/>
      <c r="V367" s="19" t="s">
        <v>29</v>
      </c>
      <c r="W367" s="19"/>
      <c r="X367" s="19"/>
      <c r="Y367" s="20"/>
      <c r="Z367" s="19"/>
      <c r="AA367" s="18" t="str">
        <f aca="false">IF(OR(V367="Aprobada"),R367,IF(AND(OR(V367="Aprobada con ajuste",V367="Rechazada"),W367&lt;&gt;""),W367,""))</f>
        <v/>
      </c>
    </row>
    <row r="368" customFormat="false" ht="22.35" hidden="false" customHeight="false" outlineLevel="0" collapsed="false">
      <c r="A368" s="18" t="s">
        <v>1735</v>
      </c>
      <c r="B368" s="18" t="s">
        <v>60</v>
      </c>
      <c r="C368" s="18" t="s">
        <v>61</v>
      </c>
      <c r="D368" s="18" t="s">
        <v>1720</v>
      </c>
      <c r="E368" s="18" t="n">
        <v>3</v>
      </c>
      <c r="F368" s="18" t="s">
        <v>1445</v>
      </c>
      <c r="G368" s="18" t="s">
        <v>116</v>
      </c>
      <c r="H368" s="18" t="s">
        <v>117</v>
      </c>
      <c r="I368" s="18"/>
      <c r="J368" s="18"/>
      <c r="K368" s="18"/>
      <c r="L368" s="18" t="s">
        <v>109</v>
      </c>
      <c r="M368" s="18" t="s">
        <v>109</v>
      </c>
      <c r="N368" s="18"/>
      <c r="O368" s="18"/>
      <c r="P368" s="18" t="s">
        <v>1736</v>
      </c>
      <c r="Q368" s="18" t="s">
        <v>110</v>
      </c>
      <c r="R368" s="18" t="s">
        <v>1447</v>
      </c>
      <c r="S368" s="18" t="s">
        <v>112</v>
      </c>
      <c r="T368" s="18" t="s">
        <v>113</v>
      </c>
      <c r="U368" s="18"/>
      <c r="V368" s="19" t="s">
        <v>29</v>
      </c>
      <c r="W368" s="19"/>
      <c r="X368" s="19"/>
      <c r="Y368" s="20"/>
      <c r="Z368" s="19"/>
      <c r="AA368" s="18" t="str">
        <f aca="false">IF(OR(V368="Aprobada"),R368,IF(AND(OR(V368="Aprobada con ajuste",V368="Rechazada"),W368&lt;&gt;""),W368,""))</f>
        <v/>
      </c>
    </row>
    <row r="369" customFormat="false" ht="43.25" hidden="false" customHeight="false" outlineLevel="0" collapsed="false">
      <c r="A369" s="18" t="s">
        <v>1737</v>
      </c>
      <c r="B369" s="18" t="s">
        <v>60</v>
      </c>
      <c r="C369" s="18" t="s">
        <v>61</v>
      </c>
      <c r="D369" s="18" t="s">
        <v>1738</v>
      </c>
      <c r="E369" s="18" t="n">
        <v>0</v>
      </c>
      <c r="F369" s="18" t="s">
        <v>1739</v>
      </c>
      <c r="G369" s="18" t="s">
        <v>184</v>
      </c>
      <c r="H369" s="18" t="s">
        <v>109</v>
      </c>
      <c r="I369" s="18"/>
      <c r="J369" s="18"/>
      <c r="K369" s="18"/>
      <c r="L369" s="18" t="s">
        <v>109</v>
      </c>
      <c r="M369" s="18" t="s">
        <v>109</v>
      </c>
      <c r="N369" s="18"/>
      <c r="O369" s="18" t="s">
        <v>1740</v>
      </c>
      <c r="P369" s="18" t="s">
        <v>1741</v>
      </c>
      <c r="Q369" s="18" t="s">
        <v>123</v>
      </c>
      <c r="R369" s="18" t="s">
        <v>1742</v>
      </c>
      <c r="S369" s="18" t="s">
        <v>125</v>
      </c>
      <c r="T369" s="18" t="s">
        <v>1743</v>
      </c>
      <c r="U369" s="18"/>
      <c r="V369" s="19" t="s">
        <v>29</v>
      </c>
      <c r="W369" s="19"/>
      <c r="X369" s="19"/>
      <c r="Y369" s="20"/>
      <c r="Z369" s="19"/>
      <c r="AA369" s="18" t="str">
        <f aca="false">IF(OR(V369="Aprobada"),R369,IF(AND(OR(V369="Aprobada con ajuste",V369="Rechazada"),W369&lt;&gt;""),W369,""))</f>
        <v/>
      </c>
    </row>
    <row r="370" customFormat="false" ht="53.7" hidden="false" customHeight="false" outlineLevel="0" collapsed="false">
      <c r="A370" s="18" t="s">
        <v>1744</v>
      </c>
      <c r="B370" s="18" t="s">
        <v>60</v>
      </c>
      <c r="C370" s="18" t="s">
        <v>61</v>
      </c>
      <c r="D370" s="18" t="s">
        <v>1738</v>
      </c>
      <c r="E370" s="18" t="n">
        <v>0</v>
      </c>
      <c r="F370" s="18" t="s">
        <v>1563</v>
      </c>
      <c r="G370" s="18" t="s">
        <v>116</v>
      </c>
      <c r="H370" s="18" t="s">
        <v>117</v>
      </c>
      <c r="I370" s="18"/>
      <c r="J370" s="18"/>
      <c r="K370" s="18"/>
      <c r="L370" s="18" t="s">
        <v>109</v>
      </c>
      <c r="M370" s="18" t="s">
        <v>109</v>
      </c>
      <c r="N370" s="18"/>
      <c r="O370" s="18"/>
      <c r="P370" s="18" t="s">
        <v>1745</v>
      </c>
      <c r="Q370" s="18" t="s">
        <v>123</v>
      </c>
      <c r="R370" s="18" t="s">
        <v>1746</v>
      </c>
      <c r="S370" s="18" t="s">
        <v>125</v>
      </c>
      <c r="T370" s="18" t="s">
        <v>1747</v>
      </c>
      <c r="U370" s="18"/>
      <c r="V370" s="19" t="s">
        <v>29</v>
      </c>
      <c r="W370" s="19"/>
      <c r="X370" s="19"/>
      <c r="Y370" s="20"/>
      <c r="Z370" s="19"/>
      <c r="AA370" s="18" t="str">
        <f aca="false">IF(OR(V370="Aprobada"),R370,IF(AND(OR(V370="Aprobada con ajuste",V370="Rechazada"),W370&lt;&gt;""),W370,""))</f>
        <v/>
      </c>
    </row>
    <row r="371" customFormat="false" ht="22.35" hidden="false" customHeight="false" outlineLevel="0" collapsed="false">
      <c r="A371" s="18" t="s">
        <v>1748</v>
      </c>
      <c r="B371" s="18" t="s">
        <v>60</v>
      </c>
      <c r="C371" s="18" t="s">
        <v>61</v>
      </c>
      <c r="D371" s="18" t="s">
        <v>1738</v>
      </c>
      <c r="E371" s="18" t="n">
        <v>0</v>
      </c>
      <c r="F371" s="18" t="s">
        <v>107</v>
      </c>
      <c r="G371" s="18" t="s">
        <v>151</v>
      </c>
      <c r="H371" s="18" t="s">
        <v>109</v>
      </c>
      <c r="I371" s="18" t="s">
        <v>140</v>
      </c>
      <c r="J371" s="18" t="s">
        <v>1749</v>
      </c>
      <c r="K371" s="18"/>
      <c r="L371" s="18" t="s">
        <v>117</v>
      </c>
      <c r="M371" s="18" t="s">
        <v>109</v>
      </c>
      <c r="N371" s="18"/>
      <c r="O371" s="18"/>
      <c r="P371" s="18" t="s">
        <v>1750</v>
      </c>
      <c r="Q371" s="18" t="s">
        <v>110</v>
      </c>
      <c r="R371" s="18" t="s">
        <v>1751</v>
      </c>
      <c r="S371" s="18" t="s">
        <v>112</v>
      </c>
      <c r="T371" s="18" t="s">
        <v>113</v>
      </c>
      <c r="U371" s="18"/>
      <c r="V371" s="19" t="s">
        <v>29</v>
      </c>
      <c r="W371" s="19"/>
      <c r="X371" s="19"/>
      <c r="Y371" s="20"/>
      <c r="Z371" s="19"/>
      <c r="AA371" s="18" t="str">
        <f aca="false">IF(OR(V371="Aprobada"),R371,IF(AND(OR(V371="Aprobada con ajuste",V371="Rechazada"),W371&lt;&gt;""),W371,""))</f>
        <v/>
      </c>
    </row>
    <row r="372" customFormat="false" ht="43.25" hidden="false" customHeight="false" outlineLevel="0" collapsed="false">
      <c r="A372" s="18" t="s">
        <v>1752</v>
      </c>
      <c r="B372" s="18" t="s">
        <v>60</v>
      </c>
      <c r="C372" s="18" t="s">
        <v>61</v>
      </c>
      <c r="D372" s="18" t="s">
        <v>1738</v>
      </c>
      <c r="E372" s="18" t="n">
        <v>0</v>
      </c>
      <c r="F372" s="18" t="s">
        <v>1753</v>
      </c>
      <c r="G372" s="18" t="s">
        <v>394</v>
      </c>
      <c r="H372" s="18" t="s">
        <v>117</v>
      </c>
      <c r="I372" s="18" t="s">
        <v>140</v>
      </c>
      <c r="J372" s="18"/>
      <c r="K372" s="18"/>
      <c r="L372" s="18" t="s">
        <v>109</v>
      </c>
      <c r="M372" s="18" t="s">
        <v>109</v>
      </c>
      <c r="N372" s="18"/>
      <c r="O372" s="18"/>
      <c r="P372" s="18" t="s">
        <v>1754</v>
      </c>
      <c r="Q372" s="18" t="s">
        <v>123</v>
      </c>
      <c r="R372" s="18" t="s">
        <v>1755</v>
      </c>
      <c r="S372" s="18" t="s">
        <v>112</v>
      </c>
      <c r="T372" s="18" t="s">
        <v>1756</v>
      </c>
      <c r="U372" s="18" t="s">
        <v>1757</v>
      </c>
      <c r="V372" s="19" t="s">
        <v>29</v>
      </c>
      <c r="W372" s="19"/>
      <c r="X372" s="19"/>
      <c r="Y372" s="20"/>
      <c r="Z372" s="19"/>
      <c r="AA372" s="18" t="str">
        <f aca="false">IF(OR(V372="Aprobada"),R372,IF(AND(OR(V372="Aprobada con ajuste",V372="Rechazada"),W372&lt;&gt;""),W372,""))</f>
        <v/>
      </c>
    </row>
    <row r="373" customFormat="false" ht="85.05" hidden="false" customHeight="false" outlineLevel="0" collapsed="false">
      <c r="A373" s="18" t="s">
        <v>1758</v>
      </c>
      <c r="B373" s="18" t="s">
        <v>60</v>
      </c>
      <c r="C373" s="18" t="s">
        <v>61</v>
      </c>
      <c r="D373" s="18" t="s">
        <v>1738</v>
      </c>
      <c r="E373" s="18" t="n">
        <v>0</v>
      </c>
      <c r="F373" s="18" t="s">
        <v>1010</v>
      </c>
      <c r="G373" s="18" t="s">
        <v>116</v>
      </c>
      <c r="H373" s="18" t="s">
        <v>117</v>
      </c>
      <c r="I373" s="18" t="s">
        <v>140</v>
      </c>
      <c r="J373" s="18"/>
      <c r="K373" s="18"/>
      <c r="L373" s="18" t="s">
        <v>109</v>
      </c>
      <c r="M373" s="18" t="s">
        <v>109</v>
      </c>
      <c r="N373" s="18"/>
      <c r="O373" s="18"/>
      <c r="P373" s="18" t="s">
        <v>1759</v>
      </c>
      <c r="Q373" s="18" t="s">
        <v>123</v>
      </c>
      <c r="R373" s="18" t="s">
        <v>1760</v>
      </c>
      <c r="S373" s="18" t="s">
        <v>125</v>
      </c>
      <c r="T373" s="18" t="s">
        <v>1761</v>
      </c>
      <c r="U373" s="18"/>
      <c r="V373" s="19" t="s">
        <v>29</v>
      </c>
      <c r="W373" s="19"/>
      <c r="X373" s="19"/>
      <c r="Y373" s="20"/>
      <c r="Z373" s="19"/>
      <c r="AA373" s="18" t="str">
        <f aca="false">IF(OR(V373="Aprobada"),R373,IF(AND(OR(V373="Aprobada con ajuste",V373="Rechazada"),W373&lt;&gt;""),W373,""))</f>
        <v/>
      </c>
    </row>
    <row r="374" customFormat="false" ht="116.4" hidden="false" customHeight="false" outlineLevel="0" collapsed="false">
      <c r="A374" s="18" t="s">
        <v>1762</v>
      </c>
      <c r="B374" s="18" t="s">
        <v>60</v>
      </c>
      <c r="C374" s="18" t="s">
        <v>61</v>
      </c>
      <c r="D374" s="18" t="s">
        <v>1738</v>
      </c>
      <c r="E374" s="18" t="n">
        <v>0</v>
      </c>
      <c r="F374" s="18" t="s">
        <v>312</v>
      </c>
      <c r="G374" s="18" t="s">
        <v>116</v>
      </c>
      <c r="H374" s="18" t="s">
        <v>117</v>
      </c>
      <c r="I374" s="18" t="s">
        <v>140</v>
      </c>
      <c r="J374" s="18"/>
      <c r="K374" s="18"/>
      <c r="L374" s="18" t="s">
        <v>109</v>
      </c>
      <c r="M374" s="18" t="s">
        <v>109</v>
      </c>
      <c r="N374" s="18"/>
      <c r="O374" s="18"/>
      <c r="P374" s="18" t="s">
        <v>1763</v>
      </c>
      <c r="Q374" s="18" t="s">
        <v>123</v>
      </c>
      <c r="R374" s="18" t="s">
        <v>1764</v>
      </c>
      <c r="S374" s="18" t="s">
        <v>125</v>
      </c>
      <c r="T374" s="18" t="s">
        <v>1765</v>
      </c>
      <c r="U374" s="18"/>
      <c r="V374" s="19" t="s">
        <v>29</v>
      </c>
      <c r="W374" s="19"/>
      <c r="X374" s="19"/>
      <c r="Y374" s="20"/>
      <c r="Z374" s="19"/>
      <c r="AA374" s="18" t="str">
        <f aca="false">IF(OR(V374="Aprobada"),R374,IF(AND(OR(V374="Aprobada con ajuste",V374="Rechazada"),W374&lt;&gt;""),W374,""))</f>
        <v/>
      </c>
    </row>
    <row r="375" customFormat="false" ht="22.35" hidden="false" customHeight="false" outlineLevel="0" collapsed="false">
      <c r="A375" s="18" t="s">
        <v>1766</v>
      </c>
      <c r="B375" s="18" t="s">
        <v>60</v>
      </c>
      <c r="C375" s="18" t="s">
        <v>61</v>
      </c>
      <c r="D375" s="18" t="s">
        <v>1738</v>
      </c>
      <c r="E375" s="18" t="n">
        <v>0</v>
      </c>
      <c r="F375" s="18" t="s">
        <v>1767</v>
      </c>
      <c r="G375" s="18" t="s">
        <v>459</v>
      </c>
      <c r="H375" s="18" t="s">
        <v>117</v>
      </c>
      <c r="I375" s="18"/>
      <c r="J375" s="18"/>
      <c r="K375" s="18"/>
      <c r="L375" s="18" t="s">
        <v>109</v>
      </c>
      <c r="M375" s="18" t="s">
        <v>109</v>
      </c>
      <c r="N375" s="18"/>
      <c r="O375" s="18"/>
      <c r="P375" s="18" t="s">
        <v>1768</v>
      </c>
      <c r="Q375" s="18" t="s">
        <v>134</v>
      </c>
      <c r="R375" s="18" t="s">
        <v>1769</v>
      </c>
      <c r="S375" s="18" t="s">
        <v>112</v>
      </c>
      <c r="T375" s="18" t="s">
        <v>1531</v>
      </c>
      <c r="U375" s="18" t="s">
        <v>1532</v>
      </c>
      <c r="V375" s="19" t="s">
        <v>29</v>
      </c>
      <c r="W375" s="19"/>
      <c r="X375" s="19"/>
      <c r="Y375" s="20"/>
      <c r="Z375" s="19"/>
      <c r="AA375" s="18" t="str">
        <f aca="false">IF(OR(V375="Aprobada"),R375,IF(AND(OR(V375="Aprobada con ajuste",V375="Rechazada"),W375&lt;&gt;""),W375,""))</f>
        <v/>
      </c>
    </row>
    <row r="376" customFormat="false" ht="22.35" hidden="false" customHeight="false" outlineLevel="0" collapsed="false">
      <c r="A376" s="18" t="s">
        <v>1770</v>
      </c>
      <c r="B376" s="18" t="s">
        <v>60</v>
      </c>
      <c r="C376" s="18" t="s">
        <v>61</v>
      </c>
      <c r="D376" s="18" t="s">
        <v>1738</v>
      </c>
      <c r="E376" s="18" t="n">
        <v>0</v>
      </c>
      <c r="F376" s="18" t="s">
        <v>1620</v>
      </c>
      <c r="G376" s="18" t="s">
        <v>459</v>
      </c>
      <c r="H376" s="18" t="s">
        <v>117</v>
      </c>
      <c r="I376" s="18"/>
      <c r="J376" s="18"/>
      <c r="K376" s="18"/>
      <c r="L376" s="18" t="s">
        <v>109</v>
      </c>
      <c r="M376" s="18" t="s">
        <v>109</v>
      </c>
      <c r="N376" s="18"/>
      <c r="O376" s="18"/>
      <c r="P376" s="18" t="s">
        <v>1771</v>
      </c>
      <c r="Q376" s="18" t="s">
        <v>110</v>
      </c>
      <c r="R376" s="18" t="s">
        <v>1381</v>
      </c>
      <c r="S376" s="18" t="s">
        <v>112</v>
      </c>
      <c r="T376" s="18" t="s">
        <v>113</v>
      </c>
      <c r="U376" s="18"/>
      <c r="V376" s="19" t="s">
        <v>29</v>
      </c>
      <c r="W376" s="19"/>
      <c r="X376" s="19"/>
      <c r="Y376" s="20"/>
      <c r="Z376" s="19"/>
      <c r="AA376" s="18" t="str">
        <f aca="false">IF(OR(V376="Aprobada"),R376,IF(AND(OR(V376="Aprobada con ajuste",V376="Rechazada"),W376&lt;&gt;""),W376,""))</f>
        <v/>
      </c>
    </row>
    <row r="377" customFormat="false" ht="22.35" hidden="false" customHeight="false" outlineLevel="0" collapsed="false">
      <c r="A377" s="18" t="s">
        <v>1772</v>
      </c>
      <c r="B377" s="18" t="s">
        <v>60</v>
      </c>
      <c r="C377" s="18" t="s">
        <v>61</v>
      </c>
      <c r="D377" s="18" t="s">
        <v>1773</v>
      </c>
      <c r="E377" s="18" t="n">
        <v>0</v>
      </c>
      <c r="F377" s="18" t="s">
        <v>857</v>
      </c>
      <c r="G377" s="18" t="s">
        <v>145</v>
      </c>
      <c r="H377" s="18" t="s">
        <v>109</v>
      </c>
      <c r="I377" s="18"/>
      <c r="J377" s="18"/>
      <c r="K377" s="18"/>
      <c r="L377" s="18" t="s">
        <v>109</v>
      </c>
      <c r="M377" s="18" t="s">
        <v>109</v>
      </c>
      <c r="N377" s="18"/>
      <c r="O377" s="18"/>
      <c r="P377" s="18"/>
      <c r="Q377" s="18" t="s">
        <v>110</v>
      </c>
      <c r="R377" s="18" t="s">
        <v>859</v>
      </c>
      <c r="S377" s="18" t="s">
        <v>112</v>
      </c>
      <c r="T377" s="18" t="s">
        <v>113</v>
      </c>
      <c r="U377" s="18"/>
      <c r="V377" s="19" t="s">
        <v>29</v>
      </c>
      <c r="W377" s="19"/>
      <c r="X377" s="19"/>
      <c r="Y377" s="20"/>
      <c r="Z377" s="19"/>
      <c r="AA377" s="18" t="str">
        <f aca="false">IF(OR(V377="Aprobada"),R377,IF(AND(OR(V377="Aprobada con ajuste",V377="Rechazada"),W377&lt;&gt;""),W377,""))</f>
        <v/>
      </c>
    </row>
    <row r="378" customFormat="false" ht="43.25" hidden="false" customHeight="false" outlineLevel="0" collapsed="false">
      <c r="A378" s="18" t="s">
        <v>1774</v>
      </c>
      <c r="B378" s="18" t="s">
        <v>60</v>
      </c>
      <c r="C378" s="18" t="s">
        <v>61</v>
      </c>
      <c r="D378" s="18" t="s">
        <v>1773</v>
      </c>
      <c r="E378" s="18" t="n">
        <v>0</v>
      </c>
      <c r="F378" s="18" t="s">
        <v>1775</v>
      </c>
      <c r="G378" s="18" t="s">
        <v>212</v>
      </c>
      <c r="H378" s="18" t="s">
        <v>109</v>
      </c>
      <c r="I378" s="18"/>
      <c r="J378" s="18"/>
      <c r="K378" s="18"/>
      <c r="L378" s="18" t="s">
        <v>109</v>
      </c>
      <c r="M378" s="18" t="s">
        <v>109</v>
      </c>
      <c r="N378" s="18"/>
      <c r="O378" s="18"/>
      <c r="P378" s="18" t="s">
        <v>1776</v>
      </c>
      <c r="Q378" s="18" t="s">
        <v>123</v>
      </c>
      <c r="R378" s="18" t="s">
        <v>1777</v>
      </c>
      <c r="S378" s="18" t="s">
        <v>125</v>
      </c>
      <c r="T378" s="18" t="s">
        <v>1778</v>
      </c>
      <c r="U378" s="18"/>
      <c r="V378" s="19" t="s">
        <v>29</v>
      </c>
      <c r="W378" s="19"/>
      <c r="X378" s="19"/>
      <c r="Y378" s="20"/>
      <c r="Z378" s="19"/>
      <c r="AA378" s="18" t="str">
        <f aca="false">IF(OR(V378="Aprobada"),R378,IF(AND(OR(V378="Aprobada con ajuste",V378="Rechazada"),W378&lt;&gt;""),W378,""))</f>
        <v/>
      </c>
    </row>
    <row r="379" customFormat="false" ht="32.8" hidden="false" customHeight="false" outlineLevel="0" collapsed="false">
      <c r="A379" s="18" t="s">
        <v>1779</v>
      </c>
      <c r="B379" s="18" t="s">
        <v>60</v>
      </c>
      <c r="C379" s="18" t="s">
        <v>61</v>
      </c>
      <c r="D379" s="18" t="s">
        <v>1773</v>
      </c>
      <c r="E379" s="18" t="n">
        <v>0</v>
      </c>
      <c r="F379" s="18" t="s">
        <v>799</v>
      </c>
      <c r="G379" s="18" t="s">
        <v>212</v>
      </c>
      <c r="H379" s="18" t="s">
        <v>109</v>
      </c>
      <c r="I379" s="18"/>
      <c r="J379" s="18"/>
      <c r="K379" s="18"/>
      <c r="L379" s="18" t="s">
        <v>109</v>
      </c>
      <c r="M379" s="18" t="s">
        <v>109</v>
      </c>
      <c r="N379" s="18"/>
      <c r="O379" s="18"/>
      <c r="P379" s="18" t="s">
        <v>1780</v>
      </c>
      <c r="Q379" s="18" t="s">
        <v>123</v>
      </c>
      <c r="R379" s="18" t="s">
        <v>1781</v>
      </c>
      <c r="S379" s="18" t="s">
        <v>112</v>
      </c>
      <c r="T379" s="18" t="s">
        <v>1782</v>
      </c>
      <c r="U379" s="18" t="s">
        <v>1783</v>
      </c>
      <c r="V379" s="19" t="s">
        <v>29</v>
      </c>
      <c r="W379" s="19"/>
      <c r="X379" s="19"/>
      <c r="Y379" s="20"/>
      <c r="Z379" s="19"/>
      <c r="AA379" s="18" t="str">
        <f aca="false">IF(OR(V379="Aprobada"),R379,IF(AND(OR(V379="Aprobada con ajuste",V379="Rechazada"),W379&lt;&gt;""),W379,""))</f>
        <v/>
      </c>
    </row>
    <row r="380" customFormat="false" ht="22.35" hidden="false" customHeight="false" outlineLevel="0" collapsed="false">
      <c r="A380" s="18" t="s">
        <v>1784</v>
      </c>
      <c r="B380" s="18" t="s">
        <v>60</v>
      </c>
      <c r="C380" s="18" t="s">
        <v>61</v>
      </c>
      <c r="D380" s="18" t="s">
        <v>1785</v>
      </c>
      <c r="E380" s="18" t="n">
        <v>156</v>
      </c>
      <c r="F380" s="18" t="s">
        <v>1786</v>
      </c>
      <c r="G380" s="18" t="s">
        <v>184</v>
      </c>
      <c r="H380" s="18" t="s">
        <v>109</v>
      </c>
      <c r="I380" s="18"/>
      <c r="J380" s="18"/>
      <c r="K380" s="18"/>
      <c r="L380" s="18" t="s">
        <v>109</v>
      </c>
      <c r="M380" s="18" t="s">
        <v>109</v>
      </c>
      <c r="N380" s="18"/>
      <c r="O380" s="18"/>
      <c r="P380" s="18"/>
      <c r="Q380" s="18" t="s">
        <v>134</v>
      </c>
      <c r="R380" s="18" t="s">
        <v>1787</v>
      </c>
      <c r="S380" s="18" t="s">
        <v>125</v>
      </c>
      <c r="T380" s="18" t="s">
        <v>1788</v>
      </c>
      <c r="U380" s="18"/>
      <c r="V380" s="19" t="s">
        <v>29</v>
      </c>
      <c r="W380" s="19"/>
      <c r="X380" s="19"/>
      <c r="Y380" s="20"/>
      <c r="Z380" s="19"/>
      <c r="AA380" s="18" t="str">
        <f aca="false">IF(OR(V380="Aprobada"),R380,IF(AND(OR(V380="Aprobada con ajuste",V380="Rechazada"),W380&lt;&gt;""),W380,""))</f>
        <v/>
      </c>
    </row>
    <row r="381" customFormat="false" ht="32.8" hidden="false" customHeight="false" outlineLevel="0" collapsed="false">
      <c r="A381" s="18" t="s">
        <v>1789</v>
      </c>
      <c r="B381" s="18" t="s">
        <v>60</v>
      </c>
      <c r="C381" s="18" t="s">
        <v>61</v>
      </c>
      <c r="D381" s="18" t="s">
        <v>1790</v>
      </c>
      <c r="E381" s="18" t="n">
        <v>13</v>
      </c>
      <c r="F381" s="18" t="s">
        <v>1791</v>
      </c>
      <c r="G381" s="18" t="s">
        <v>151</v>
      </c>
      <c r="H381" s="18" t="s">
        <v>109</v>
      </c>
      <c r="I381" s="18"/>
      <c r="J381" s="18"/>
      <c r="K381" s="18"/>
      <c r="L381" s="18" t="s">
        <v>109</v>
      </c>
      <c r="M381" s="18" t="s">
        <v>109</v>
      </c>
      <c r="N381" s="18"/>
      <c r="O381" s="18" t="s">
        <v>1792</v>
      </c>
      <c r="P381" s="18" t="s">
        <v>1793</v>
      </c>
      <c r="Q381" s="18" t="s">
        <v>134</v>
      </c>
      <c r="R381" s="18" t="s">
        <v>1794</v>
      </c>
      <c r="S381" s="18" t="s">
        <v>125</v>
      </c>
      <c r="T381" s="18" t="s">
        <v>1795</v>
      </c>
      <c r="U381" s="18"/>
      <c r="V381" s="19" t="s">
        <v>29</v>
      </c>
      <c r="W381" s="19"/>
      <c r="X381" s="19"/>
      <c r="Y381" s="20"/>
      <c r="Z381" s="19"/>
      <c r="AA381" s="18" t="str">
        <f aca="false">IF(OR(V381="Aprobada"),R381,IF(AND(OR(V381="Aprobada con ajuste",V381="Rechazada"),W381&lt;&gt;""),W381,""))</f>
        <v/>
      </c>
    </row>
    <row r="382" customFormat="false" ht="43.25" hidden="false" customHeight="false" outlineLevel="0" collapsed="false">
      <c r="A382" s="18" t="s">
        <v>1796</v>
      </c>
      <c r="B382" s="18" t="s">
        <v>60</v>
      </c>
      <c r="C382" s="18" t="s">
        <v>61</v>
      </c>
      <c r="D382" s="18" t="s">
        <v>1790</v>
      </c>
      <c r="E382" s="18" t="n">
        <v>13</v>
      </c>
      <c r="F382" s="18" t="s">
        <v>408</v>
      </c>
      <c r="G382" s="18" t="s">
        <v>436</v>
      </c>
      <c r="H382" s="18" t="s">
        <v>109</v>
      </c>
      <c r="I382" s="18"/>
      <c r="J382" s="18"/>
      <c r="K382" s="18"/>
      <c r="L382" s="18" t="s">
        <v>109</v>
      </c>
      <c r="M382" s="18" t="s">
        <v>109</v>
      </c>
      <c r="N382" s="18"/>
      <c r="O382" s="18" t="s">
        <v>1797</v>
      </c>
      <c r="P382" s="18" t="s">
        <v>1798</v>
      </c>
      <c r="Q382" s="18" t="s">
        <v>110</v>
      </c>
      <c r="R382" s="18" t="s">
        <v>1799</v>
      </c>
      <c r="S382" s="18" t="s">
        <v>112</v>
      </c>
      <c r="T382" s="18" t="s">
        <v>113</v>
      </c>
      <c r="U382" s="18"/>
      <c r="V382" s="19" t="s">
        <v>29</v>
      </c>
      <c r="W382" s="19"/>
      <c r="X382" s="19"/>
      <c r="Y382" s="20"/>
      <c r="Z382" s="19"/>
      <c r="AA382" s="18" t="str">
        <f aca="false">IF(OR(V382="Aprobada"),R382,IF(AND(OR(V382="Aprobada con ajuste",V382="Rechazada"),W382&lt;&gt;""),W382,""))</f>
        <v/>
      </c>
    </row>
    <row r="383" customFormat="false" ht="32.8" hidden="false" customHeight="false" outlineLevel="0" collapsed="false">
      <c r="A383" s="18" t="s">
        <v>1800</v>
      </c>
      <c r="B383" s="18" t="s">
        <v>60</v>
      </c>
      <c r="C383" s="18" t="s">
        <v>61</v>
      </c>
      <c r="D383" s="18" t="s">
        <v>1790</v>
      </c>
      <c r="E383" s="18" t="n">
        <v>13</v>
      </c>
      <c r="F383" s="18" t="s">
        <v>1801</v>
      </c>
      <c r="G383" s="18" t="s">
        <v>1802</v>
      </c>
      <c r="H383" s="18" t="s">
        <v>109</v>
      </c>
      <c r="I383" s="18"/>
      <c r="J383" s="18"/>
      <c r="K383" s="18"/>
      <c r="L383" s="18" t="s">
        <v>109</v>
      </c>
      <c r="M383" s="18" t="s">
        <v>109</v>
      </c>
      <c r="N383" s="18"/>
      <c r="O383" s="18"/>
      <c r="P383" s="18" t="s">
        <v>1803</v>
      </c>
      <c r="Q383" s="18" t="s">
        <v>134</v>
      </c>
      <c r="R383" s="18" t="s">
        <v>1804</v>
      </c>
      <c r="S383" s="18" t="s">
        <v>125</v>
      </c>
      <c r="T383" s="18" t="s">
        <v>1805</v>
      </c>
      <c r="U383" s="18"/>
      <c r="V383" s="19" t="s">
        <v>29</v>
      </c>
      <c r="W383" s="19"/>
      <c r="X383" s="19"/>
      <c r="Y383" s="20"/>
      <c r="Z383" s="19"/>
      <c r="AA383" s="18" t="str">
        <f aca="false">IF(OR(V383="Aprobada"),R383,IF(AND(OR(V383="Aprobada con ajuste",V383="Rechazada"),W383&lt;&gt;""),W383,""))</f>
        <v/>
      </c>
    </row>
    <row r="384" customFormat="false" ht="32.8" hidden="false" customHeight="false" outlineLevel="0" collapsed="false">
      <c r="A384" s="18" t="s">
        <v>1806</v>
      </c>
      <c r="B384" s="18" t="s">
        <v>60</v>
      </c>
      <c r="C384" s="18" t="s">
        <v>61</v>
      </c>
      <c r="D384" s="18" t="s">
        <v>1790</v>
      </c>
      <c r="E384" s="18" t="n">
        <v>13</v>
      </c>
      <c r="F384" s="18" t="s">
        <v>1807</v>
      </c>
      <c r="G384" s="18" t="s">
        <v>116</v>
      </c>
      <c r="H384" s="18" t="s">
        <v>117</v>
      </c>
      <c r="I384" s="18"/>
      <c r="J384" s="18"/>
      <c r="K384" s="18"/>
      <c r="L384" s="18" t="s">
        <v>109</v>
      </c>
      <c r="M384" s="18" t="s">
        <v>109</v>
      </c>
      <c r="N384" s="18"/>
      <c r="O384" s="18"/>
      <c r="P384" s="18" t="s">
        <v>1808</v>
      </c>
      <c r="Q384" s="18" t="s">
        <v>134</v>
      </c>
      <c r="R384" s="18" t="s">
        <v>1809</v>
      </c>
      <c r="S384" s="18" t="s">
        <v>125</v>
      </c>
      <c r="T384" s="18" t="s">
        <v>1673</v>
      </c>
      <c r="U384" s="18"/>
      <c r="V384" s="19" t="s">
        <v>29</v>
      </c>
      <c r="W384" s="19"/>
      <c r="X384" s="19"/>
      <c r="Y384" s="20"/>
      <c r="Z384" s="19"/>
      <c r="AA384" s="18" t="str">
        <f aca="false">IF(OR(V384="Aprobada"),R384,IF(AND(OR(V384="Aprobada con ajuste",V384="Rechazada"),W384&lt;&gt;""),W384,""))</f>
        <v/>
      </c>
    </row>
    <row r="385" customFormat="false" ht="179.1" hidden="false" customHeight="false" outlineLevel="0" collapsed="false">
      <c r="A385" s="18" t="s">
        <v>1810</v>
      </c>
      <c r="B385" s="18" t="s">
        <v>60</v>
      </c>
      <c r="C385" s="18" t="s">
        <v>61</v>
      </c>
      <c r="D385" s="18" t="s">
        <v>1790</v>
      </c>
      <c r="E385" s="18" t="n">
        <v>13</v>
      </c>
      <c r="F385" s="18" t="s">
        <v>150</v>
      </c>
      <c r="G385" s="18" t="s">
        <v>108</v>
      </c>
      <c r="H385" s="18" t="s">
        <v>109</v>
      </c>
      <c r="I385" s="18" t="s">
        <v>140</v>
      </c>
      <c r="J385" s="18" t="s">
        <v>1811</v>
      </c>
      <c r="K385" s="18"/>
      <c r="L385" s="18" t="s">
        <v>117</v>
      </c>
      <c r="M385" s="18" t="s">
        <v>109</v>
      </c>
      <c r="N385" s="18"/>
      <c r="O385" s="18"/>
      <c r="P385" s="18" t="s">
        <v>1812</v>
      </c>
      <c r="Q385" s="18" t="s">
        <v>110</v>
      </c>
      <c r="R385" s="18" t="s">
        <v>1813</v>
      </c>
      <c r="S385" s="18" t="s">
        <v>112</v>
      </c>
      <c r="T385" s="18" t="s">
        <v>113</v>
      </c>
      <c r="U385" s="18"/>
      <c r="V385" s="19" t="s">
        <v>29</v>
      </c>
      <c r="W385" s="19"/>
      <c r="X385" s="19"/>
      <c r="Y385" s="20"/>
      <c r="Z385" s="19"/>
      <c r="AA385" s="18" t="str">
        <f aca="false">IF(OR(V385="Aprobada"),R385,IF(AND(OR(V385="Aprobada con ajuste",V385="Rechazada"),W385&lt;&gt;""),W385,""))</f>
        <v/>
      </c>
    </row>
    <row r="386" customFormat="false" ht="32.8" hidden="false" customHeight="false" outlineLevel="0" collapsed="false">
      <c r="A386" s="18" t="s">
        <v>1814</v>
      </c>
      <c r="B386" s="18" t="s">
        <v>60</v>
      </c>
      <c r="C386" s="18" t="s">
        <v>61</v>
      </c>
      <c r="D386" s="18" t="s">
        <v>1790</v>
      </c>
      <c r="E386" s="18" t="n">
        <v>13</v>
      </c>
      <c r="F386" s="18" t="s">
        <v>1815</v>
      </c>
      <c r="G386" s="18" t="s">
        <v>145</v>
      </c>
      <c r="H386" s="18" t="s">
        <v>109</v>
      </c>
      <c r="I386" s="18"/>
      <c r="J386" s="18"/>
      <c r="K386" s="18"/>
      <c r="L386" s="18" t="s">
        <v>109</v>
      </c>
      <c r="M386" s="18" t="s">
        <v>109</v>
      </c>
      <c r="N386" s="18"/>
      <c r="O386" s="18"/>
      <c r="P386" s="18" t="s">
        <v>1816</v>
      </c>
      <c r="Q386" s="18" t="s">
        <v>110</v>
      </c>
      <c r="R386" s="18" t="s">
        <v>1817</v>
      </c>
      <c r="S386" s="18" t="s">
        <v>112</v>
      </c>
      <c r="T386" s="18" t="s">
        <v>113</v>
      </c>
      <c r="U386" s="18"/>
      <c r="V386" s="19" t="s">
        <v>29</v>
      </c>
      <c r="W386" s="19"/>
      <c r="X386" s="19"/>
      <c r="Y386" s="20"/>
      <c r="Z386" s="19"/>
      <c r="AA386" s="18" t="str">
        <f aca="false">IF(OR(V386="Aprobada"),R386,IF(AND(OR(V386="Aprobada con ajuste",V386="Rechazada"),W386&lt;&gt;""),W386,""))</f>
        <v/>
      </c>
    </row>
    <row r="387" customFormat="false" ht="32.8" hidden="false" customHeight="false" outlineLevel="0" collapsed="false">
      <c r="A387" s="18" t="s">
        <v>1818</v>
      </c>
      <c r="B387" s="18" t="s">
        <v>60</v>
      </c>
      <c r="C387" s="18" t="s">
        <v>61</v>
      </c>
      <c r="D387" s="18" t="s">
        <v>1790</v>
      </c>
      <c r="E387" s="18" t="n">
        <v>13</v>
      </c>
      <c r="F387" s="18" t="s">
        <v>376</v>
      </c>
      <c r="G387" s="18" t="s">
        <v>121</v>
      </c>
      <c r="H387" s="18" t="s">
        <v>117</v>
      </c>
      <c r="I387" s="18"/>
      <c r="J387" s="18"/>
      <c r="K387" s="18"/>
      <c r="L387" s="18" t="s">
        <v>109</v>
      </c>
      <c r="M387" s="18" t="s">
        <v>109</v>
      </c>
      <c r="N387" s="18"/>
      <c r="O387" s="18"/>
      <c r="P387" s="18" t="s">
        <v>1819</v>
      </c>
      <c r="Q387" s="18" t="s">
        <v>134</v>
      </c>
      <c r="R387" s="18" t="s">
        <v>1820</v>
      </c>
      <c r="S387" s="18" t="s">
        <v>125</v>
      </c>
      <c r="T387" s="18" t="s">
        <v>1821</v>
      </c>
      <c r="U387" s="18"/>
      <c r="V387" s="19" t="s">
        <v>29</v>
      </c>
      <c r="W387" s="19"/>
      <c r="X387" s="19"/>
      <c r="Y387" s="20"/>
      <c r="Z387" s="19"/>
      <c r="AA387" s="18" t="str">
        <f aca="false">IF(OR(V387="Aprobada"),R387,IF(AND(OR(V387="Aprobada con ajuste",V387="Rechazada"),W387&lt;&gt;""),W387,""))</f>
        <v/>
      </c>
    </row>
    <row r="388" customFormat="false" ht="32.8" hidden="false" customHeight="false" outlineLevel="0" collapsed="false">
      <c r="A388" s="18" t="s">
        <v>1822</v>
      </c>
      <c r="B388" s="18" t="s">
        <v>60</v>
      </c>
      <c r="C388" s="18" t="s">
        <v>61</v>
      </c>
      <c r="D388" s="18" t="s">
        <v>1790</v>
      </c>
      <c r="E388" s="18" t="n">
        <v>13</v>
      </c>
      <c r="F388" s="18" t="s">
        <v>1030</v>
      </c>
      <c r="G388" s="18" t="s">
        <v>139</v>
      </c>
      <c r="H388" s="18" t="s">
        <v>109</v>
      </c>
      <c r="I388" s="18"/>
      <c r="J388" s="18"/>
      <c r="K388" s="18"/>
      <c r="L388" s="18" t="s">
        <v>109</v>
      </c>
      <c r="M388" s="18" t="s">
        <v>109</v>
      </c>
      <c r="N388" s="18"/>
      <c r="O388" s="18" t="s">
        <v>1823</v>
      </c>
      <c r="P388" s="18" t="s">
        <v>1824</v>
      </c>
      <c r="Q388" s="18" t="s">
        <v>110</v>
      </c>
      <c r="R388" s="18" t="s">
        <v>1031</v>
      </c>
      <c r="S388" s="18" t="s">
        <v>112</v>
      </c>
      <c r="T388" s="18" t="s">
        <v>113</v>
      </c>
      <c r="U388" s="18"/>
      <c r="V388" s="19" t="s">
        <v>29</v>
      </c>
      <c r="W388" s="19"/>
      <c r="X388" s="19"/>
      <c r="Y388" s="20"/>
      <c r="Z388" s="19"/>
      <c r="AA388" s="18" t="str">
        <f aca="false">IF(OR(V388="Aprobada"),R388,IF(AND(OR(V388="Aprobada con ajuste",V388="Rechazada"),W388&lt;&gt;""),W388,""))</f>
        <v/>
      </c>
    </row>
    <row r="389" customFormat="false" ht="22.35" hidden="false" customHeight="false" outlineLevel="0" collapsed="false">
      <c r="A389" s="18" t="s">
        <v>1825</v>
      </c>
      <c r="B389" s="18" t="s">
        <v>60</v>
      </c>
      <c r="C389" s="18" t="s">
        <v>61</v>
      </c>
      <c r="D389" s="18" t="s">
        <v>1790</v>
      </c>
      <c r="E389" s="18" t="n">
        <v>13</v>
      </c>
      <c r="F389" s="18" t="s">
        <v>1826</v>
      </c>
      <c r="G389" s="18" t="s">
        <v>212</v>
      </c>
      <c r="H389" s="18" t="s">
        <v>117</v>
      </c>
      <c r="I389" s="18" t="s">
        <v>140</v>
      </c>
      <c r="J389" s="18"/>
      <c r="K389" s="18"/>
      <c r="L389" s="18" t="s">
        <v>109</v>
      </c>
      <c r="M389" s="18" t="s">
        <v>109</v>
      </c>
      <c r="N389" s="18"/>
      <c r="O389" s="18"/>
      <c r="P389" s="18" t="s">
        <v>1827</v>
      </c>
      <c r="Q389" s="18" t="s">
        <v>123</v>
      </c>
      <c r="R389" s="18" t="s">
        <v>1828</v>
      </c>
      <c r="S389" s="18" t="s">
        <v>112</v>
      </c>
      <c r="T389" s="18" t="s">
        <v>1829</v>
      </c>
      <c r="U389" s="18" t="s">
        <v>1830</v>
      </c>
      <c r="V389" s="19" t="s">
        <v>29</v>
      </c>
      <c r="W389" s="19"/>
      <c r="X389" s="19"/>
      <c r="Y389" s="20"/>
      <c r="Z389" s="19"/>
      <c r="AA389" s="18" t="str">
        <f aca="false">IF(OR(V389="Aprobada"),R389,IF(AND(OR(V389="Aprobada con ajuste",V389="Rechazada"),W389&lt;&gt;""),W389,""))</f>
        <v/>
      </c>
    </row>
    <row r="390" customFormat="false" ht="32.8" hidden="false" customHeight="false" outlineLevel="0" collapsed="false">
      <c r="A390" s="18" t="s">
        <v>1831</v>
      </c>
      <c r="B390" s="18" t="s">
        <v>60</v>
      </c>
      <c r="C390" s="18" t="s">
        <v>61</v>
      </c>
      <c r="D390" s="18" t="s">
        <v>1790</v>
      </c>
      <c r="E390" s="18" t="n">
        <v>13</v>
      </c>
      <c r="F390" s="18" t="s">
        <v>857</v>
      </c>
      <c r="G390" s="18" t="s">
        <v>145</v>
      </c>
      <c r="H390" s="18" t="s">
        <v>109</v>
      </c>
      <c r="I390" s="18"/>
      <c r="J390" s="18"/>
      <c r="K390" s="18"/>
      <c r="L390" s="18" t="s">
        <v>109</v>
      </c>
      <c r="M390" s="18" t="s">
        <v>109</v>
      </c>
      <c r="N390" s="18"/>
      <c r="O390" s="18"/>
      <c r="P390" s="18" t="s">
        <v>1832</v>
      </c>
      <c r="Q390" s="18" t="s">
        <v>110</v>
      </c>
      <c r="R390" s="18" t="s">
        <v>859</v>
      </c>
      <c r="S390" s="18" t="s">
        <v>112</v>
      </c>
      <c r="T390" s="18" t="s">
        <v>113</v>
      </c>
      <c r="U390" s="18"/>
      <c r="V390" s="19" t="s">
        <v>29</v>
      </c>
      <c r="W390" s="19"/>
      <c r="X390" s="19"/>
      <c r="Y390" s="20"/>
      <c r="Z390" s="19"/>
      <c r="AA390" s="18" t="str">
        <f aca="false">IF(OR(V390="Aprobada"),R390,IF(AND(OR(V390="Aprobada con ajuste",V390="Rechazada"),W390&lt;&gt;""),W390,""))</f>
        <v/>
      </c>
    </row>
    <row r="391" customFormat="false" ht="53.7" hidden="false" customHeight="false" outlineLevel="0" collapsed="false">
      <c r="A391" s="18" t="s">
        <v>1833</v>
      </c>
      <c r="B391" s="18" t="s">
        <v>60</v>
      </c>
      <c r="C391" s="18" t="s">
        <v>61</v>
      </c>
      <c r="D391" s="18" t="s">
        <v>1790</v>
      </c>
      <c r="E391" s="18" t="n">
        <v>13</v>
      </c>
      <c r="F391" s="18" t="s">
        <v>1834</v>
      </c>
      <c r="G391" s="18" t="s">
        <v>145</v>
      </c>
      <c r="H391" s="18" t="s">
        <v>109</v>
      </c>
      <c r="I391" s="18"/>
      <c r="J391" s="18"/>
      <c r="K391" s="18"/>
      <c r="L391" s="18" t="s">
        <v>109</v>
      </c>
      <c r="M391" s="18" t="s">
        <v>109</v>
      </c>
      <c r="N391" s="18"/>
      <c r="O391" s="18"/>
      <c r="P391" s="18" t="s">
        <v>1835</v>
      </c>
      <c r="Q391" s="18" t="s">
        <v>123</v>
      </c>
      <c r="R391" s="18" t="s">
        <v>1836</v>
      </c>
      <c r="S391" s="18" t="s">
        <v>125</v>
      </c>
      <c r="T391" s="18" t="s">
        <v>1837</v>
      </c>
      <c r="U391" s="18"/>
      <c r="V391" s="19" t="s">
        <v>29</v>
      </c>
      <c r="W391" s="19"/>
      <c r="X391" s="19"/>
      <c r="Y391" s="20"/>
      <c r="Z391" s="19"/>
      <c r="AA391" s="18" t="str">
        <f aca="false">IF(OR(V391="Aprobada"),R391,IF(AND(OR(V391="Aprobada con ajuste",V391="Rechazada"),W391&lt;&gt;""),W391,""))</f>
        <v/>
      </c>
    </row>
    <row r="392" customFormat="false" ht="147.75" hidden="false" customHeight="false" outlineLevel="0" collapsed="false">
      <c r="A392" s="18" t="s">
        <v>1838</v>
      </c>
      <c r="B392" s="18" t="s">
        <v>60</v>
      </c>
      <c r="C392" s="18" t="s">
        <v>61</v>
      </c>
      <c r="D392" s="18" t="s">
        <v>1839</v>
      </c>
      <c r="E392" s="18" t="n">
        <v>0</v>
      </c>
      <c r="F392" s="18" t="s">
        <v>312</v>
      </c>
      <c r="G392" s="18" t="s">
        <v>116</v>
      </c>
      <c r="H392" s="18" t="s">
        <v>109</v>
      </c>
      <c r="I392" s="18" t="s">
        <v>140</v>
      </c>
      <c r="J392" s="18"/>
      <c r="K392" s="18"/>
      <c r="L392" s="18" t="s">
        <v>109</v>
      </c>
      <c r="M392" s="18" t="s">
        <v>109</v>
      </c>
      <c r="N392" s="18"/>
      <c r="O392" s="18"/>
      <c r="P392" s="18" t="s">
        <v>1840</v>
      </c>
      <c r="Q392" s="18" t="s">
        <v>123</v>
      </c>
      <c r="R392" s="18" t="s">
        <v>1841</v>
      </c>
      <c r="S392" s="18" t="s">
        <v>125</v>
      </c>
      <c r="T392" s="18" t="s">
        <v>1842</v>
      </c>
      <c r="U392" s="18"/>
      <c r="V392" s="19" t="s">
        <v>29</v>
      </c>
      <c r="W392" s="19"/>
      <c r="X392" s="19"/>
      <c r="Y392" s="20"/>
      <c r="Z392" s="19"/>
      <c r="AA392" s="18" t="str">
        <f aca="false">IF(OR(V392="Aprobada"),R392,IF(AND(OR(V392="Aprobada con ajuste",V392="Rechazada"),W392&lt;&gt;""),W392,""))</f>
        <v/>
      </c>
    </row>
    <row r="393" customFormat="false" ht="105.95" hidden="false" customHeight="false" outlineLevel="0" collapsed="false">
      <c r="A393" s="18" t="s">
        <v>1843</v>
      </c>
      <c r="B393" s="18" t="s">
        <v>60</v>
      </c>
      <c r="C393" s="18" t="s">
        <v>61</v>
      </c>
      <c r="D393" s="18" t="s">
        <v>1839</v>
      </c>
      <c r="E393" s="18" t="n">
        <v>0</v>
      </c>
      <c r="F393" s="18" t="s">
        <v>1844</v>
      </c>
      <c r="G393" s="18" t="s">
        <v>394</v>
      </c>
      <c r="H393" s="18" t="s">
        <v>109</v>
      </c>
      <c r="I393" s="18"/>
      <c r="J393" s="18"/>
      <c r="K393" s="18"/>
      <c r="L393" s="18" t="s">
        <v>109</v>
      </c>
      <c r="M393" s="18" t="s">
        <v>109</v>
      </c>
      <c r="N393" s="18"/>
      <c r="O393" s="18" t="s">
        <v>1845</v>
      </c>
      <c r="P393" s="18" t="s">
        <v>1846</v>
      </c>
      <c r="Q393" s="18" t="s">
        <v>123</v>
      </c>
      <c r="R393" s="18" t="s">
        <v>1847</v>
      </c>
      <c r="S393" s="18" t="s">
        <v>125</v>
      </c>
      <c r="T393" s="18" t="s">
        <v>1848</v>
      </c>
      <c r="U393" s="18"/>
      <c r="V393" s="19" t="s">
        <v>29</v>
      </c>
      <c r="W393" s="19"/>
      <c r="X393" s="19"/>
      <c r="Y393" s="20"/>
      <c r="Z393" s="19"/>
      <c r="AA393" s="18" t="str">
        <f aca="false">IF(OR(V393="Aprobada"),R393,IF(AND(OR(V393="Aprobada con ajuste",V393="Rechazada"),W393&lt;&gt;""),W393,""))</f>
        <v/>
      </c>
    </row>
    <row r="394" customFormat="false" ht="43.25" hidden="false" customHeight="false" outlineLevel="0" collapsed="false">
      <c r="A394" s="18" t="s">
        <v>1849</v>
      </c>
      <c r="B394" s="18" t="s">
        <v>60</v>
      </c>
      <c r="C394" s="18" t="s">
        <v>61</v>
      </c>
      <c r="D394" s="18" t="s">
        <v>1839</v>
      </c>
      <c r="E394" s="18" t="n">
        <v>0</v>
      </c>
      <c r="F394" s="18" t="s">
        <v>1850</v>
      </c>
      <c r="G394" s="18" t="s">
        <v>459</v>
      </c>
      <c r="H394" s="18" t="s">
        <v>117</v>
      </c>
      <c r="I394" s="18"/>
      <c r="J394" s="18"/>
      <c r="K394" s="18"/>
      <c r="L394" s="18" t="s">
        <v>109</v>
      </c>
      <c r="M394" s="18" t="s">
        <v>109</v>
      </c>
      <c r="N394" s="18"/>
      <c r="O394" s="18"/>
      <c r="P394" s="18" t="s">
        <v>1851</v>
      </c>
      <c r="Q394" s="18" t="s">
        <v>123</v>
      </c>
      <c r="R394" s="18" t="s">
        <v>1852</v>
      </c>
      <c r="S394" s="18" t="s">
        <v>112</v>
      </c>
      <c r="T394" s="18" t="s">
        <v>1853</v>
      </c>
      <c r="U394" s="18" t="s">
        <v>1532</v>
      </c>
      <c r="V394" s="19" t="s">
        <v>29</v>
      </c>
      <c r="W394" s="19"/>
      <c r="X394" s="19"/>
      <c r="Y394" s="20"/>
      <c r="Z394" s="19"/>
      <c r="AA394" s="18" t="str">
        <f aca="false">IF(OR(V394="Aprobada"),R394,IF(AND(OR(V394="Aprobada con ajuste",V394="Rechazada"),W394&lt;&gt;""),W394,""))</f>
        <v/>
      </c>
    </row>
    <row r="395" customFormat="false" ht="95.5" hidden="false" customHeight="false" outlineLevel="0" collapsed="false">
      <c r="A395" s="18" t="s">
        <v>1854</v>
      </c>
      <c r="B395" s="18" t="s">
        <v>60</v>
      </c>
      <c r="C395" s="18" t="s">
        <v>61</v>
      </c>
      <c r="D395" s="18" t="s">
        <v>1855</v>
      </c>
      <c r="E395" s="18" t="n">
        <v>14</v>
      </c>
      <c r="F395" s="18" t="s">
        <v>129</v>
      </c>
      <c r="G395" s="18" t="s">
        <v>1802</v>
      </c>
      <c r="H395" s="18" t="s">
        <v>109</v>
      </c>
      <c r="I395" s="18"/>
      <c r="J395" s="18"/>
      <c r="K395" s="18"/>
      <c r="L395" s="18" t="s">
        <v>109</v>
      </c>
      <c r="M395" s="18" t="s">
        <v>109</v>
      </c>
      <c r="N395" s="18"/>
      <c r="O395" s="18"/>
      <c r="P395" s="18" t="s">
        <v>1856</v>
      </c>
      <c r="Q395" s="18" t="s">
        <v>110</v>
      </c>
      <c r="R395" s="18" t="s">
        <v>1857</v>
      </c>
      <c r="S395" s="18" t="s">
        <v>112</v>
      </c>
      <c r="T395" s="18" t="s">
        <v>113</v>
      </c>
      <c r="U395" s="18"/>
      <c r="V395" s="19" t="s">
        <v>29</v>
      </c>
      <c r="W395" s="19"/>
      <c r="X395" s="19"/>
      <c r="Y395" s="20"/>
      <c r="Z395" s="19"/>
      <c r="AA395" s="18" t="str">
        <f aca="false">IF(OR(V395="Aprobada"),R395,IF(AND(OR(V395="Aprobada con ajuste",V395="Rechazada"),W395&lt;&gt;""),W395,""))</f>
        <v/>
      </c>
    </row>
    <row r="396" customFormat="false" ht="43.25" hidden="false" customHeight="false" outlineLevel="0" collapsed="false">
      <c r="A396" s="18" t="s">
        <v>1858</v>
      </c>
      <c r="B396" s="18" t="s">
        <v>60</v>
      </c>
      <c r="C396" s="18" t="s">
        <v>61</v>
      </c>
      <c r="D396" s="18" t="s">
        <v>1855</v>
      </c>
      <c r="E396" s="18" t="n">
        <v>14</v>
      </c>
      <c r="F396" s="18" t="s">
        <v>1859</v>
      </c>
      <c r="G396" s="18" t="s">
        <v>459</v>
      </c>
      <c r="H396" s="18" t="s">
        <v>109</v>
      </c>
      <c r="I396" s="18"/>
      <c r="J396" s="18"/>
      <c r="K396" s="18"/>
      <c r="L396" s="18" t="s">
        <v>109</v>
      </c>
      <c r="M396" s="18" t="s">
        <v>109</v>
      </c>
      <c r="N396" s="18"/>
      <c r="O396" s="18"/>
      <c r="P396" s="18" t="s">
        <v>1860</v>
      </c>
      <c r="Q396" s="18" t="s">
        <v>123</v>
      </c>
      <c r="R396" s="18" t="s">
        <v>1861</v>
      </c>
      <c r="S396" s="18" t="s">
        <v>125</v>
      </c>
      <c r="T396" s="18" t="s">
        <v>1862</v>
      </c>
      <c r="U396" s="18"/>
      <c r="V396" s="19" t="s">
        <v>29</v>
      </c>
      <c r="W396" s="19"/>
      <c r="X396" s="19"/>
      <c r="Y396" s="20"/>
      <c r="Z396" s="19"/>
      <c r="AA396" s="18" t="str">
        <f aca="false">IF(OR(V396="Aprobada"),R396,IF(AND(OR(V396="Aprobada con ajuste",V396="Rechazada"),W396&lt;&gt;""),W396,""))</f>
        <v/>
      </c>
    </row>
    <row r="397" customFormat="false" ht="32.8" hidden="false" customHeight="false" outlineLevel="0" collapsed="false">
      <c r="A397" s="18" t="s">
        <v>1863</v>
      </c>
      <c r="B397" s="18" t="s">
        <v>60</v>
      </c>
      <c r="C397" s="18" t="s">
        <v>61</v>
      </c>
      <c r="D397" s="18" t="s">
        <v>1855</v>
      </c>
      <c r="E397" s="18" t="n">
        <v>14</v>
      </c>
      <c r="F397" s="18" t="s">
        <v>1030</v>
      </c>
      <c r="G397" s="18" t="s">
        <v>139</v>
      </c>
      <c r="H397" s="18" t="s">
        <v>109</v>
      </c>
      <c r="I397" s="18"/>
      <c r="J397" s="18"/>
      <c r="K397" s="18"/>
      <c r="L397" s="18" t="s">
        <v>109</v>
      </c>
      <c r="M397" s="18" t="s">
        <v>109</v>
      </c>
      <c r="N397" s="18"/>
      <c r="O397" s="18"/>
      <c r="P397" s="18" t="s">
        <v>1864</v>
      </c>
      <c r="Q397" s="18" t="s">
        <v>110</v>
      </c>
      <c r="R397" s="18" t="s">
        <v>1031</v>
      </c>
      <c r="S397" s="18" t="s">
        <v>112</v>
      </c>
      <c r="T397" s="18" t="s">
        <v>113</v>
      </c>
      <c r="U397" s="18"/>
      <c r="V397" s="19" t="s">
        <v>29</v>
      </c>
      <c r="W397" s="19"/>
      <c r="X397" s="19"/>
      <c r="Y397" s="20"/>
      <c r="Z397" s="19"/>
      <c r="AA397" s="18" t="str">
        <f aca="false">IF(OR(V397="Aprobada"),R397,IF(AND(OR(V397="Aprobada con ajuste",V397="Rechazada"),W397&lt;&gt;""),W397,""))</f>
        <v/>
      </c>
    </row>
    <row r="398" customFormat="false" ht="64.15" hidden="false" customHeight="false" outlineLevel="0" collapsed="false">
      <c r="A398" s="18" t="s">
        <v>1865</v>
      </c>
      <c r="B398" s="18" t="s">
        <v>60</v>
      </c>
      <c r="C398" s="18" t="s">
        <v>61</v>
      </c>
      <c r="D398" s="18" t="s">
        <v>1855</v>
      </c>
      <c r="E398" s="18" t="n">
        <v>14</v>
      </c>
      <c r="F398" s="18" t="s">
        <v>1463</v>
      </c>
      <c r="G398" s="18" t="s">
        <v>145</v>
      </c>
      <c r="H398" s="18" t="s">
        <v>109</v>
      </c>
      <c r="I398" s="18"/>
      <c r="J398" s="18"/>
      <c r="K398" s="18"/>
      <c r="L398" s="18" t="s">
        <v>109</v>
      </c>
      <c r="M398" s="18" t="s">
        <v>109</v>
      </c>
      <c r="N398" s="18"/>
      <c r="O398" s="18"/>
      <c r="P398" s="18" t="s">
        <v>1866</v>
      </c>
      <c r="Q398" s="18" t="s">
        <v>123</v>
      </c>
      <c r="R398" s="18" t="s">
        <v>1867</v>
      </c>
      <c r="S398" s="18" t="s">
        <v>125</v>
      </c>
      <c r="T398" s="18" t="s">
        <v>1868</v>
      </c>
      <c r="U398" s="18"/>
      <c r="V398" s="19" t="s">
        <v>29</v>
      </c>
      <c r="W398" s="19"/>
      <c r="X398" s="19"/>
      <c r="Y398" s="20"/>
      <c r="Z398" s="19"/>
      <c r="AA398" s="18" t="str">
        <f aca="false">IF(OR(V398="Aprobada"),R398,IF(AND(OR(V398="Aprobada con ajuste",V398="Rechazada"),W398&lt;&gt;""),W398,""))</f>
        <v/>
      </c>
    </row>
    <row r="399" customFormat="false" ht="126.85" hidden="false" customHeight="false" outlineLevel="0" collapsed="false">
      <c r="A399" s="18" t="s">
        <v>1869</v>
      </c>
      <c r="B399" s="18" t="s">
        <v>60</v>
      </c>
      <c r="C399" s="18" t="s">
        <v>61</v>
      </c>
      <c r="D399" s="18" t="s">
        <v>1870</v>
      </c>
      <c r="E399" s="18" t="n">
        <v>4</v>
      </c>
      <c r="F399" s="18" t="s">
        <v>1553</v>
      </c>
      <c r="G399" s="18" t="s">
        <v>167</v>
      </c>
      <c r="H399" s="18" t="s">
        <v>117</v>
      </c>
      <c r="I399" s="18" t="s">
        <v>140</v>
      </c>
      <c r="J399" s="18"/>
      <c r="K399" s="18"/>
      <c r="L399" s="18" t="s">
        <v>109</v>
      </c>
      <c r="M399" s="18" t="s">
        <v>109</v>
      </c>
      <c r="N399" s="18"/>
      <c r="O399" s="18"/>
      <c r="P399" s="18" t="s">
        <v>1871</v>
      </c>
      <c r="Q399" s="18" t="s">
        <v>123</v>
      </c>
      <c r="R399" s="18" t="s">
        <v>1872</v>
      </c>
      <c r="S399" s="18" t="s">
        <v>125</v>
      </c>
      <c r="T399" s="18" t="s">
        <v>1873</v>
      </c>
      <c r="U399" s="18"/>
      <c r="V399" s="19" t="s">
        <v>29</v>
      </c>
      <c r="W399" s="19"/>
      <c r="X399" s="19"/>
      <c r="Y399" s="20"/>
      <c r="Z399" s="19"/>
      <c r="AA399" s="18" t="str">
        <f aca="false">IF(OR(V399="Aprobada"),R399,IF(AND(OR(V399="Aprobada con ajuste",V399="Rechazada"),W399&lt;&gt;""),W399,""))</f>
        <v/>
      </c>
    </row>
    <row r="400" customFormat="false" ht="95.5" hidden="false" customHeight="false" outlineLevel="0" collapsed="false">
      <c r="A400" s="18" t="s">
        <v>1874</v>
      </c>
      <c r="B400" s="18" t="s">
        <v>60</v>
      </c>
      <c r="C400" s="18" t="s">
        <v>61</v>
      </c>
      <c r="D400" s="18" t="s">
        <v>1870</v>
      </c>
      <c r="E400" s="18" t="n">
        <v>4</v>
      </c>
      <c r="F400" s="18" t="s">
        <v>1102</v>
      </c>
      <c r="G400" s="18" t="s">
        <v>1509</v>
      </c>
      <c r="H400" s="18" t="s">
        <v>117</v>
      </c>
      <c r="I400" s="18" t="s">
        <v>140</v>
      </c>
      <c r="J400" s="18"/>
      <c r="K400" s="18"/>
      <c r="L400" s="18" t="s">
        <v>109</v>
      </c>
      <c r="M400" s="18" t="s">
        <v>109</v>
      </c>
      <c r="N400" s="18"/>
      <c r="O400" s="18"/>
      <c r="P400" s="18" t="s">
        <v>1875</v>
      </c>
      <c r="Q400" s="18" t="s">
        <v>134</v>
      </c>
      <c r="R400" s="18" t="s">
        <v>1876</v>
      </c>
      <c r="S400" s="18" t="s">
        <v>112</v>
      </c>
      <c r="T400" s="18" t="s">
        <v>1877</v>
      </c>
      <c r="U400" s="18" t="s">
        <v>1878</v>
      </c>
      <c r="V400" s="19" t="s">
        <v>29</v>
      </c>
      <c r="W400" s="19"/>
      <c r="X400" s="19"/>
      <c r="Y400" s="20"/>
      <c r="Z400" s="19"/>
      <c r="AA400" s="18" t="str">
        <f aca="false">IF(OR(V400="Aprobada"),R400,IF(AND(OR(V400="Aprobada con ajuste",V400="Rechazada"),W400&lt;&gt;""),W400,""))</f>
        <v/>
      </c>
    </row>
    <row r="401" customFormat="false" ht="53.7" hidden="false" customHeight="false" outlineLevel="0" collapsed="false">
      <c r="A401" s="18" t="s">
        <v>1879</v>
      </c>
      <c r="B401" s="18" t="s">
        <v>60</v>
      </c>
      <c r="C401" s="18" t="s">
        <v>61</v>
      </c>
      <c r="D401" s="18" t="s">
        <v>1870</v>
      </c>
      <c r="E401" s="18" t="n">
        <v>4</v>
      </c>
      <c r="F401" s="18" t="s">
        <v>1880</v>
      </c>
      <c r="G401" s="18" t="s">
        <v>394</v>
      </c>
      <c r="H401" s="18" t="s">
        <v>117</v>
      </c>
      <c r="I401" s="18" t="s">
        <v>140</v>
      </c>
      <c r="J401" s="18"/>
      <c r="K401" s="18"/>
      <c r="L401" s="18" t="s">
        <v>109</v>
      </c>
      <c r="M401" s="18" t="s">
        <v>109</v>
      </c>
      <c r="N401" s="18"/>
      <c r="O401" s="18"/>
      <c r="P401" s="18" t="s">
        <v>1881</v>
      </c>
      <c r="Q401" s="18" t="s">
        <v>110</v>
      </c>
      <c r="R401" s="18" t="s">
        <v>1882</v>
      </c>
      <c r="S401" s="18" t="s">
        <v>112</v>
      </c>
      <c r="T401" s="18" t="s">
        <v>113</v>
      </c>
      <c r="U401" s="18"/>
      <c r="V401" s="19" t="s">
        <v>29</v>
      </c>
      <c r="W401" s="19"/>
      <c r="X401" s="19"/>
      <c r="Y401" s="20"/>
      <c r="Z401" s="19"/>
      <c r="AA401" s="18" t="str">
        <f aca="false">IF(OR(V401="Aprobada"),R401,IF(AND(OR(V401="Aprobada con ajuste",V401="Rechazada"),W401&lt;&gt;""),W401,""))</f>
        <v/>
      </c>
    </row>
    <row r="402" customFormat="false" ht="74.6" hidden="false" customHeight="false" outlineLevel="0" collapsed="false">
      <c r="A402" s="18" t="s">
        <v>1883</v>
      </c>
      <c r="B402" s="18" t="s">
        <v>60</v>
      </c>
      <c r="C402" s="18" t="s">
        <v>61</v>
      </c>
      <c r="D402" s="18" t="s">
        <v>1870</v>
      </c>
      <c r="E402" s="18" t="n">
        <v>4</v>
      </c>
      <c r="F402" s="18" t="s">
        <v>1884</v>
      </c>
      <c r="G402" s="18" t="s">
        <v>139</v>
      </c>
      <c r="H402" s="18" t="s">
        <v>117</v>
      </c>
      <c r="I402" s="18"/>
      <c r="J402" s="18"/>
      <c r="K402" s="18"/>
      <c r="L402" s="18" t="s">
        <v>109</v>
      </c>
      <c r="M402" s="18" t="s">
        <v>109</v>
      </c>
      <c r="N402" s="18"/>
      <c r="O402" s="18"/>
      <c r="P402" s="18" t="s">
        <v>1885</v>
      </c>
      <c r="Q402" s="18" t="s">
        <v>123</v>
      </c>
      <c r="R402" s="18" t="s">
        <v>1886</v>
      </c>
      <c r="S402" s="18" t="s">
        <v>125</v>
      </c>
      <c r="T402" s="18" t="s">
        <v>1887</v>
      </c>
      <c r="U402" s="18"/>
      <c r="V402" s="19" t="s">
        <v>29</v>
      </c>
      <c r="W402" s="19"/>
      <c r="X402" s="19"/>
      <c r="Y402" s="20"/>
      <c r="Z402" s="19"/>
      <c r="AA402" s="18" t="str">
        <f aca="false">IF(OR(V402="Aprobada"),R402,IF(AND(OR(V402="Aprobada con ajuste",V402="Rechazada"),W402&lt;&gt;""),W402,""))</f>
        <v/>
      </c>
    </row>
    <row r="403" customFormat="false" ht="43.25" hidden="false" customHeight="false" outlineLevel="0" collapsed="false">
      <c r="A403" s="18" t="s">
        <v>1888</v>
      </c>
      <c r="B403" s="18" t="s">
        <v>60</v>
      </c>
      <c r="C403" s="18" t="s">
        <v>61</v>
      </c>
      <c r="D403" s="18" t="s">
        <v>1870</v>
      </c>
      <c r="E403" s="18" t="n">
        <v>4</v>
      </c>
      <c r="F403" s="18" t="s">
        <v>107</v>
      </c>
      <c r="G403" s="18" t="s">
        <v>151</v>
      </c>
      <c r="H403" s="18" t="s">
        <v>109</v>
      </c>
      <c r="I403" s="18" t="s">
        <v>140</v>
      </c>
      <c r="J403" s="18" t="s">
        <v>1889</v>
      </c>
      <c r="K403" s="18"/>
      <c r="L403" s="18" t="s">
        <v>117</v>
      </c>
      <c r="M403" s="18" t="s">
        <v>109</v>
      </c>
      <c r="N403" s="18"/>
      <c r="O403" s="18"/>
      <c r="P403" s="18" t="s">
        <v>1890</v>
      </c>
      <c r="Q403" s="18" t="s">
        <v>123</v>
      </c>
      <c r="R403" s="18" t="s">
        <v>1891</v>
      </c>
      <c r="S403" s="18" t="s">
        <v>125</v>
      </c>
      <c r="T403" s="18" t="s">
        <v>1892</v>
      </c>
      <c r="U403" s="18"/>
      <c r="V403" s="19" t="s">
        <v>29</v>
      </c>
      <c r="W403" s="19"/>
      <c r="X403" s="19"/>
      <c r="Y403" s="20"/>
      <c r="Z403" s="19"/>
      <c r="AA403" s="18" t="str">
        <f aca="false">IF(OR(V403="Aprobada"),R403,IF(AND(OR(V403="Aprobada con ajuste",V403="Rechazada"),W403&lt;&gt;""),W403,""))</f>
        <v/>
      </c>
    </row>
    <row r="404" customFormat="false" ht="95.5" hidden="false" customHeight="false" outlineLevel="0" collapsed="false">
      <c r="A404" s="18" t="s">
        <v>1893</v>
      </c>
      <c r="B404" s="18" t="s">
        <v>60</v>
      </c>
      <c r="C404" s="18" t="s">
        <v>61</v>
      </c>
      <c r="D404" s="18" t="s">
        <v>1870</v>
      </c>
      <c r="E404" s="18" t="n">
        <v>4</v>
      </c>
      <c r="F404" s="18" t="s">
        <v>115</v>
      </c>
      <c r="G404" s="18" t="s">
        <v>116</v>
      </c>
      <c r="H404" s="18" t="s">
        <v>117</v>
      </c>
      <c r="I404" s="18" t="s">
        <v>140</v>
      </c>
      <c r="J404" s="18"/>
      <c r="K404" s="18"/>
      <c r="L404" s="18" t="s">
        <v>109</v>
      </c>
      <c r="M404" s="18" t="s">
        <v>109</v>
      </c>
      <c r="N404" s="18"/>
      <c r="O404" s="18"/>
      <c r="P404" s="18" t="s">
        <v>1894</v>
      </c>
      <c r="Q404" s="18" t="s">
        <v>123</v>
      </c>
      <c r="R404" s="18" t="s">
        <v>1895</v>
      </c>
      <c r="S404" s="18" t="s">
        <v>125</v>
      </c>
      <c r="T404" s="18" t="s">
        <v>1896</v>
      </c>
      <c r="U404" s="18"/>
      <c r="V404" s="19" t="s">
        <v>29</v>
      </c>
      <c r="W404" s="19"/>
      <c r="X404" s="19"/>
      <c r="Y404" s="20"/>
      <c r="Z404" s="19"/>
      <c r="AA404" s="18" t="str">
        <f aca="false">IF(OR(V404="Aprobada"),R404,IF(AND(OR(V404="Aprobada con ajuste",V404="Rechazada"),W404&lt;&gt;""),W404,""))</f>
        <v/>
      </c>
    </row>
    <row r="405" customFormat="false" ht="22.35" hidden="false" customHeight="false" outlineLevel="0" collapsed="false">
      <c r="A405" s="18" t="s">
        <v>1897</v>
      </c>
      <c r="B405" s="18" t="s">
        <v>60</v>
      </c>
      <c r="C405" s="18" t="s">
        <v>61</v>
      </c>
      <c r="D405" s="18" t="s">
        <v>1870</v>
      </c>
      <c r="E405" s="18" t="n">
        <v>4</v>
      </c>
      <c r="F405" s="18" t="s">
        <v>1898</v>
      </c>
      <c r="G405" s="18" t="s">
        <v>265</v>
      </c>
      <c r="H405" s="18" t="s">
        <v>117</v>
      </c>
      <c r="I405" s="18"/>
      <c r="J405" s="18"/>
      <c r="K405" s="18"/>
      <c r="L405" s="18" t="s">
        <v>109</v>
      </c>
      <c r="M405" s="18" t="s">
        <v>109</v>
      </c>
      <c r="N405" s="18"/>
      <c r="O405" s="18"/>
      <c r="P405" s="18" t="s">
        <v>1899</v>
      </c>
      <c r="Q405" s="18" t="s">
        <v>110</v>
      </c>
      <c r="R405" s="18" t="s">
        <v>1900</v>
      </c>
      <c r="S405" s="18" t="s">
        <v>112</v>
      </c>
      <c r="T405" s="18" t="s">
        <v>113</v>
      </c>
      <c r="U405" s="18"/>
      <c r="V405" s="19" t="s">
        <v>29</v>
      </c>
      <c r="W405" s="19"/>
      <c r="X405" s="19"/>
      <c r="Y405" s="20"/>
      <c r="Z405" s="19"/>
      <c r="AA405" s="18" t="str">
        <f aca="false">IF(OR(V405="Aprobada"),R405,IF(AND(OR(V405="Aprobada con ajuste",V405="Rechazada"),W405&lt;&gt;""),W405,""))</f>
        <v/>
      </c>
    </row>
    <row r="406" customFormat="false" ht="22.35" hidden="false" customHeight="false" outlineLevel="0" collapsed="false">
      <c r="A406" s="18" t="s">
        <v>1901</v>
      </c>
      <c r="B406" s="18" t="s">
        <v>60</v>
      </c>
      <c r="C406" s="18" t="s">
        <v>61</v>
      </c>
      <c r="D406" s="18" t="s">
        <v>1870</v>
      </c>
      <c r="E406" s="18" t="n">
        <v>4</v>
      </c>
      <c r="F406" s="18" t="s">
        <v>1902</v>
      </c>
      <c r="G406" s="18" t="s">
        <v>184</v>
      </c>
      <c r="H406" s="18" t="s">
        <v>109</v>
      </c>
      <c r="I406" s="18"/>
      <c r="J406" s="18"/>
      <c r="K406" s="18"/>
      <c r="L406" s="18" t="s">
        <v>109</v>
      </c>
      <c r="M406" s="18" t="s">
        <v>109</v>
      </c>
      <c r="N406" s="18"/>
      <c r="O406" s="18"/>
      <c r="P406" s="18" t="s">
        <v>1903</v>
      </c>
      <c r="Q406" s="18" t="s">
        <v>110</v>
      </c>
      <c r="R406" s="18" t="s">
        <v>1904</v>
      </c>
      <c r="S406" s="18" t="s">
        <v>112</v>
      </c>
      <c r="T406" s="18" t="s">
        <v>113</v>
      </c>
      <c r="U406" s="18"/>
      <c r="V406" s="19" t="s">
        <v>29</v>
      </c>
      <c r="W406" s="19"/>
      <c r="X406" s="19"/>
      <c r="Y406" s="20"/>
      <c r="Z406" s="19"/>
      <c r="AA406" s="18" t="str">
        <f aca="false">IF(OR(V406="Aprobada"),R406,IF(AND(OR(V406="Aprobada con ajuste",V406="Rechazada"),W406&lt;&gt;""),W406,""))</f>
        <v/>
      </c>
    </row>
    <row r="407" customFormat="false" ht="32.8" hidden="false" customHeight="false" outlineLevel="0" collapsed="false">
      <c r="A407" s="18" t="s">
        <v>1905</v>
      </c>
      <c r="B407" s="18" t="s">
        <v>60</v>
      </c>
      <c r="C407" s="18" t="s">
        <v>61</v>
      </c>
      <c r="D407" s="18" t="s">
        <v>1870</v>
      </c>
      <c r="E407" s="18" t="n">
        <v>4</v>
      </c>
      <c r="F407" s="18" t="s">
        <v>1906</v>
      </c>
      <c r="G407" s="18" t="s">
        <v>265</v>
      </c>
      <c r="H407" s="18" t="s">
        <v>117</v>
      </c>
      <c r="I407" s="18"/>
      <c r="J407" s="18"/>
      <c r="K407" s="18"/>
      <c r="L407" s="18" t="s">
        <v>109</v>
      </c>
      <c r="M407" s="18" t="s">
        <v>109</v>
      </c>
      <c r="N407" s="18"/>
      <c r="O407" s="18"/>
      <c r="P407" s="18" t="s">
        <v>1907</v>
      </c>
      <c r="Q407" s="18" t="s">
        <v>134</v>
      </c>
      <c r="R407" s="18" t="s">
        <v>1908</v>
      </c>
      <c r="S407" s="18" t="s">
        <v>112</v>
      </c>
      <c r="T407" s="18" t="s">
        <v>1909</v>
      </c>
      <c r="U407" s="18" t="s">
        <v>1910</v>
      </c>
      <c r="V407" s="19" t="s">
        <v>29</v>
      </c>
      <c r="W407" s="19"/>
      <c r="X407" s="19"/>
      <c r="Y407" s="20"/>
      <c r="Z407" s="19"/>
      <c r="AA407" s="18" t="str">
        <f aca="false">IF(OR(V407="Aprobada"),R407,IF(AND(OR(V407="Aprobada con ajuste",V407="Rechazada"),W407&lt;&gt;""),W407,""))</f>
        <v/>
      </c>
    </row>
    <row r="408" customFormat="false" ht="43.25" hidden="false" customHeight="false" outlineLevel="0" collapsed="false">
      <c r="A408" s="18" t="s">
        <v>1911</v>
      </c>
      <c r="B408" s="18" t="s">
        <v>60</v>
      </c>
      <c r="C408" s="18" t="s">
        <v>61</v>
      </c>
      <c r="D408" s="18" t="s">
        <v>1912</v>
      </c>
      <c r="E408" s="18" t="n">
        <v>0</v>
      </c>
      <c r="F408" s="18" t="s">
        <v>1913</v>
      </c>
      <c r="G408" s="18" t="s">
        <v>394</v>
      </c>
      <c r="H408" s="18" t="s">
        <v>109</v>
      </c>
      <c r="I408" s="18"/>
      <c r="J408" s="18"/>
      <c r="K408" s="18"/>
      <c r="L408" s="18" t="s">
        <v>109</v>
      </c>
      <c r="M408" s="18" t="s">
        <v>109</v>
      </c>
      <c r="N408" s="18"/>
      <c r="O408" s="18"/>
      <c r="P408" s="18" t="s">
        <v>1914</v>
      </c>
      <c r="Q408" s="18" t="s">
        <v>110</v>
      </c>
      <c r="R408" s="18" t="s">
        <v>1915</v>
      </c>
      <c r="S408" s="18" t="s">
        <v>112</v>
      </c>
      <c r="T408" s="18" t="s">
        <v>113</v>
      </c>
      <c r="U408" s="18"/>
      <c r="V408" s="19" t="s">
        <v>29</v>
      </c>
      <c r="W408" s="19"/>
      <c r="X408" s="19"/>
      <c r="Y408" s="20"/>
      <c r="Z408" s="19"/>
      <c r="AA408" s="18" t="str">
        <f aca="false">IF(OR(V408="Aprobada"),R408,IF(AND(OR(V408="Aprobada con ajuste",V408="Rechazada"),W408&lt;&gt;""),W408,""))</f>
        <v/>
      </c>
    </row>
    <row r="409" customFormat="false" ht="32.8" hidden="false" customHeight="false" outlineLevel="0" collapsed="false">
      <c r="A409" s="18" t="s">
        <v>1916</v>
      </c>
      <c r="B409" s="18" t="s">
        <v>60</v>
      </c>
      <c r="C409" s="18" t="s">
        <v>61</v>
      </c>
      <c r="D409" s="18" t="s">
        <v>1912</v>
      </c>
      <c r="E409" s="18" t="n">
        <v>0</v>
      </c>
      <c r="F409" s="18" t="s">
        <v>1917</v>
      </c>
      <c r="G409" s="18" t="s">
        <v>212</v>
      </c>
      <c r="H409" s="18" t="s">
        <v>109</v>
      </c>
      <c r="I409" s="18"/>
      <c r="J409" s="18"/>
      <c r="K409" s="18"/>
      <c r="L409" s="18" t="s">
        <v>109</v>
      </c>
      <c r="M409" s="18" t="s">
        <v>109</v>
      </c>
      <c r="N409" s="18"/>
      <c r="O409" s="18"/>
      <c r="P409" s="18" t="s">
        <v>1918</v>
      </c>
      <c r="Q409" s="18" t="s">
        <v>123</v>
      </c>
      <c r="R409" s="18" t="s">
        <v>1919</v>
      </c>
      <c r="S409" s="18" t="s">
        <v>112</v>
      </c>
      <c r="T409" s="18" t="s">
        <v>1920</v>
      </c>
      <c r="U409" s="18" t="s">
        <v>1921</v>
      </c>
      <c r="V409" s="19" t="s">
        <v>29</v>
      </c>
      <c r="W409" s="19"/>
      <c r="X409" s="19"/>
      <c r="Y409" s="20"/>
      <c r="Z409" s="19"/>
      <c r="AA409" s="18" t="str">
        <f aca="false">IF(OR(V409="Aprobada"),R409,IF(AND(OR(V409="Aprobada con ajuste",V409="Rechazada"),W409&lt;&gt;""),W409,""))</f>
        <v/>
      </c>
    </row>
    <row r="410" customFormat="false" ht="53.7" hidden="false" customHeight="false" outlineLevel="0" collapsed="false">
      <c r="A410" s="18" t="s">
        <v>1922</v>
      </c>
      <c r="B410" s="18" t="s">
        <v>60</v>
      </c>
      <c r="C410" s="18" t="s">
        <v>61</v>
      </c>
      <c r="D410" s="18" t="s">
        <v>1912</v>
      </c>
      <c r="E410" s="18" t="n">
        <v>0</v>
      </c>
      <c r="F410" s="18" t="s">
        <v>1923</v>
      </c>
      <c r="G410" s="18" t="s">
        <v>394</v>
      </c>
      <c r="H410" s="18" t="s">
        <v>117</v>
      </c>
      <c r="I410" s="18"/>
      <c r="J410" s="18"/>
      <c r="K410" s="18"/>
      <c r="L410" s="18" t="s">
        <v>109</v>
      </c>
      <c r="M410" s="18" t="s">
        <v>109</v>
      </c>
      <c r="N410" s="18"/>
      <c r="O410" s="18"/>
      <c r="P410" s="18" t="s">
        <v>1924</v>
      </c>
      <c r="Q410" s="18" t="s">
        <v>123</v>
      </c>
      <c r="R410" s="18" t="s">
        <v>1925</v>
      </c>
      <c r="S410" s="18" t="s">
        <v>125</v>
      </c>
      <c r="T410" s="18" t="s">
        <v>1926</v>
      </c>
      <c r="U410" s="18" t="s">
        <v>1927</v>
      </c>
      <c r="V410" s="19" t="s">
        <v>29</v>
      </c>
      <c r="W410" s="19"/>
      <c r="X410" s="19"/>
      <c r="Y410" s="20"/>
      <c r="Z410" s="19"/>
      <c r="AA410" s="18" t="str">
        <f aca="false">IF(OR(V410="Aprobada"),R410,IF(AND(OR(V410="Aprobada con ajuste",V410="Rechazada"),W410&lt;&gt;""),W410,""))</f>
        <v/>
      </c>
    </row>
    <row r="411" customFormat="false" ht="64.15" hidden="false" customHeight="false" outlineLevel="0" collapsed="false">
      <c r="A411" s="18" t="s">
        <v>1928</v>
      </c>
      <c r="B411" s="18" t="s">
        <v>60</v>
      </c>
      <c r="C411" s="18" t="s">
        <v>61</v>
      </c>
      <c r="D411" s="18" t="s">
        <v>1912</v>
      </c>
      <c r="E411" s="18" t="n">
        <v>0</v>
      </c>
      <c r="F411" s="18" t="s">
        <v>115</v>
      </c>
      <c r="G411" s="18" t="s">
        <v>116</v>
      </c>
      <c r="H411" s="18" t="s">
        <v>117</v>
      </c>
      <c r="I411" s="18"/>
      <c r="J411" s="18"/>
      <c r="K411" s="18"/>
      <c r="L411" s="18" t="s">
        <v>109</v>
      </c>
      <c r="M411" s="18" t="s">
        <v>109</v>
      </c>
      <c r="N411" s="18"/>
      <c r="O411" s="18"/>
      <c r="P411" s="18" t="s">
        <v>1929</v>
      </c>
      <c r="Q411" s="18" t="s">
        <v>110</v>
      </c>
      <c r="R411" s="18" t="s">
        <v>118</v>
      </c>
      <c r="S411" s="18" t="s">
        <v>112</v>
      </c>
      <c r="T411" s="18" t="s">
        <v>113</v>
      </c>
      <c r="U411" s="18"/>
      <c r="V411" s="19" t="s">
        <v>29</v>
      </c>
      <c r="W411" s="19"/>
      <c r="X411" s="19"/>
      <c r="Y411" s="20"/>
      <c r="Z411" s="19"/>
      <c r="AA411" s="18" t="str">
        <f aca="false">IF(OR(V411="Aprobada"),R411,IF(AND(OR(V411="Aprobada con ajuste",V411="Rechazada"),W411&lt;&gt;""),W411,""))</f>
        <v/>
      </c>
    </row>
    <row r="412" customFormat="false" ht="22.35" hidden="false" customHeight="false" outlineLevel="0" collapsed="false">
      <c r="A412" s="18" t="s">
        <v>1930</v>
      </c>
      <c r="B412" s="18" t="s">
        <v>60</v>
      </c>
      <c r="C412" s="18" t="s">
        <v>61</v>
      </c>
      <c r="D412" s="18" t="s">
        <v>1912</v>
      </c>
      <c r="E412" s="18" t="n">
        <v>0</v>
      </c>
      <c r="F412" s="18" t="s">
        <v>107</v>
      </c>
      <c r="G412" s="18" t="s">
        <v>151</v>
      </c>
      <c r="H412" s="18" t="s">
        <v>109</v>
      </c>
      <c r="I412" s="18" t="s">
        <v>140</v>
      </c>
      <c r="J412" s="18" t="s">
        <v>1931</v>
      </c>
      <c r="K412" s="18"/>
      <c r="L412" s="18" t="s">
        <v>117</v>
      </c>
      <c r="M412" s="18" t="s">
        <v>109</v>
      </c>
      <c r="N412" s="18"/>
      <c r="O412" s="18"/>
      <c r="P412" s="18" t="s">
        <v>1932</v>
      </c>
      <c r="Q412" s="18" t="s">
        <v>110</v>
      </c>
      <c r="R412" s="18" t="s">
        <v>1933</v>
      </c>
      <c r="S412" s="18" t="s">
        <v>112</v>
      </c>
      <c r="T412" s="18" t="s">
        <v>113</v>
      </c>
      <c r="U412" s="18"/>
      <c r="V412" s="19" t="s">
        <v>29</v>
      </c>
      <c r="W412" s="19"/>
      <c r="X412" s="19"/>
      <c r="Y412" s="20"/>
      <c r="Z412" s="19"/>
      <c r="AA412" s="18" t="str">
        <f aca="false">IF(OR(V412="Aprobada"),R412,IF(AND(OR(V412="Aprobada con ajuste",V412="Rechazada"),W412&lt;&gt;""),W412,""))</f>
        <v/>
      </c>
    </row>
    <row r="413" customFormat="false" ht="22.35" hidden="false" customHeight="false" outlineLevel="0" collapsed="false">
      <c r="A413" s="18" t="s">
        <v>1934</v>
      </c>
      <c r="B413" s="18" t="s">
        <v>60</v>
      </c>
      <c r="C413" s="18" t="s">
        <v>61</v>
      </c>
      <c r="D413" s="18" t="s">
        <v>1912</v>
      </c>
      <c r="E413" s="18" t="n">
        <v>0</v>
      </c>
      <c r="F413" s="18" t="s">
        <v>1935</v>
      </c>
      <c r="G413" s="18" t="s">
        <v>459</v>
      </c>
      <c r="H413" s="18" t="s">
        <v>117</v>
      </c>
      <c r="I413" s="18"/>
      <c r="J413" s="18"/>
      <c r="K413" s="18"/>
      <c r="L413" s="18" t="s">
        <v>109</v>
      </c>
      <c r="M413" s="18" t="s">
        <v>109</v>
      </c>
      <c r="N413" s="18"/>
      <c r="O413" s="18"/>
      <c r="P413" s="18" t="s">
        <v>1936</v>
      </c>
      <c r="Q413" s="18" t="s">
        <v>110</v>
      </c>
      <c r="R413" s="18" t="s">
        <v>533</v>
      </c>
      <c r="S413" s="18" t="s">
        <v>112</v>
      </c>
      <c r="T413" s="18" t="s">
        <v>113</v>
      </c>
      <c r="U413" s="18"/>
      <c r="V413" s="19" t="s">
        <v>29</v>
      </c>
      <c r="W413" s="19"/>
      <c r="X413" s="19"/>
      <c r="Y413" s="20"/>
      <c r="Z413" s="19"/>
      <c r="AA413" s="18" t="str">
        <f aca="false">IF(OR(V413="Aprobada"),R413,IF(AND(OR(V413="Aprobada con ajuste",V413="Rechazada"),W413&lt;&gt;""),W413,""))</f>
        <v/>
      </c>
    </row>
    <row r="414" customFormat="false" ht="22.35" hidden="false" customHeight="false" outlineLevel="0" collapsed="false">
      <c r="A414" s="18" t="s">
        <v>1937</v>
      </c>
      <c r="B414" s="18" t="s">
        <v>60</v>
      </c>
      <c r="C414" s="18" t="s">
        <v>61</v>
      </c>
      <c r="D414" s="18" t="s">
        <v>1912</v>
      </c>
      <c r="E414" s="18" t="n">
        <v>0</v>
      </c>
      <c r="F414" s="18" t="s">
        <v>1938</v>
      </c>
      <c r="G414" s="18" t="s">
        <v>184</v>
      </c>
      <c r="H414" s="18" t="s">
        <v>117</v>
      </c>
      <c r="I414" s="18" t="s">
        <v>140</v>
      </c>
      <c r="J414" s="18"/>
      <c r="K414" s="18"/>
      <c r="L414" s="18" t="s">
        <v>109</v>
      </c>
      <c r="M414" s="18" t="s">
        <v>109</v>
      </c>
      <c r="N414" s="18"/>
      <c r="O414" s="18"/>
      <c r="P414" s="18" t="s">
        <v>1939</v>
      </c>
      <c r="Q414" s="18" t="s">
        <v>134</v>
      </c>
      <c r="R414" s="18" t="s">
        <v>1940</v>
      </c>
      <c r="S414" s="18" t="s">
        <v>125</v>
      </c>
      <c r="T414" s="18" t="s">
        <v>1941</v>
      </c>
      <c r="U414" s="18"/>
      <c r="V414" s="19" t="s">
        <v>29</v>
      </c>
      <c r="W414" s="19"/>
      <c r="X414" s="19"/>
      <c r="Y414" s="20"/>
      <c r="Z414" s="19"/>
      <c r="AA414" s="18" t="str">
        <f aca="false">IF(OR(V414="Aprobada"),R414,IF(AND(OR(V414="Aprobada con ajuste",V414="Rechazada"),W414&lt;&gt;""),W414,""))</f>
        <v/>
      </c>
    </row>
    <row r="415" customFormat="false" ht="22.35" hidden="false" customHeight="false" outlineLevel="0" collapsed="false">
      <c r="A415" s="18" t="s">
        <v>1942</v>
      </c>
      <c r="B415" s="18" t="s">
        <v>60</v>
      </c>
      <c r="C415" s="18" t="s">
        <v>61</v>
      </c>
      <c r="D415" s="18" t="s">
        <v>1912</v>
      </c>
      <c r="E415" s="18" t="n">
        <v>0</v>
      </c>
      <c r="F415" s="18" t="s">
        <v>1943</v>
      </c>
      <c r="G415" s="18" t="s">
        <v>459</v>
      </c>
      <c r="H415" s="18" t="s">
        <v>117</v>
      </c>
      <c r="I415" s="18"/>
      <c r="J415" s="18"/>
      <c r="K415" s="18"/>
      <c r="L415" s="18" t="s">
        <v>109</v>
      </c>
      <c r="M415" s="18" t="s">
        <v>109</v>
      </c>
      <c r="N415" s="18"/>
      <c r="O415" s="18"/>
      <c r="P415" s="18" t="s">
        <v>1944</v>
      </c>
      <c r="Q415" s="18" t="s">
        <v>134</v>
      </c>
      <c r="R415" s="18" t="s">
        <v>1945</v>
      </c>
      <c r="S415" s="18" t="s">
        <v>112</v>
      </c>
      <c r="T415" s="18" t="s">
        <v>1531</v>
      </c>
      <c r="U415" s="18" t="s">
        <v>1532</v>
      </c>
      <c r="V415" s="19" t="s">
        <v>29</v>
      </c>
      <c r="W415" s="19"/>
      <c r="X415" s="19"/>
      <c r="Y415" s="20"/>
      <c r="Z415" s="19"/>
      <c r="AA415" s="18" t="str">
        <f aca="false">IF(OR(V415="Aprobada"),R415,IF(AND(OR(V415="Aprobada con ajuste",V415="Rechazada"),W415&lt;&gt;""),W415,""))</f>
        <v/>
      </c>
    </row>
    <row r="416" customFormat="false" ht="22.35" hidden="false" customHeight="false" outlineLevel="0" collapsed="false">
      <c r="A416" s="18" t="s">
        <v>1946</v>
      </c>
      <c r="B416" s="18" t="s">
        <v>60</v>
      </c>
      <c r="C416" s="18" t="s">
        <v>61</v>
      </c>
      <c r="D416" s="18" t="s">
        <v>1912</v>
      </c>
      <c r="E416" s="18" t="n">
        <v>0</v>
      </c>
      <c r="F416" s="18" t="s">
        <v>1947</v>
      </c>
      <c r="G416" s="18" t="s">
        <v>116</v>
      </c>
      <c r="H416" s="18" t="s">
        <v>117</v>
      </c>
      <c r="I416" s="18" t="s">
        <v>140</v>
      </c>
      <c r="J416" s="18"/>
      <c r="K416" s="18"/>
      <c r="L416" s="18" t="s">
        <v>109</v>
      </c>
      <c r="M416" s="18" t="s">
        <v>109</v>
      </c>
      <c r="N416" s="18"/>
      <c r="O416" s="18"/>
      <c r="P416" s="18" t="s">
        <v>1948</v>
      </c>
      <c r="Q416" s="18" t="s">
        <v>110</v>
      </c>
      <c r="R416" s="18" t="s">
        <v>1949</v>
      </c>
      <c r="S416" s="18" t="s">
        <v>112</v>
      </c>
      <c r="T416" s="18" t="s">
        <v>113</v>
      </c>
      <c r="U416" s="18"/>
      <c r="V416" s="19" t="s">
        <v>29</v>
      </c>
      <c r="W416" s="19"/>
      <c r="X416" s="19"/>
      <c r="Y416" s="20"/>
      <c r="Z416" s="19"/>
      <c r="AA416" s="18" t="str">
        <f aca="false">IF(OR(V416="Aprobada"),R416,IF(AND(OR(V416="Aprobada con ajuste",V416="Rechazada"),W416&lt;&gt;""),W416,""))</f>
        <v/>
      </c>
    </row>
    <row r="417" customFormat="false" ht="43.25" hidden="false" customHeight="false" outlineLevel="0" collapsed="false">
      <c r="A417" s="18" t="s">
        <v>1950</v>
      </c>
      <c r="B417" s="18" t="s">
        <v>60</v>
      </c>
      <c r="C417" s="18" t="s">
        <v>61</v>
      </c>
      <c r="D417" s="18" t="s">
        <v>1951</v>
      </c>
      <c r="E417" s="18" t="n">
        <v>0</v>
      </c>
      <c r="F417" s="18" t="s">
        <v>1952</v>
      </c>
      <c r="G417" s="18" t="s">
        <v>121</v>
      </c>
      <c r="H417" s="18" t="s">
        <v>109</v>
      </c>
      <c r="I417" s="18"/>
      <c r="J417" s="18"/>
      <c r="K417" s="18"/>
      <c r="L417" s="18" t="s">
        <v>109</v>
      </c>
      <c r="M417" s="18" t="s">
        <v>109</v>
      </c>
      <c r="N417" s="18"/>
      <c r="O417" s="18"/>
      <c r="P417" s="18" t="s">
        <v>1953</v>
      </c>
      <c r="Q417" s="18" t="s">
        <v>123</v>
      </c>
      <c r="R417" s="18" t="s">
        <v>1954</v>
      </c>
      <c r="S417" s="18" t="s">
        <v>112</v>
      </c>
      <c r="T417" s="18" t="s">
        <v>1955</v>
      </c>
      <c r="U417" s="18" t="s">
        <v>1956</v>
      </c>
      <c r="V417" s="19" t="s">
        <v>29</v>
      </c>
      <c r="W417" s="19"/>
      <c r="X417" s="19"/>
      <c r="Y417" s="20"/>
      <c r="Z417" s="19"/>
      <c r="AA417" s="18" t="str">
        <f aca="false">IF(OR(V417="Aprobada"),R417,IF(AND(OR(V417="Aprobada con ajuste",V417="Rechazada"),W417&lt;&gt;""),W417,""))</f>
        <v/>
      </c>
    </row>
    <row r="418" customFormat="false" ht="43.25" hidden="false" customHeight="false" outlineLevel="0" collapsed="false">
      <c r="A418" s="18" t="s">
        <v>1957</v>
      </c>
      <c r="B418" s="18" t="s">
        <v>60</v>
      </c>
      <c r="C418" s="18" t="s">
        <v>61</v>
      </c>
      <c r="D418" s="18" t="s">
        <v>1951</v>
      </c>
      <c r="E418" s="18" t="n">
        <v>0</v>
      </c>
      <c r="F418" s="18" t="s">
        <v>1958</v>
      </c>
      <c r="G418" s="18" t="s">
        <v>394</v>
      </c>
      <c r="H418" s="18" t="s">
        <v>109</v>
      </c>
      <c r="I418" s="18"/>
      <c r="J418" s="18"/>
      <c r="K418" s="18"/>
      <c r="L418" s="18" t="s">
        <v>109</v>
      </c>
      <c r="M418" s="18" t="s">
        <v>109</v>
      </c>
      <c r="N418" s="18"/>
      <c r="O418" s="18"/>
      <c r="P418" s="18" t="s">
        <v>1959</v>
      </c>
      <c r="Q418" s="18" t="s">
        <v>110</v>
      </c>
      <c r="R418" s="18" t="s">
        <v>1960</v>
      </c>
      <c r="S418" s="18" t="s">
        <v>112</v>
      </c>
      <c r="T418" s="18" t="s">
        <v>113</v>
      </c>
      <c r="U418" s="18"/>
      <c r="V418" s="19" t="s">
        <v>29</v>
      </c>
      <c r="W418" s="19"/>
      <c r="X418" s="19"/>
      <c r="Y418" s="20"/>
      <c r="Z418" s="19"/>
      <c r="AA418" s="18" t="str">
        <f aca="false">IF(OR(V418="Aprobada"),R418,IF(AND(OR(V418="Aprobada con ajuste",V418="Rechazada"),W418&lt;&gt;""),W418,""))</f>
        <v/>
      </c>
    </row>
    <row r="419" customFormat="false" ht="22.35" hidden="false" customHeight="false" outlineLevel="0" collapsed="false">
      <c r="A419" s="18" t="s">
        <v>1961</v>
      </c>
      <c r="B419" s="18" t="s">
        <v>60</v>
      </c>
      <c r="C419" s="18" t="s">
        <v>61</v>
      </c>
      <c r="D419" s="18" t="s">
        <v>1951</v>
      </c>
      <c r="E419" s="18" t="n">
        <v>0</v>
      </c>
      <c r="F419" s="18" t="s">
        <v>1962</v>
      </c>
      <c r="G419" s="18" t="s">
        <v>1509</v>
      </c>
      <c r="H419" s="18" t="s">
        <v>109</v>
      </c>
      <c r="I419" s="18"/>
      <c r="J419" s="18"/>
      <c r="K419" s="18"/>
      <c r="L419" s="18" t="s">
        <v>109</v>
      </c>
      <c r="M419" s="18" t="s">
        <v>109</v>
      </c>
      <c r="N419" s="18"/>
      <c r="O419" s="18"/>
      <c r="P419" s="18" t="s">
        <v>1963</v>
      </c>
      <c r="Q419" s="18" t="s">
        <v>134</v>
      </c>
      <c r="R419" s="18" t="s">
        <v>1964</v>
      </c>
      <c r="S419" s="18" t="s">
        <v>112</v>
      </c>
      <c r="T419" s="18" t="s">
        <v>1965</v>
      </c>
      <c r="U419" s="18" t="s">
        <v>1966</v>
      </c>
      <c r="V419" s="19" t="s">
        <v>29</v>
      </c>
      <c r="W419" s="19"/>
      <c r="X419" s="19"/>
      <c r="Y419" s="20"/>
      <c r="Z419" s="19"/>
      <c r="AA419" s="18" t="str">
        <f aca="false">IF(OR(V419="Aprobada"),R419,IF(AND(OR(V419="Aprobada con ajuste",V419="Rechazada"),W419&lt;&gt;""),W419,""))</f>
        <v/>
      </c>
    </row>
    <row r="420" customFormat="false" ht="22.35" hidden="false" customHeight="false" outlineLevel="0" collapsed="false">
      <c r="A420" s="18" t="s">
        <v>1967</v>
      </c>
      <c r="B420" s="18" t="s">
        <v>60</v>
      </c>
      <c r="C420" s="18" t="s">
        <v>61</v>
      </c>
      <c r="D420" s="18" t="s">
        <v>1951</v>
      </c>
      <c r="E420" s="18" t="n">
        <v>0</v>
      </c>
      <c r="F420" s="18" t="s">
        <v>1968</v>
      </c>
      <c r="G420" s="18" t="s">
        <v>1509</v>
      </c>
      <c r="H420" s="18" t="s">
        <v>109</v>
      </c>
      <c r="I420" s="18"/>
      <c r="J420" s="18"/>
      <c r="K420" s="18"/>
      <c r="L420" s="18" t="s">
        <v>109</v>
      </c>
      <c r="M420" s="18" t="s">
        <v>109</v>
      </c>
      <c r="N420" s="18"/>
      <c r="O420" s="18"/>
      <c r="P420" s="18" t="s">
        <v>1969</v>
      </c>
      <c r="Q420" s="18" t="s">
        <v>134</v>
      </c>
      <c r="R420" s="18" t="s">
        <v>1970</v>
      </c>
      <c r="S420" s="18" t="s">
        <v>112</v>
      </c>
      <c r="T420" s="18" t="s">
        <v>1971</v>
      </c>
      <c r="U420" s="18" t="s">
        <v>1972</v>
      </c>
      <c r="V420" s="19" t="s">
        <v>29</v>
      </c>
      <c r="W420" s="19"/>
      <c r="X420" s="19"/>
      <c r="Y420" s="20"/>
      <c r="Z420" s="19"/>
      <c r="AA420" s="18" t="str">
        <f aca="false">IF(OR(V420="Aprobada"),R420,IF(AND(OR(V420="Aprobada con ajuste",V420="Rechazada"),W420&lt;&gt;""),W420,""))</f>
        <v/>
      </c>
    </row>
    <row r="421" customFormat="false" ht="43.25" hidden="false" customHeight="false" outlineLevel="0" collapsed="false">
      <c r="A421" s="18" t="s">
        <v>1973</v>
      </c>
      <c r="B421" s="18" t="s">
        <v>60</v>
      </c>
      <c r="C421" s="18" t="s">
        <v>61</v>
      </c>
      <c r="D421" s="18" t="s">
        <v>1951</v>
      </c>
      <c r="E421" s="18" t="n">
        <v>0</v>
      </c>
      <c r="F421" s="18" t="s">
        <v>1974</v>
      </c>
      <c r="G421" s="18" t="s">
        <v>1509</v>
      </c>
      <c r="H421" s="18" t="s">
        <v>109</v>
      </c>
      <c r="I421" s="18" t="s">
        <v>140</v>
      </c>
      <c r="J421" s="18"/>
      <c r="K421" s="18"/>
      <c r="L421" s="18" t="s">
        <v>109</v>
      </c>
      <c r="M421" s="18" t="s">
        <v>109</v>
      </c>
      <c r="N421" s="18"/>
      <c r="O421" s="18"/>
      <c r="P421" s="18" t="s">
        <v>1975</v>
      </c>
      <c r="Q421" s="18" t="s">
        <v>123</v>
      </c>
      <c r="R421" s="18" t="s">
        <v>1976</v>
      </c>
      <c r="S421" s="18" t="s">
        <v>125</v>
      </c>
      <c r="T421" s="18" t="s">
        <v>1977</v>
      </c>
      <c r="U421" s="18" t="s">
        <v>1978</v>
      </c>
      <c r="V421" s="19" t="s">
        <v>29</v>
      </c>
      <c r="W421" s="19"/>
      <c r="X421" s="19"/>
      <c r="Y421" s="20"/>
      <c r="Z421" s="19"/>
      <c r="AA421" s="18" t="str">
        <f aca="false">IF(OR(V421="Aprobada"),R421,IF(AND(OR(V421="Aprobada con ajuste",V421="Rechazada"),W421&lt;&gt;""),W421,""))</f>
        <v/>
      </c>
    </row>
    <row r="422" customFormat="false" ht="64.15" hidden="false" customHeight="false" outlineLevel="0" collapsed="false">
      <c r="A422" s="18" t="s">
        <v>1979</v>
      </c>
      <c r="B422" s="18" t="s">
        <v>60</v>
      </c>
      <c r="C422" s="18" t="s">
        <v>61</v>
      </c>
      <c r="D422" s="18" t="s">
        <v>1951</v>
      </c>
      <c r="E422" s="18" t="n">
        <v>0</v>
      </c>
      <c r="F422" s="18" t="s">
        <v>115</v>
      </c>
      <c r="G422" s="18" t="s">
        <v>116</v>
      </c>
      <c r="H422" s="18" t="s">
        <v>117</v>
      </c>
      <c r="I422" s="18"/>
      <c r="J422" s="18"/>
      <c r="K422" s="18"/>
      <c r="L422" s="18" t="s">
        <v>109</v>
      </c>
      <c r="M422" s="18" t="s">
        <v>109</v>
      </c>
      <c r="N422" s="18"/>
      <c r="O422" s="18"/>
      <c r="P422" s="18" t="s">
        <v>1980</v>
      </c>
      <c r="Q422" s="18" t="s">
        <v>110</v>
      </c>
      <c r="R422" s="18" t="s">
        <v>118</v>
      </c>
      <c r="S422" s="18" t="s">
        <v>112</v>
      </c>
      <c r="T422" s="18" t="s">
        <v>113</v>
      </c>
      <c r="U422" s="18"/>
      <c r="V422" s="19" t="s">
        <v>29</v>
      </c>
      <c r="W422" s="19"/>
      <c r="X422" s="19"/>
      <c r="Y422" s="20"/>
      <c r="Z422" s="19"/>
      <c r="AA422" s="18" t="str">
        <f aca="false">IF(OR(V422="Aprobada"),R422,IF(AND(OR(V422="Aprobada con ajuste",V422="Rechazada"),W422&lt;&gt;""),W422,""))</f>
        <v/>
      </c>
    </row>
    <row r="423" customFormat="false" ht="22.35" hidden="false" customHeight="false" outlineLevel="0" collapsed="false">
      <c r="A423" s="18" t="s">
        <v>1981</v>
      </c>
      <c r="B423" s="18" t="s">
        <v>60</v>
      </c>
      <c r="C423" s="18" t="s">
        <v>61</v>
      </c>
      <c r="D423" s="18" t="s">
        <v>1951</v>
      </c>
      <c r="E423" s="18" t="n">
        <v>0</v>
      </c>
      <c r="F423" s="18" t="s">
        <v>107</v>
      </c>
      <c r="G423" s="18" t="s">
        <v>151</v>
      </c>
      <c r="H423" s="18" t="s">
        <v>109</v>
      </c>
      <c r="I423" s="18" t="s">
        <v>140</v>
      </c>
      <c r="J423" s="18" t="s">
        <v>1931</v>
      </c>
      <c r="K423" s="18"/>
      <c r="L423" s="18" t="s">
        <v>117</v>
      </c>
      <c r="M423" s="18" t="s">
        <v>109</v>
      </c>
      <c r="N423" s="18"/>
      <c r="O423" s="18"/>
      <c r="P423" s="18" t="s">
        <v>1982</v>
      </c>
      <c r="Q423" s="18" t="s">
        <v>110</v>
      </c>
      <c r="R423" s="18" t="s">
        <v>1983</v>
      </c>
      <c r="S423" s="18" t="s">
        <v>112</v>
      </c>
      <c r="T423" s="18" t="s">
        <v>113</v>
      </c>
      <c r="U423" s="18"/>
      <c r="V423" s="19" t="s">
        <v>29</v>
      </c>
      <c r="W423" s="19"/>
      <c r="X423" s="19"/>
      <c r="Y423" s="20"/>
      <c r="Z423" s="19"/>
      <c r="AA423" s="18" t="str">
        <f aca="false">IF(OR(V423="Aprobada"),R423,IF(AND(OR(V423="Aprobada con ajuste",V423="Rechazada"),W423&lt;&gt;""),W423,""))</f>
        <v/>
      </c>
    </row>
    <row r="424" customFormat="false" ht="22.35" hidden="false" customHeight="false" outlineLevel="0" collapsed="false">
      <c r="A424" s="18" t="s">
        <v>1984</v>
      </c>
      <c r="B424" s="18" t="s">
        <v>60</v>
      </c>
      <c r="C424" s="18" t="s">
        <v>61</v>
      </c>
      <c r="D424" s="18" t="s">
        <v>1951</v>
      </c>
      <c r="E424" s="18" t="n">
        <v>0</v>
      </c>
      <c r="F424" s="18" t="s">
        <v>1935</v>
      </c>
      <c r="G424" s="18" t="s">
        <v>459</v>
      </c>
      <c r="H424" s="18" t="s">
        <v>117</v>
      </c>
      <c r="I424" s="18"/>
      <c r="J424" s="18"/>
      <c r="K424" s="18"/>
      <c r="L424" s="18" t="s">
        <v>109</v>
      </c>
      <c r="M424" s="18" t="s">
        <v>109</v>
      </c>
      <c r="N424" s="18"/>
      <c r="O424" s="18"/>
      <c r="P424" s="18" t="s">
        <v>1985</v>
      </c>
      <c r="Q424" s="18" t="s">
        <v>110</v>
      </c>
      <c r="R424" s="18" t="s">
        <v>533</v>
      </c>
      <c r="S424" s="18" t="s">
        <v>112</v>
      </c>
      <c r="T424" s="18" t="s">
        <v>113</v>
      </c>
      <c r="U424" s="18"/>
      <c r="V424" s="19" t="s">
        <v>29</v>
      </c>
      <c r="W424" s="19"/>
      <c r="X424" s="19"/>
      <c r="Y424" s="20"/>
      <c r="Z424" s="19"/>
      <c r="AA424" s="18" t="str">
        <f aca="false">IF(OR(V424="Aprobada"),R424,IF(AND(OR(V424="Aprobada con ajuste",V424="Rechazada"),W424&lt;&gt;""),W424,""))</f>
        <v/>
      </c>
    </row>
    <row r="425" customFormat="false" ht="22.35" hidden="false" customHeight="false" outlineLevel="0" collapsed="false">
      <c r="A425" s="18" t="s">
        <v>1986</v>
      </c>
      <c r="B425" s="18" t="s">
        <v>60</v>
      </c>
      <c r="C425" s="18" t="s">
        <v>61</v>
      </c>
      <c r="D425" s="18" t="s">
        <v>1951</v>
      </c>
      <c r="E425" s="18" t="n">
        <v>0</v>
      </c>
      <c r="F425" s="18" t="s">
        <v>1938</v>
      </c>
      <c r="G425" s="18" t="s">
        <v>184</v>
      </c>
      <c r="H425" s="18" t="s">
        <v>117</v>
      </c>
      <c r="I425" s="18" t="s">
        <v>140</v>
      </c>
      <c r="J425" s="18"/>
      <c r="K425" s="18"/>
      <c r="L425" s="18" t="s">
        <v>109</v>
      </c>
      <c r="M425" s="18" t="s">
        <v>109</v>
      </c>
      <c r="N425" s="18"/>
      <c r="O425" s="18"/>
      <c r="P425" s="18" t="s">
        <v>1987</v>
      </c>
      <c r="Q425" s="18" t="s">
        <v>134</v>
      </c>
      <c r="R425" s="18" t="s">
        <v>1988</v>
      </c>
      <c r="S425" s="18" t="s">
        <v>125</v>
      </c>
      <c r="T425" s="18" t="s">
        <v>1941</v>
      </c>
      <c r="U425" s="18"/>
      <c r="V425" s="19" t="s">
        <v>29</v>
      </c>
      <c r="W425" s="19"/>
      <c r="X425" s="19"/>
      <c r="Y425" s="20"/>
      <c r="Z425" s="19"/>
      <c r="AA425" s="18" t="str">
        <f aca="false">IF(OR(V425="Aprobada"),R425,IF(AND(OR(V425="Aprobada con ajuste",V425="Rechazada"),W425&lt;&gt;""),W425,""))</f>
        <v/>
      </c>
    </row>
    <row r="426" customFormat="false" ht="22.35" hidden="false" customHeight="false" outlineLevel="0" collapsed="false">
      <c r="A426" s="18" t="s">
        <v>1989</v>
      </c>
      <c r="B426" s="18" t="s">
        <v>60</v>
      </c>
      <c r="C426" s="18" t="s">
        <v>61</v>
      </c>
      <c r="D426" s="18" t="s">
        <v>1951</v>
      </c>
      <c r="E426" s="18" t="n">
        <v>0</v>
      </c>
      <c r="F426" s="18" t="s">
        <v>1943</v>
      </c>
      <c r="G426" s="18" t="s">
        <v>459</v>
      </c>
      <c r="H426" s="18" t="s">
        <v>117</v>
      </c>
      <c r="I426" s="18"/>
      <c r="J426" s="18"/>
      <c r="K426" s="18"/>
      <c r="L426" s="18" t="s">
        <v>109</v>
      </c>
      <c r="M426" s="18" t="s">
        <v>109</v>
      </c>
      <c r="N426" s="18"/>
      <c r="O426" s="18"/>
      <c r="P426" s="18" t="s">
        <v>1990</v>
      </c>
      <c r="Q426" s="18" t="s">
        <v>134</v>
      </c>
      <c r="R426" s="18" t="s">
        <v>1991</v>
      </c>
      <c r="S426" s="18" t="s">
        <v>112</v>
      </c>
      <c r="T426" s="18" t="s">
        <v>1531</v>
      </c>
      <c r="U426" s="18" t="s">
        <v>1532</v>
      </c>
      <c r="V426" s="19" t="s">
        <v>29</v>
      </c>
      <c r="W426" s="19"/>
      <c r="X426" s="19"/>
      <c r="Y426" s="20"/>
      <c r="Z426" s="19"/>
      <c r="AA426" s="18" t="str">
        <f aca="false">IF(OR(V426="Aprobada"),R426,IF(AND(OR(V426="Aprobada con ajuste",V426="Rechazada"),W426&lt;&gt;""),W426,""))</f>
        <v/>
      </c>
    </row>
    <row r="427" customFormat="false" ht="22.35" hidden="false" customHeight="false" outlineLevel="0" collapsed="false">
      <c r="A427" s="18" t="s">
        <v>1992</v>
      </c>
      <c r="B427" s="18" t="s">
        <v>60</v>
      </c>
      <c r="C427" s="18" t="s">
        <v>61</v>
      </c>
      <c r="D427" s="18" t="s">
        <v>1951</v>
      </c>
      <c r="E427" s="18" t="n">
        <v>0</v>
      </c>
      <c r="F427" s="18" t="s">
        <v>1947</v>
      </c>
      <c r="G427" s="18" t="s">
        <v>116</v>
      </c>
      <c r="H427" s="18" t="s">
        <v>117</v>
      </c>
      <c r="I427" s="18" t="s">
        <v>140</v>
      </c>
      <c r="J427" s="18"/>
      <c r="K427" s="18"/>
      <c r="L427" s="18" t="s">
        <v>109</v>
      </c>
      <c r="M427" s="18" t="s">
        <v>109</v>
      </c>
      <c r="N427" s="18"/>
      <c r="O427" s="18"/>
      <c r="P427" s="18" t="s">
        <v>1993</v>
      </c>
      <c r="Q427" s="18" t="s">
        <v>110</v>
      </c>
      <c r="R427" s="18" t="s">
        <v>1949</v>
      </c>
      <c r="S427" s="18" t="s">
        <v>112</v>
      </c>
      <c r="T427" s="18" t="s">
        <v>113</v>
      </c>
      <c r="U427" s="18"/>
      <c r="V427" s="19" t="s">
        <v>29</v>
      </c>
      <c r="W427" s="19"/>
      <c r="X427" s="19"/>
      <c r="Y427" s="20"/>
      <c r="Z427" s="19"/>
      <c r="AA427" s="18" t="str">
        <f aca="false">IF(OR(V427="Aprobada"),R427,IF(AND(OR(V427="Aprobada con ajuste",V427="Rechazada"),W427&lt;&gt;""),W427,""))</f>
        <v/>
      </c>
    </row>
    <row r="428" customFormat="false" ht="64.15" hidden="false" customHeight="false" outlineLevel="0" collapsed="false">
      <c r="A428" s="18" t="s">
        <v>1994</v>
      </c>
      <c r="B428" s="18" t="s">
        <v>60</v>
      </c>
      <c r="C428" s="18" t="s">
        <v>61</v>
      </c>
      <c r="D428" s="18" t="s">
        <v>1995</v>
      </c>
      <c r="E428" s="18" t="n">
        <v>3</v>
      </c>
      <c r="F428" s="18" t="s">
        <v>1996</v>
      </c>
      <c r="G428" s="18" t="s">
        <v>394</v>
      </c>
      <c r="H428" s="18" t="s">
        <v>109</v>
      </c>
      <c r="I428" s="18"/>
      <c r="J428" s="18"/>
      <c r="K428" s="18"/>
      <c r="L428" s="18" t="s">
        <v>109</v>
      </c>
      <c r="M428" s="18" t="s">
        <v>109</v>
      </c>
      <c r="N428" s="18"/>
      <c r="O428" s="18"/>
      <c r="P428" s="18" t="s">
        <v>1997</v>
      </c>
      <c r="Q428" s="18" t="s">
        <v>123</v>
      </c>
      <c r="R428" s="18" t="s">
        <v>1998</v>
      </c>
      <c r="S428" s="18" t="s">
        <v>125</v>
      </c>
      <c r="T428" s="18" t="s">
        <v>1999</v>
      </c>
      <c r="U428" s="18"/>
      <c r="V428" s="19" t="s">
        <v>29</v>
      </c>
      <c r="W428" s="19"/>
      <c r="X428" s="19"/>
      <c r="Y428" s="20"/>
      <c r="Z428" s="19"/>
      <c r="AA428" s="18" t="str">
        <f aca="false">IF(OR(V428="Aprobada"),R428,IF(AND(OR(V428="Aprobada con ajuste",V428="Rechazada"),W428&lt;&gt;""),W428,""))</f>
        <v/>
      </c>
    </row>
    <row r="429" customFormat="false" ht="22.35" hidden="false" customHeight="false" outlineLevel="0" collapsed="false">
      <c r="A429" s="18" t="s">
        <v>2000</v>
      </c>
      <c r="B429" s="18" t="s">
        <v>60</v>
      </c>
      <c r="C429" s="18" t="s">
        <v>61</v>
      </c>
      <c r="D429" s="18" t="s">
        <v>1995</v>
      </c>
      <c r="E429" s="18" t="n">
        <v>3</v>
      </c>
      <c r="F429" s="18" t="s">
        <v>2001</v>
      </c>
      <c r="G429" s="18" t="s">
        <v>459</v>
      </c>
      <c r="H429" s="18" t="s">
        <v>117</v>
      </c>
      <c r="I429" s="18"/>
      <c r="J429" s="18"/>
      <c r="K429" s="18"/>
      <c r="L429" s="18" t="s">
        <v>109</v>
      </c>
      <c r="M429" s="18" t="s">
        <v>109</v>
      </c>
      <c r="N429" s="18"/>
      <c r="O429" s="18"/>
      <c r="P429" s="18" t="s">
        <v>2002</v>
      </c>
      <c r="Q429" s="18" t="s">
        <v>134</v>
      </c>
      <c r="R429" s="18" t="s">
        <v>2003</v>
      </c>
      <c r="S429" s="18" t="s">
        <v>112</v>
      </c>
      <c r="T429" s="18" t="s">
        <v>1531</v>
      </c>
      <c r="U429" s="18" t="s">
        <v>2004</v>
      </c>
      <c r="V429" s="19" t="s">
        <v>29</v>
      </c>
      <c r="W429" s="19"/>
      <c r="X429" s="19"/>
      <c r="Y429" s="20"/>
      <c r="Z429" s="19"/>
      <c r="AA429" s="18" t="str">
        <f aca="false">IF(OR(V429="Aprobada"),R429,IF(AND(OR(V429="Aprobada con ajuste",V429="Rechazada"),W429&lt;&gt;""),W429,""))</f>
        <v/>
      </c>
    </row>
    <row r="430" customFormat="false" ht="22.35" hidden="false" customHeight="false" outlineLevel="0" collapsed="false">
      <c r="A430" s="18" t="s">
        <v>2005</v>
      </c>
      <c r="B430" s="18" t="s">
        <v>60</v>
      </c>
      <c r="C430" s="18" t="s">
        <v>61</v>
      </c>
      <c r="D430" s="18" t="s">
        <v>1995</v>
      </c>
      <c r="E430" s="18" t="n">
        <v>3</v>
      </c>
      <c r="F430" s="18" t="s">
        <v>107</v>
      </c>
      <c r="G430" s="18" t="s">
        <v>151</v>
      </c>
      <c r="H430" s="18" t="s">
        <v>109</v>
      </c>
      <c r="I430" s="18" t="s">
        <v>140</v>
      </c>
      <c r="J430" s="18" t="s">
        <v>1524</v>
      </c>
      <c r="K430" s="18"/>
      <c r="L430" s="18" t="s">
        <v>117</v>
      </c>
      <c r="M430" s="18" t="s">
        <v>109</v>
      </c>
      <c r="N430" s="18"/>
      <c r="O430" s="18"/>
      <c r="P430" s="18" t="s">
        <v>2006</v>
      </c>
      <c r="Q430" s="18" t="s">
        <v>110</v>
      </c>
      <c r="R430" s="18" t="s">
        <v>2007</v>
      </c>
      <c r="S430" s="18" t="s">
        <v>112</v>
      </c>
      <c r="T430" s="18" t="s">
        <v>113</v>
      </c>
      <c r="U430" s="18"/>
      <c r="V430" s="19" t="s">
        <v>29</v>
      </c>
      <c r="W430" s="19"/>
      <c r="X430" s="19"/>
      <c r="Y430" s="20"/>
      <c r="Z430" s="19"/>
      <c r="AA430" s="18" t="str">
        <f aca="false">IF(OR(V430="Aprobada"),R430,IF(AND(OR(V430="Aprobada con ajuste",V430="Rechazada"),W430&lt;&gt;""),W430,""))</f>
        <v/>
      </c>
    </row>
    <row r="431" customFormat="false" ht="22.35" hidden="false" customHeight="false" outlineLevel="0" collapsed="false">
      <c r="A431" s="18" t="s">
        <v>2008</v>
      </c>
      <c r="B431" s="18" t="s">
        <v>60</v>
      </c>
      <c r="C431" s="18" t="s">
        <v>61</v>
      </c>
      <c r="D431" s="18" t="s">
        <v>1995</v>
      </c>
      <c r="E431" s="18" t="n">
        <v>3</v>
      </c>
      <c r="F431" s="18" t="s">
        <v>1539</v>
      </c>
      <c r="G431" s="18" t="s">
        <v>184</v>
      </c>
      <c r="H431" s="18" t="s">
        <v>117</v>
      </c>
      <c r="I431" s="18" t="s">
        <v>140</v>
      </c>
      <c r="J431" s="18"/>
      <c r="K431" s="18"/>
      <c r="L431" s="18" t="s">
        <v>109</v>
      </c>
      <c r="M431" s="18" t="s">
        <v>109</v>
      </c>
      <c r="N431" s="18"/>
      <c r="O431" s="18"/>
      <c r="P431" s="18" t="s">
        <v>2009</v>
      </c>
      <c r="Q431" s="18" t="s">
        <v>110</v>
      </c>
      <c r="R431" s="18" t="s">
        <v>2010</v>
      </c>
      <c r="S431" s="18" t="s">
        <v>112</v>
      </c>
      <c r="T431" s="18" t="s">
        <v>113</v>
      </c>
      <c r="U431" s="18"/>
      <c r="V431" s="19" t="s">
        <v>29</v>
      </c>
      <c r="W431" s="19"/>
      <c r="X431" s="19"/>
      <c r="Y431" s="20"/>
      <c r="Z431" s="19"/>
      <c r="AA431" s="18" t="str">
        <f aca="false">IF(OR(V431="Aprobada"),R431,IF(AND(OR(V431="Aprobada con ajuste",V431="Rechazada"),W431&lt;&gt;""),W431,""))</f>
        <v/>
      </c>
    </row>
    <row r="432" customFormat="false" ht="22.35" hidden="false" customHeight="false" outlineLevel="0" collapsed="false">
      <c r="A432" s="18" t="s">
        <v>2011</v>
      </c>
      <c r="B432" s="18" t="s">
        <v>60</v>
      </c>
      <c r="C432" s="18" t="s">
        <v>61</v>
      </c>
      <c r="D432" s="18" t="s">
        <v>1995</v>
      </c>
      <c r="E432" s="18" t="n">
        <v>3</v>
      </c>
      <c r="F432" s="18" t="s">
        <v>1544</v>
      </c>
      <c r="G432" s="18" t="s">
        <v>459</v>
      </c>
      <c r="H432" s="18" t="s">
        <v>117</v>
      </c>
      <c r="I432" s="18"/>
      <c r="J432" s="18"/>
      <c r="K432" s="18"/>
      <c r="L432" s="18" t="s">
        <v>109</v>
      </c>
      <c r="M432" s="18" t="s">
        <v>109</v>
      </c>
      <c r="N432" s="18"/>
      <c r="O432" s="18"/>
      <c r="P432" s="18" t="s">
        <v>2012</v>
      </c>
      <c r="Q432" s="18" t="s">
        <v>110</v>
      </c>
      <c r="R432" s="18" t="s">
        <v>1546</v>
      </c>
      <c r="S432" s="18" t="s">
        <v>112</v>
      </c>
      <c r="T432" s="18" t="s">
        <v>113</v>
      </c>
      <c r="U432" s="18"/>
      <c r="V432" s="19" t="s">
        <v>29</v>
      </c>
      <c r="W432" s="19"/>
      <c r="X432" s="19"/>
      <c r="Y432" s="20"/>
      <c r="Z432" s="19"/>
      <c r="AA432" s="18" t="str">
        <f aca="false">IF(OR(V432="Aprobada"),R432,IF(AND(OR(V432="Aprobada con ajuste",V432="Rechazada"),W432&lt;&gt;""),W432,""))</f>
        <v/>
      </c>
    </row>
    <row r="433" customFormat="false" ht="22.35" hidden="false" customHeight="false" outlineLevel="0" collapsed="false">
      <c r="A433" s="18" t="s">
        <v>2013</v>
      </c>
      <c r="B433" s="18" t="s">
        <v>60</v>
      </c>
      <c r="C433" s="18" t="s">
        <v>61</v>
      </c>
      <c r="D433" s="18" t="s">
        <v>1995</v>
      </c>
      <c r="E433" s="18" t="n">
        <v>3</v>
      </c>
      <c r="F433" s="18" t="s">
        <v>1548</v>
      </c>
      <c r="G433" s="18" t="s">
        <v>116</v>
      </c>
      <c r="H433" s="18" t="s">
        <v>117</v>
      </c>
      <c r="I433" s="18" t="s">
        <v>140</v>
      </c>
      <c r="J433" s="18"/>
      <c r="K433" s="18"/>
      <c r="L433" s="18" t="s">
        <v>109</v>
      </c>
      <c r="M433" s="18" t="s">
        <v>109</v>
      </c>
      <c r="N433" s="18"/>
      <c r="O433" s="18"/>
      <c r="P433" s="18" t="s">
        <v>2014</v>
      </c>
      <c r="Q433" s="18" t="s">
        <v>110</v>
      </c>
      <c r="R433" s="18" t="s">
        <v>1550</v>
      </c>
      <c r="S433" s="18" t="s">
        <v>112</v>
      </c>
      <c r="T433" s="18" t="s">
        <v>113</v>
      </c>
      <c r="U433" s="18"/>
      <c r="V433" s="19" t="s">
        <v>29</v>
      </c>
      <c r="W433" s="19"/>
      <c r="X433" s="19"/>
      <c r="Y433" s="20"/>
      <c r="Z433" s="19"/>
      <c r="AA433" s="18" t="str">
        <f aca="false">IF(OR(V433="Aprobada"),R433,IF(AND(OR(V433="Aprobada con ajuste",V433="Rechazada"),W433&lt;&gt;""),W433,""))</f>
        <v/>
      </c>
    </row>
    <row r="434" customFormat="false" ht="137.3" hidden="false" customHeight="false" outlineLevel="0" collapsed="false">
      <c r="A434" s="18" t="s">
        <v>2015</v>
      </c>
      <c r="B434" s="18" t="s">
        <v>60</v>
      </c>
      <c r="C434" s="18" t="s">
        <v>61</v>
      </c>
      <c r="D434" s="18" t="s">
        <v>2016</v>
      </c>
      <c r="E434" s="18" t="n">
        <v>1</v>
      </c>
      <c r="F434" s="18" t="s">
        <v>1553</v>
      </c>
      <c r="G434" s="18" t="s">
        <v>167</v>
      </c>
      <c r="H434" s="18" t="s">
        <v>109</v>
      </c>
      <c r="I434" s="18" t="s">
        <v>409</v>
      </c>
      <c r="J434" s="18"/>
      <c r="K434" s="18"/>
      <c r="L434" s="18" t="s">
        <v>109</v>
      </c>
      <c r="M434" s="18" t="s">
        <v>109</v>
      </c>
      <c r="N434" s="18"/>
      <c r="O434" s="18" t="s">
        <v>2017</v>
      </c>
      <c r="P434" s="18" t="s">
        <v>2018</v>
      </c>
      <c r="Q434" s="18" t="s">
        <v>123</v>
      </c>
      <c r="R434" s="18" t="s">
        <v>2019</v>
      </c>
      <c r="S434" s="18" t="s">
        <v>125</v>
      </c>
      <c r="T434" s="18" t="s">
        <v>2020</v>
      </c>
      <c r="U434" s="18"/>
      <c r="V434" s="19" t="s">
        <v>29</v>
      </c>
      <c r="W434" s="19"/>
      <c r="X434" s="19"/>
      <c r="Y434" s="20"/>
      <c r="Z434" s="19"/>
      <c r="AA434" s="18" t="str">
        <f aca="false">IF(OR(V434="Aprobada"),R434,IF(AND(OR(V434="Aprobada con ajuste",V434="Rechazada"),W434&lt;&gt;""),W434,""))</f>
        <v/>
      </c>
    </row>
    <row r="435" customFormat="false" ht="105.95" hidden="false" customHeight="false" outlineLevel="0" collapsed="false">
      <c r="A435" s="18" t="s">
        <v>2021</v>
      </c>
      <c r="B435" s="18" t="s">
        <v>60</v>
      </c>
      <c r="C435" s="18" t="s">
        <v>61</v>
      </c>
      <c r="D435" s="18" t="s">
        <v>2016</v>
      </c>
      <c r="E435" s="18" t="n">
        <v>1</v>
      </c>
      <c r="F435" s="18" t="s">
        <v>1102</v>
      </c>
      <c r="G435" s="18" t="s">
        <v>1509</v>
      </c>
      <c r="H435" s="18" t="s">
        <v>109</v>
      </c>
      <c r="I435" s="18" t="s">
        <v>140</v>
      </c>
      <c r="J435" s="18"/>
      <c r="K435" s="18"/>
      <c r="L435" s="18" t="s">
        <v>109</v>
      </c>
      <c r="M435" s="18" t="s">
        <v>109</v>
      </c>
      <c r="N435" s="18"/>
      <c r="O435" s="18"/>
      <c r="P435" s="18" t="s">
        <v>2022</v>
      </c>
      <c r="Q435" s="18" t="s">
        <v>123</v>
      </c>
      <c r="R435" s="18" t="s">
        <v>2023</v>
      </c>
      <c r="S435" s="18" t="s">
        <v>169</v>
      </c>
      <c r="T435" s="18" t="s">
        <v>2024</v>
      </c>
      <c r="U435" s="18" t="s">
        <v>2025</v>
      </c>
      <c r="V435" s="19" t="s">
        <v>29</v>
      </c>
      <c r="W435" s="19"/>
      <c r="X435" s="19"/>
      <c r="Y435" s="20"/>
      <c r="Z435" s="19"/>
      <c r="AA435" s="18" t="str">
        <f aca="false">IF(OR(V435="Aprobada"),R435,IF(AND(OR(V435="Aprobada con ajuste",V435="Rechazada"),W435&lt;&gt;""),W435,""))</f>
        <v/>
      </c>
    </row>
    <row r="436" customFormat="false" ht="43.25" hidden="false" customHeight="false" outlineLevel="0" collapsed="false">
      <c r="A436" s="18" t="s">
        <v>2026</v>
      </c>
      <c r="B436" s="18" t="s">
        <v>60</v>
      </c>
      <c r="C436" s="18" t="s">
        <v>61</v>
      </c>
      <c r="D436" s="18" t="s">
        <v>2016</v>
      </c>
      <c r="E436" s="18" t="n">
        <v>1</v>
      </c>
      <c r="F436" s="18" t="s">
        <v>2027</v>
      </c>
      <c r="G436" s="18" t="s">
        <v>139</v>
      </c>
      <c r="H436" s="18" t="s">
        <v>117</v>
      </c>
      <c r="I436" s="18"/>
      <c r="J436" s="18"/>
      <c r="K436" s="18"/>
      <c r="L436" s="18" t="s">
        <v>109</v>
      </c>
      <c r="M436" s="18" t="s">
        <v>109</v>
      </c>
      <c r="N436" s="18"/>
      <c r="O436" s="18"/>
      <c r="P436" s="18" t="s">
        <v>2028</v>
      </c>
      <c r="Q436" s="18" t="s">
        <v>134</v>
      </c>
      <c r="R436" s="18" t="s">
        <v>2029</v>
      </c>
      <c r="S436" s="18" t="s">
        <v>112</v>
      </c>
      <c r="T436" s="18" t="s">
        <v>2030</v>
      </c>
      <c r="U436" s="18" t="s">
        <v>2031</v>
      </c>
      <c r="V436" s="19" t="s">
        <v>29</v>
      </c>
      <c r="W436" s="19"/>
      <c r="X436" s="19"/>
      <c r="Y436" s="20"/>
      <c r="Z436" s="19"/>
      <c r="AA436" s="18" t="str">
        <f aca="false">IF(OR(V436="Aprobada"),R436,IF(AND(OR(V436="Aprobada con ajuste",V436="Rechazada"),W436&lt;&gt;""),W436,""))</f>
        <v/>
      </c>
    </row>
    <row r="437" customFormat="false" ht="116.4" hidden="false" customHeight="false" outlineLevel="0" collapsed="false">
      <c r="A437" s="18" t="s">
        <v>2032</v>
      </c>
      <c r="B437" s="18" t="s">
        <v>60</v>
      </c>
      <c r="C437" s="18" t="s">
        <v>61</v>
      </c>
      <c r="D437" s="18" t="s">
        <v>2016</v>
      </c>
      <c r="E437" s="18" t="n">
        <v>1</v>
      </c>
      <c r="F437" s="18" t="s">
        <v>2033</v>
      </c>
      <c r="G437" s="18" t="s">
        <v>133</v>
      </c>
      <c r="H437" s="18" t="s">
        <v>109</v>
      </c>
      <c r="I437" s="18"/>
      <c r="J437" s="18"/>
      <c r="K437" s="18"/>
      <c r="L437" s="18" t="s">
        <v>109</v>
      </c>
      <c r="M437" s="18" t="s">
        <v>109</v>
      </c>
      <c r="N437" s="18"/>
      <c r="O437" s="18"/>
      <c r="P437" s="18" t="s">
        <v>2034</v>
      </c>
      <c r="Q437" s="18" t="s">
        <v>123</v>
      </c>
      <c r="R437" s="18" t="s">
        <v>2035</v>
      </c>
      <c r="S437" s="18" t="s">
        <v>125</v>
      </c>
      <c r="T437" s="18" t="s">
        <v>2036</v>
      </c>
      <c r="U437" s="18"/>
      <c r="V437" s="19" t="s">
        <v>29</v>
      </c>
      <c r="W437" s="19"/>
      <c r="X437" s="19"/>
      <c r="Y437" s="20"/>
      <c r="Z437" s="19"/>
      <c r="AA437" s="18" t="str">
        <f aca="false">IF(OR(V437="Aprobada"),R437,IF(AND(OR(V437="Aprobada con ajuste",V437="Rechazada"),W437&lt;&gt;""),W437,""))</f>
        <v/>
      </c>
    </row>
    <row r="438" customFormat="false" ht="32.8" hidden="false" customHeight="false" outlineLevel="0" collapsed="false">
      <c r="A438" s="18" t="s">
        <v>2037</v>
      </c>
      <c r="B438" s="18" t="s">
        <v>60</v>
      </c>
      <c r="C438" s="18" t="s">
        <v>61</v>
      </c>
      <c r="D438" s="18" t="s">
        <v>2016</v>
      </c>
      <c r="E438" s="18" t="n">
        <v>1</v>
      </c>
      <c r="F438" s="18" t="s">
        <v>2038</v>
      </c>
      <c r="G438" s="18" t="s">
        <v>1802</v>
      </c>
      <c r="H438" s="18" t="s">
        <v>109</v>
      </c>
      <c r="I438" s="18"/>
      <c r="J438" s="18"/>
      <c r="K438" s="18"/>
      <c r="L438" s="18" t="s">
        <v>109</v>
      </c>
      <c r="M438" s="18" t="s">
        <v>109</v>
      </c>
      <c r="N438" s="18"/>
      <c r="O438" s="18"/>
      <c r="P438" s="18" t="s">
        <v>2039</v>
      </c>
      <c r="Q438" s="18" t="s">
        <v>134</v>
      </c>
      <c r="R438" s="18" t="s">
        <v>2040</v>
      </c>
      <c r="S438" s="18" t="s">
        <v>125</v>
      </c>
      <c r="T438" s="18" t="s">
        <v>1805</v>
      </c>
      <c r="U438" s="18"/>
      <c r="V438" s="19" t="s">
        <v>29</v>
      </c>
      <c r="W438" s="19"/>
      <c r="X438" s="19"/>
      <c r="Y438" s="20"/>
      <c r="Z438" s="19"/>
      <c r="AA438" s="18" t="str">
        <f aca="false">IF(OR(V438="Aprobada"),R438,IF(AND(OR(V438="Aprobada con ajuste",V438="Rechazada"),W438&lt;&gt;""),W438,""))</f>
        <v/>
      </c>
    </row>
    <row r="439" customFormat="false" ht="74.6" hidden="false" customHeight="false" outlineLevel="0" collapsed="false">
      <c r="A439" s="18" t="s">
        <v>2041</v>
      </c>
      <c r="B439" s="18" t="s">
        <v>60</v>
      </c>
      <c r="C439" s="18" t="s">
        <v>61</v>
      </c>
      <c r="D439" s="18" t="s">
        <v>2016</v>
      </c>
      <c r="E439" s="18" t="n">
        <v>1</v>
      </c>
      <c r="F439" s="18" t="s">
        <v>2042</v>
      </c>
      <c r="G439" s="18" t="s">
        <v>151</v>
      </c>
      <c r="H439" s="18" t="s">
        <v>109</v>
      </c>
      <c r="I439" s="18" t="s">
        <v>140</v>
      </c>
      <c r="J439" s="18" t="s">
        <v>2043</v>
      </c>
      <c r="K439" s="18"/>
      <c r="L439" s="18" t="s">
        <v>117</v>
      </c>
      <c r="M439" s="18" t="s">
        <v>109</v>
      </c>
      <c r="N439" s="18"/>
      <c r="O439" s="18"/>
      <c r="P439" s="18" t="s">
        <v>2044</v>
      </c>
      <c r="Q439" s="18" t="s">
        <v>123</v>
      </c>
      <c r="R439" s="18" t="s">
        <v>2045</v>
      </c>
      <c r="S439" s="18" t="s">
        <v>125</v>
      </c>
      <c r="T439" s="18" t="s">
        <v>2046</v>
      </c>
      <c r="U439" s="18"/>
      <c r="V439" s="19" t="s">
        <v>29</v>
      </c>
      <c r="W439" s="19"/>
      <c r="X439" s="19"/>
      <c r="Y439" s="20"/>
      <c r="Z439" s="19"/>
      <c r="AA439" s="18" t="str">
        <f aca="false">IF(OR(V439="Aprobada"),R439,IF(AND(OR(V439="Aprobada con ajuste",V439="Rechazada"),W439&lt;&gt;""),W439,""))</f>
        <v/>
      </c>
    </row>
    <row r="440" customFormat="false" ht="22.35" hidden="false" customHeight="false" outlineLevel="0" collapsed="false">
      <c r="A440" s="18" t="s">
        <v>2047</v>
      </c>
      <c r="B440" s="18" t="s">
        <v>60</v>
      </c>
      <c r="C440" s="18" t="s">
        <v>61</v>
      </c>
      <c r="D440" s="18" t="s">
        <v>2016</v>
      </c>
      <c r="E440" s="18" t="n">
        <v>1</v>
      </c>
      <c r="F440" s="18" t="s">
        <v>2048</v>
      </c>
      <c r="G440" s="18" t="s">
        <v>459</v>
      </c>
      <c r="H440" s="18" t="s">
        <v>117</v>
      </c>
      <c r="I440" s="18"/>
      <c r="J440" s="18"/>
      <c r="K440" s="18"/>
      <c r="L440" s="18" t="s">
        <v>109</v>
      </c>
      <c r="M440" s="18" t="s">
        <v>109</v>
      </c>
      <c r="N440" s="18"/>
      <c r="O440" s="18"/>
      <c r="P440" s="18" t="s">
        <v>2049</v>
      </c>
      <c r="Q440" s="18" t="s">
        <v>110</v>
      </c>
      <c r="R440" s="18" t="s">
        <v>2050</v>
      </c>
      <c r="S440" s="18" t="s">
        <v>112</v>
      </c>
      <c r="T440" s="18" t="s">
        <v>113</v>
      </c>
      <c r="U440" s="18"/>
      <c r="V440" s="19" t="s">
        <v>29</v>
      </c>
      <c r="W440" s="19"/>
      <c r="X440" s="19"/>
      <c r="Y440" s="20"/>
      <c r="Z440" s="19"/>
      <c r="AA440" s="18" t="str">
        <f aca="false">IF(OR(V440="Aprobada"),R440,IF(AND(OR(V440="Aprobada con ajuste",V440="Rechazada"),W440&lt;&gt;""),W440,""))</f>
        <v/>
      </c>
    </row>
    <row r="441" customFormat="false" ht="22.35" hidden="false" customHeight="false" outlineLevel="0" collapsed="false">
      <c r="A441" s="18" t="s">
        <v>2051</v>
      </c>
      <c r="B441" s="18" t="s">
        <v>60</v>
      </c>
      <c r="C441" s="18" t="s">
        <v>61</v>
      </c>
      <c r="D441" s="18" t="s">
        <v>2016</v>
      </c>
      <c r="E441" s="18" t="n">
        <v>1</v>
      </c>
      <c r="F441" s="18" t="s">
        <v>2052</v>
      </c>
      <c r="G441" s="18" t="s">
        <v>184</v>
      </c>
      <c r="H441" s="18" t="s">
        <v>109</v>
      </c>
      <c r="I441" s="18"/>
      <c r="J441" s="18"/>
      <c r="K441" s="18"/>
      <c r="L441" s="18" t="s">
        <v>109</v>
      </c>
      <c r="M441" s="18" t="s">
        <v>109</v>
      </c>
      <c r="N441" s="18"/>
      <c r="O441" s="18"/>
      <c r="P441" s="18" t="s">
        <v>2053</v>
      </c>
      <c r="Q441" s="18" t="s">
        <v>110</v>
      </c>
      <c r="R441" s="18" t="s">
        <v>2054</v>
      </c>
      <c r="S441" s="18" t="s">
        <v>112</v>
      </c>
      <c r="T441" s="18" t="s">
        <v>113</v>
      </c>
      <c r="U441" s="18"/>
      <c r="V441" s="19" t="s">
        <v>29</v>
      </c>
      <c r="W441" s="19"/>
      <c r="X441" s="19"/>
      <c r="Y441" s="20"/>
      <c r="Z441" s="19"/>
      <c r="AA441" s="18" t="str">
        <f aca="false">IF(OR(V441="Aprobada"),R441,IF(AND(OR(V441="Aprobada con ajuste",V441="Rechazada"),W441&lt;&gt;""),W441,""))</f>
        <v/>
      </c>
    </row>
    <row r="442" customFormat="false" ht="43.25" hidden="false" customHeight="false" outlineLevel="0" collapsed="false">
      <c r="A442" s="18" t="s">
        <v>2055</v>
      </c>
      <c r="B442" s="18" t="s">
        <v>60</v>
      </c>
      <c r="C442" s="18" t="s">
        <v>61</v>
      </c>
      <c r="D442" s="18" t="s">
        <v>2016</v>
      </c>
      <c r="E442" s="18" t="n">
        <v>1</v>
      </c>
      <c r="F442" s="18" t="s">
        <v>2056</v>
      </c>
      <c r="G442" s="18" t="s">
        <v>184</v>
      </c>
      <c r="H442" s="18" t="s">
        <v>117</v>
      </c>
      <c r="I442" s="18" t="s">
        <v>140</v>
      </c>
      <c r="J442" s="18"/>
      <c r="K442" s="18"/>
      <c r="L442" s="18" t="s">
        <v>109</v>
      </c>
      <c r="M442" s="18" t="s">
        <v>109</v>
      </c>
      <c r="N442" s="18"/>
      <c r="O442" s="18"/>
      <c r="P442" s="18" t="s">
        <v>2057</v>
      </c>
      <c r="Q442" s="18" t="s">
        <v>123</v>
      </c>
      <c r="R442" s="18" t="s">
        <v>2058</v>
      </c>
      <c r="S442" s="18" t="s">
        <v>125</v>
      </c>
      <c r="T442" s="18" t="s">
        <v>2059</v>
      </c>
      <c r="U442" s="18"/>
      <c r="V442" s="19" t="s">
        <v>29</v>
      </c>
      <c r="W442" s="19"/>
      <c r="X442" s="19"/>
      <c r="Y442" s="20"/>
      <c r="Z442" s="19"/>
      <c r="AA442" s="18" t="str">
        <f aca="false">IF(OR(V442="Aprobada"),R442,IF(AND(OR(V442="Aprobada con ajuste",V442="Rechazada"),W442&lt;&gt;""),W442,""))</f>
        <v/>
      </c>
    </row>
    <row r="443" customFormat="false" ht="43.25" hidden="false" customHeight="false" outlineLevel="0" collapsed="false">
      <c r="A443" s="18" t="s">
        <v>2060</v>
      </c>
      <c r="B443" s="18" t="s">
        <v>60</v>
      </c>
      <c r="C443" s="18" t="s">
        <v>61</v>
      </c>
      <c r="D443" s="18" t="s">
        <v>2016</v>
      </c>
      <c r="E443" s="18" t="n">
        <v>1</v>
      </c>
      <c r="F443" s="18" t="s">
        <v>2061</v>
      </c>
      <c r="G443" s="18" t="s">
        <v>459</v>
      </c>
      <c r="H443" s="18" t="s">
        <v>117</v>
      </c>
      <c r="I443" s="18" t="s">
        <v>140</v>
      </c>
      <c r="J443" s="18"/>
      <c r="K443" s="18"/>
      <c r="L443" s="18" t="s">
        <v>109</v>
      </c>
      <c r="M443" s="18" t="s">
        <v>109</v>
      </c>
      <c r="N443" s="18"/>
      <c r="O443" s="18"/>
      <c r="P443" s="18" t="s">
        <v>2062</v>
      </c>
      <c r="Q443" s="18" t="s">
        <v>134</v>
      </c>
      <c r="R443" s="18" t="s">
        <v>2063</v>
      </c>
      <c r="S443" s="18" t="s">
        <v>112</v>
      </c>
      <c r="T443" s="18" t="s">
        <v>2064</v>
      </c>
      <c r="U443" s="18" t="s">
        <v>2065</v>
      </c>
      <c r="V443" s="19" t="s">
        <v>29</v>
      </c>
      <c r="W443" s="19"/>
      <c r="X443" s="19"/>
      <c r="Y443" s="20"/>
      <c r="Z443" s="19"/>
      <c r="AA443" s="18" t="str">
        <f aca="false">IF(OR(V443="Aprobada"),R443,IF(AND(OR(V443="Aprobada con ajuste",V443="Rechazada"),W443&lt;&gt;""),W443,""))</f>
        <v/>
      </c>
    </row>
    <row r="444" customFormat="false" ht="22.35" hidden="false" customHeight="false" outlineLevel="0" collapsed="false">
      <c r="A444" s="18" t="s">
        <v>2066</v>
      </c>
      <c r="B444" s="18" t="s">
        <v>60</v>
      </c>
      <c r="C444" s="18" t="s">
        <v>61</v>
      </c>
      <c r="D444" s="18" t="s">
        <v>2016</v>
      </c>
      <c r="E444" s="18" t="n">
        <v>1</v>
      </c>
      <c r="F444" s="18" t="s">
        <v>2067</v>
      </c>
      <c r="G444" s="18" t="s">
        <v>116</v>
      </c>
      <c r="H444" s="18" t="s">
        <v>117</v>
      </c>
      <c r="I444" s="18"/>
      <c r="J444" s="18"/>
      <c r="K444" s="18"/>
      <c r="L444" s="18" t="s">
        <v>109</v>
      </c>
      <c r="M444" s="18" t="s">
        <v>109</v>
      </c>
      <c r="N444" s="18"/>
      <c r="O444" s="18"/>
      <c r="P444" s="18" t="s">
        <v>2068</v>
      </c>
      <c r="Q444" s="18" t="s">
        <v>134</v>
      </c>
      <c r="R444" s="18" t="s">
        <v>2069</v>
      </c>
      <c r="S444" s="18" t="s">
        <v>125</v>
      </c>
      <c r="T444" s="18" t="s">
        <v>2070</v>
      </c>
      <c r="U444" s="18"/>
      <c r="V444" s="19" t="s">
        <v>29</v>
      </c>
      <c r="W444" s="19"/>
      <c r="X444" s="19"/>
      <c r="Y444" s="20"/>
      <c r="Z444" s="19"/>
      <c r="AA444" s="18" t="str">
        <f aca="false">IF(OR(V444="Aprobada"),R444,IF(AND(OR(V444="Aprobada con ajuste",V444="Rechazada"),W444&lt;&gt;""),W444,""))</f>
        <v/>
      </c>
    </row>
    <row r="445" customFormat="false" ht="22.35" hidden="false" customHeight="false" outlineLevel="0" collapsed="false">
      <c r="A445" s="18" t="s">
        <v>2071</v>
      </c>
      <c r="B445" s="18" t="s">
        <v>60</v>
      </c>
      <c r="C445" s="18" t="s">
        <v>61</v>
      </c>
      <c r="D445" s="18" t="s">
        <v>2016</v>
      </c>
      <c r="E445" s="18" t="n">
        <v>1</v>
      </c>
      <c r="F445" s="18" t="s">
        <v>2072</v>
      </c>
      <c r="G445" s="18" t="s">
        <v>184</v>
      </c>
      <c r="H445" s="18" t="s">
        <v>117</v>
      </c>
      <c r="I445" s="18" t="s">
        <v>140</v>
      </c>
      <c r="J445" s="18"/>
      <c r="K445" s="18"/>
      <c r="L445" s="18" t="s">
        <v>109</v>
      </c>
      <c r="M445" s="18" t="s">
        <v>109</v>
      </c>
      <c r="N445" s="18"/>
      <c r="O445" s="18"/>
      <c r="P445" s="18" t="s">
        <v>2073</v>
      </c>
      <c r="Q445" s="18" t="s">
        <v>110</v>
      </c>
      <c r="R445" s="18" t="s">
        <v>2074</v>
      </c>
      <c r="S445" s="18" t="s">
        <v>112</v>
      </c>
      <c r="T445" s="18" t="s">
        <v>113</v>
      </c>
      <c r="U445" s="18"/>
      <c r="V445" s="19" t="s">
        <v>29</v>
      </c>
      <c r="W445" s="19"/>
      <c r="X445" s="19"/>
      <c r="Y445" s="20"/>
      <c r="Z445" s="19"/>
      <c r="AA445" s="18" t="str">
        <f aca="false">IF(OR(V445="Aprobada"),R445,IF(AND(OR(V445="Aprobada con ajuste",V445="Rechazada"),W445&lt;&gt;""),W445,""))</f>
        <v/>
      </c>
    </row>
    <row r="446" customFormat="false" ht="43.25" hidden="false" customHeight="false" outlineLevel="0" collapsed="false">
      <c r="A446" s="18" t="s">
        <v>2075</v>
      </c>
      <c r="B446" s="18" t="s">
        <v>60</v>
      </c>
      <c r="C446" s="18" t="s">
        <v>61</v>
      </c>
      <c r="D446" s="18" t="s">
        <v>2016</v>
      </c>
      <c r="E446" s="18" t="n">
        <v>1</v>
      </c>
      <c r="F446" s="18" t="s">
        <v>2076</v>
      </c>
      <c r="G446" s="18" t="s">
        <v>459</v>
      </c>
      <c r="H446" s="18" t="s">
        <v>117</v>
      </c>
      <c r="I446" s="18"/>
      <c r="J446" s="18"/>
      <c r="K446" s="18"/>
      <c r="L446" s="18" t="s">
        <v>109</v>
      </c>
      <c r="M446" s="18" t="s">
        <v>109</v>
      </c>
      <c r="N446" s="18"/>
      <c r="O446" s="18"/>
      <c r="P446" s="18" t="s">
        <v>2077</v>
      </c>
      <c r="Q446" s="18" t="s">
        <v>110</v>
      </c>
      <c r="R446" s="18" t="s">
        <v>2078</v>
      </c>
      <c r="S446" s="18" t="s">
        <v>112</v>
      </c>
      <c r="T446" s="18" t="s">
        <v>113</v>
      </c>
      <c r="U446" s="18"/>
      <c r="V446" s="19" t="s">
        <v>29</v>
      </c>
      <c r="W446" s="19"/>
      <c r="X446" s="19"/>
      <c r="Y446" s="20"/>
      <c r="Z446" s="19"/>
      <c r="AA446" s="18" t="str">
        <f aca="false">IF(OR(V446="Aprobada"),R446,IF(AND(OR(V446="Aprobada con ajuste",V446="Rechazada"),W446&lt;&gt;""),W446,""))</f>
        <v/>
      </c>
    </row>
    <row r="447" customFormat="false" ht="22.35" hidden="false" customHeight="false" outlineLevel="0" collapsed="false">
      <c r="A447" s="18" t="s">
        <v>2079</v>
      </c>
      <c r="B447" s="18" t="s">
        <v>60</v>
      </c>
      <c r="C447" s="18" t="s">
        <v>61</v>
      </c>
      <c r="D447" s="18" t="s">
        <v>2016</v>
      </c>
      <c r="E447" s="18" t="n">
        <v>1</v>
      </c>
      <c r="F447" s="18" t="s">
        <v>2080</v>
      </c>
      <c r="G447" s="18" t="s">
        <v>116</v>
      </c>
      <c r="H447" s="18" t="s">
        <v>117</v>
      </c>
      <c r="I447" s="18" t="s">
        <v>140</v>
      </c>
      <c r="J447" s="18"/>
      <c r="K447" s="18"/>
      <c r="L447" s="18" t="s">
        <v>109</v>
      </c>
      <c r="M447" s="18" t="s">
        <v>109</v>
      </c>
      <c r="N447" s="18"/>
      <c r="O447" s="18"/>
      <c r="P447" s="18" t="s">
        <v>2081</v>
      </c>
      <c r="Q447" s="18" t="s">
        <v>110</v>
      </c>
      <c r="R447" s="18" t="s">
        <v>2082</v>
      </c>
      <c r="S447" s="18" t="s">
        <v>112</v>
      </c>
      <c r="T447" s="18" t="s">
        <v>113</v>
      </c>
      <c r="U447" s="18"/>
      <c r="V447" s="19" t="s">
        <v>29</v>
      </c>
      <c r="W447" s="19"/>
      <c r="X447" s="19"/>
      <c r="Y447" s="20"/>
      <c r="Z447" s="19"/>
      <c r="AA447" s="18" t="str">
        <f aca="false">IF(OR(V447="Aprobada"),R447,IF(AND(OR(V447="Aprobada con ajuste",V447="Rechazada"),W447&lt;&gt;""),W447,""))</f>
        <v/>
      </c>
    </row>
    <row r="448" customFormat="false" ht="32.8" hidden="false" customHeight="false" outlineLevel="0" collapsed="false">
      <c r="A448" s="18" t="s">
        <v>2083</v>
      </c>
      <c r="B448" s="18" t="s">
        <v>60</v>
      </c>
      <c r="C448" s="18" t="s">
        <v>61</v>
      </c>
      <c r="D448" s="18" t="s">
        <v>2016</v>
      </c>
      <c r="E448" s="18" t="n">
        <v>1</v>
      </c>
      <c r="F448" s="18" t="s">
        <v>2084</v>
      </c>
      <c r="G448" s="18" t="s">
        <v>184</v>
      </c>
      <c r="H448" s="18" t="s">
        <v>117</v>
      </c>
      <c r="I448" s="18" t="s">
        <v>140</v>
      </c>
      <c r="J448" s="18"/>
      <c r="K448" s="18"/>
      <c r="L448" s="18" t="s">
        <v>109</v>
      </c>
      <c r="M448" s="18" t="s">
        <v>109</v>
      </c>
      <c r="N448" s="18"/>
      <c r="O448" s="18"/>
      <c r="P448" s="18" t="s">
        <v>2085</v>
      </c>
      <c r="Q448" s="18" t="s">
        <v>123</v>
      </c>
      <c r="R448" s="18" t="s">
        <v>2086</v>
      </c>
      <c r="S448" s="18" t="s">
        <v>125</v>
      </c>
      <c r="T448" s="18" t="s">
        <v>2087</v>
      </c>
      <c r="U448" s="18"/>
      <c r="V448" s="19" t="s">
        <v>29</v>
      </c>
      <c r="W448" s="19"/>
      <c r="X448" s="19"/>
      <c r="Y448" s="20"/>
      <c r="Z448" s="19"/>
      <c r="AA448" s="18" t="str">
        <f aca="false">IF(OR(V448="Aprobada"),R448,IF(AND(OR(V448="Aprobada con ajuste",V448="Rechazada"),W448&lt;&gt;""),W448,""))</f>
        <v/>
      </c>
    </row>
    <row r="449" customFormat="false" ht="43.25" hidden="false" customHeight="false" outlineLevel="0" collapsed="false">
      <c r="A449" s="18" t="s">
        <v>2088</v>
      </c>
      <c r="B449" s="18" t="s">
        <v>60</v>
      </c>
      <c r="C449" s="18" t="s">
        <v>61</v>
      </c>
      <c r="D449" s="18" t="s">
        <v>2016</v>
      </c>
      <c r="E449" s="18" t="n">
        <v>1</v>
      </c>
      <c r="F449" s="18" t="s">
        <v>2089</v>
      </c>
      <c r="G449" s="18" t="s">
        <v>184</v>
      </c>
      <c r="H449" s="18" t="s">
        <v>117</v>
      </c>
      <c r="I449" s="18" t="s">
        <v>140</v>
      </c>
      <c r="J449" s="18"/>
      <c r="K449" s="18"/>
      <c r="L449" s="18" t="s">
        <v>109</v>
      </c>
      <c r="M449" s="18" t="s">
        <v>109</v>
      </c>
      <c r="N449" s="18"/>
      <c r="O449" s="18"/>
      <c r="P449" s="18" t="s">
        <v>2090</v>
      </c>
      <c r="Q449" s="18" t="s">
        <v>123</v>
      </c>
      <c r="R449" s="18" t="s">
        <v>2091</v>
      </c>
      <c r="S449" s="18" t="s">
        <v>125</v>
      </c>
      <c r="T449" s="18" t="s">
        <v>2092</v>
      </c>
      <c r="U449" s="18"/>
      <c r="V449" s="19" t="s">
        <v>29</v>
      </c>
      <c r="W449" s="19"/>
      <c r="X449" s="19"/>
      <c r="Y449" s="20"/>
      <c r="Z449" s="19"/>
      <c r="AA449" s="18" t="str">
        <f aca="false">IF(OR(V449="Aprobada"),R449,IF(AND(OR(V449="Aprobada con ajuste",V449="Rechazada"),W449&lt;&gt;""),W449,""))</f>
        <v/>
      </c>
    </row>
    <row r="450" customFormat="false" ht="105.95" hidden="false" customHeight="false" outlineLevel="0" collapsed="false">
      <c r="A450" s="18" t="s">
        <v>2093</v>
      </c>
      <c r="B450" s="18" t="s">
        <v>60</v>
      </c>
      <c r="C450" s="18" t="s">
        <v>61</v>
      </c>
      <c r="D450" s="18" t="s">
        <v>2094</v>
      </c>
      <c r="E450" s="18" t="n">
        <v>0</v>
      </c>
      <c r="F450" s="18" t="s">
        <v>2095</v>
      </c>
      <c r="G450" s="18" t="s">
        <v>108</v>
      </c>
      <c r="H450" s="18" t="s">
        <v>109</v>
      </c>
      <c r="I450" s="18" t="s">
        <v>140</v>
      </c>
      <c r="J450" s="18" t="s">
        <v>2096</v>
      </c>
      <c r="K450" s="18"/>
      <c r="L450" s="18" t="s">
        <v>117</v>
      </c>
      <c r="M450" s="18" t="s">
        <v>109</v>
      </c>
      <c r="N450" s="18"/>
      <c r="O450" s="18"/>
      <c r="P450" s="18" t="s">
        <v>2097</v>
      </c>
      <c r="Q450" s="18" t="s">
        <v>123</v>
      </c>
      <c r="R450" s="18" t="s">
        <v>2098</v>
      </c>
      <c r="S450" s="18" t="s">
        <v>125</v>
      </c>
      <c r="T450" s="18" t="s">
        <v>2099</v>
      </c>
      <c r="U450" s="18"/>
      <c r="V450" s="19" t="s">
        <v>29</v>
      </c>
      <c r="W450" s="19"/>
      <c r="X450" s="19"/>
      <c r="Y450" s="20"/>
      <c r="Z450" s="19"/>
      <c r="AA450" s="18" t="str">
        <f aca="false">IF(OR(V450="Aprobada"),R450,IF(AND(OR(V450="Aprobada con ajuste",V450="Rechazada"),W450&lt;&gt;""),W450,""))</f>
        <v/>
      </c>
    </row>
    <row r="451" customFormat="false" ht="158.2" hidden="false" customHeight="false" outlineLevel="0" collapsed="false">
      <c r="A451" s="18" t="s">
        <v>2100</v>
      </c>
      <c r="B451" s="18" t="s">
        <v>60</v>
      </c>
      <c r="C451" s="18" t="s">
        <v>61</v>
      </c>
      <c r="D451" s="18" t="s">
        <v>2094</v>
      </c>
      <c r="E451" s="18" t="n">
        <v>0</v>
      </c>
      <c r="F451" s="18" t="s">
        <v>312</v>
      </c>
      <c r="G451" s="18" t="s">
        <v>116</v>
      </c>
      <c r="H451" s="18" t="s">
        <v>109</v>
      </c>
      <c r="I451" s="18"/>
      <c r="J451" s="18"/>
      <c r="K451" s="18"/>
      <c r="L451" s="18" t="s">
        <v>109</v>
      </c>
      <c r="M451" s="18" t="s">
        <v>109</v>
      </c>
      <c r="N451" s="18"/>
      <c r="O451" s="18"/>
      <c r="P451" s="18" t="s">
        <v>2101</v>
      </c>
      <c r="Q451" s="18" t="s">
        <v>123</v>
      </c>
      <c r="R451" s="18" t="s">
        <v>2102</v>
      </c>
      <c r="S451" s="18" t="s">
        <v>125</v>
      </c>
      <c r="T451" s="18" t="s">
        <v>2103</v>
      </c>
      <c r="U451" s="18"/>
      <c r="V451" s="19" t="s">
        <v>29</v>
      </c>
      <c r="W451" s="19"/>
      <c r="X451" s="19"/>
      <c r="Y451" s="20"/>
      <c r="Z451" s="19"/>
      <c r="AA451" s="18" t="str">
        <f aca="false">IF(OR(V451="Aprobada"),R451,IF(AND(OR(V451="Aprobada con ajuste",V451="Rechazada"),W451&lt;&gt;""),W451,""))</f>
        <v/>
      </c>
    </row>
    <row r="452" customFormat="false" ht="53.7" hidden="false" customHeight="false" outlineLevel="0" collapsed="false">
      <c r="A452" s="18" t="s">
        <v>2104</v>
      </c>
      <c r="B452" s="18" t="s">
        <v>60</v>
      </c>
      <c r="C452" s="18" t="s">
        <v>61</v>
      </c>
      <c r="D452" s="18" t="s">
        <v>2094</v>
      </c>
      <c r="E452" s="18" t="n">
        <v>0</v>
      </c>
      <c r="F452" s="18" t="s">
        <v>1499</v>
      </c>
      <c r="G452" s="18" t="s">
        <v>167</v>
      </c>
      <c r="H452" s="18" t="s">
        <v>109</v>
      </c>
      <c r="I452" s="18"/>
      <c r="J452" s="18"/>
      <c r="K452" s="18"/>
      <c r="L452" s="18" t="s">
        <v>109</v>
      </c>
      <c r="M452" s="18" t="s">
        <v>109</v>
      </c>
      <c r="N452" s="18"/>
      <c r="O452" s="18"/>
      <c r="P452" s="18" t="s">
        <v>2105</v>
      </c>
      <c r="Q452" s="18" t="s">
        <v>123</v>
      </c>
      <c r="R452" s="18" t="s">
        <v>2106</v>
      </c>
      <c r="S452" s="18" t="s">
        <v>125</v>
      </c>
      <c r="T452" s="18" t="s">
        <v>2107</v>
      </c>
      <c r="U452" s="18"/>
      <c r="V452" s="19" t="s">
        <v>29</v>
      </c>
      <c r="W452" s="19"/>
      <c r="X452" s="19"/>
      <c r="Y452" s="20"/>
      <c r="Z452" s="19"/>
      <c r="AA452" s="18" t="str">
        <f aca="false">IF(OR(V452="Aprobada"),R452,IF(AND(OR(V452="Aprobada con ajuste",V452="Rechazada"),W452&lt;&gt;""),W452,""))</f>
        <v/>
      </c>
    </row>
    <row r="453" customFormat="false" ht="43.25" hidden="false" customHeight="false" outlineLevel="0" collapsed="false">
      <c r="A453" s="18" t="s">
        <v>2108</v>
      </c>
      <c r="B453" s="18" t="s">
        <v>60</v>
      </c>
      <c r="C453" s="18" t="s">
        <v>61</v>
      </c>
      <c r="D453" s="18" t="s">
        <v>2094</v>
      </c>
      <c r="E453" s="18" t="n">
        <v>0</v>
      </c>
      <c r="F453" s="18" t="s">
        <v>1504</v>
      </c>
      <c r="G453" s="18" t="s">
        <v>394</v>
      </c>
      <c r="H453" s="18" t="s">
        <v>109</v>
      </c>
      <c r="I453" s="18"/>
      <c r="J453" s="18"/>
      <c r="K453" s="18"/>
      <c r="L453" s="18" t="s">
        <v>109</v>
      </c>
      <c r="M453" s="18" t="s">
        <v>109</v>
      </c>
      <c r="N453" s="18"/>
      <c r="O453" s="18"/>
      <c r="P453" s="18" t="s">
        <v>2109</v>
      </c>
      <c r="Q453" s="18" t="s">
        <v>110</v>
      </c>
      <c r="R453" s="18" t="s">
        <v>1506</v>
      </c>
      <c r="S453" s="18" t="s">
        <v>112</v>
      </c>
      <c r="T453" s="18" t="s">
        <v>113</v>
      </c>
      <c r="U453" s="18"/>
      <c r="V453" s="19" t="s">
        <v>29</v>
      </c>
      <c r="W453" s="19"/>
      <c r="X453" s="19"/>
      <c r="Y453" s="20"/>
      <c r="Z453" s="19"/>
      <c r="AA453" s="18" t="str">
        <f aca="false">IF(OR(V453="Aprobada"),R453,IF(AND(OR(V453="Aprobada con ajuste",V453="Rechazada"),W453&lt;&gt;""),W453,""))</f>
        <v/>
      </c>
    </row>
    <row r="454" customFormat="false" ht="64.15" hidden="false" customHeight="false" outlineLevel="0" collapsed="false">
      <c r="A454" s="18" t="s">
        <v>2110</v>
      </c>
      <c r="B454" s="18" t="s">
        <v>60</v>
      </c>
      <c r="C454" s="18" t="s">
        <v>61</v>
      </c>
      <c r="D454" s="18" t="s">
        <v>2094</v>
      </c>
      <c r="E454" s="18" t="n">
        <v>0</v>
      </c>
      <c r="F454" s="18" t="s">
        <v>2111</v>
      </c>
      <c r="G454" s="18" t="s">
        <v>139</v>
      </c>
      <c r="H454" s="18" t="s">
        <v>109</v>
      </c>
      <c r="I454" s="18" t="s">
        <v>140</v>
      </c>
      <c r="J454" s="18"/>
      <c r="K454" s="18"/>
      <c r="L454" s="18" t="s">
        <v>109</v>
      </c>
      <c r="M454" s="18" t="s">
        <v>109</v>
      </c>
      <c r="N454" s="18"/>
      <c r="O454" s="18"/>
      <c r="P454" s="18" t="s">
        <v>2112</v>
      </c>
      <c r="Q454" s="18" t="s">
        <v>123</v>
      </c>
      <c r="R454" s="18" t="s">
        <v>2113</v>
      </c>
      <c r="S454" s="18" t="s">
        <v>125</v>
      </c>
      <c r="T454" s="18" t="s">
        <v>2114</v>
      </c>
      <c r="U454" s="18" t="s">
        <v>2115</v>
      </c>
      <c r="V454" s="19" t="s">
        <v>29</v>
      </c>
      <c r="W454" s="19"/>
      <c r="X454" s="19"/>
      <c r="Y454" s="20"/>
      <c r="Z454" s="19"/>
      <c r="AA454" s="18" t="str">
        <f aca="false">IF(OR(V454="Aprobada"),R454,IF(AND(OR(V454="Aprobada con ajuste",V454="Rechazada"),W454&lt;&gt;""),W454,""))</f>
        <v/>
      </c>
    </row>
    <row r="455" customFormat="false" ht="64.15" hidden="false" customHeight="false" outlineLevel="0" collapsed="false">
      <c r="A455" s="18" t="s">
        <v>2116</v>
      </c>
      <c r="B455" s="18" t="s">
        <v>60</v>
      </c>
      <c r="C455" s="18" t="s">
        <v>61</v>
      </c>
      <c r="D455" s="18" t="s">
        <v>2094</v>
      </c>
      <c r="E455" s="18" t="n">
        <v>0</v>
      </c>
      <c r="F455" s="18" t="s">
        <v>2117</v>
      </c>
      <c r="G455" s="18" t="s">
        <v>184</v>
      </c>
      <c r="H455" s="18" t="s">
        <v>117</v>
      </c>
      <c r="I455" s="18"/>
      <c r="J455" s="18"/>
      <c r="K455" s="18"/>
      <c r="L455" s="18" t="s">
        <v>109</v>
      </c>
      <c r="M455" s="18" t="s">
        <v>109</v>
      </c>
      <c r="N455" s="18"/>
      <c r="O455" s="18"/>
      <c r="P455" s="18" t="s">
        <v>2118</v>
      </c>
      <c r="Q455" s="18" t="s">
        <v>123</v>
      </c>
      <c r="R455" s="18" t="s">
        <v>2119</v>
      </c>
      <c r="S455" s="18" t="s">
        <v>125</v>
      </c>
      <c r="T455" s="18" t="s">
        <v>2120</v>
      </c>
      <c r="U455" s="18"/>
      <c r="V455" s="19" t="s">
        <v>29</v>
      </c>
      <c r="W455" s="19"/>
      <c r="X455" s="19"/>
      <c r="Y455" s="20"/>
      <c r="Z455" s="19"/>
      <c r="AA455" s="18" t="str">
        <f aca="false">IF(OR(V455="Aprobada"),R455,IF(AND(OR(V455="Aprobada con ajuste",V455="Rechazada"),W455&lt;&gt;""),W455,""))</f>
        <v/>
      </c>
    </row>
    <row r="456" customFormat="false" ht="22.35" hidden="false" customHeight="false" outlineLevel="0" collapsed="false">
      <c r="A456" s="18" t="s">
        <v>2121</v>
      </c>
      <c r="B456" s="18" t="s">
        <v>60</v>
      </c>
      <c r="C456" s="18" t="s">
        <v>61</v>
      </c>
      <c r="D456" s="18" t="s">
        <v>2094</v>
      </c>
      <c r="E456" s="18" t="n">
        <v>0</v>
      </c>
      <c r="F456" s="18" t="s">
        <v>2122</v>
      </c>
      <c r="G456" s="18" t="s">
        <v>184</v>
      </c>
      <c r="H456" s="18" t="s">
        <v>117</v>
      </c>
      <c r="I456" s="18" t="s">
        <v>140</v>
      </c>
      <c r="J456" s="18"/>
      <c r="K456" s="18"/>
      <c r="L456" s="18" t="s">
        <v>109</v>
      </c>
      <c r="M456" s="18" t="s">
        <v>109</v>
      </c>
      <c r="N456" s="18"/>
      <c r="O456" s="18"/>
      <c r="P456" s="18" t="s">
        <v>2123</v>
      </c>
      <c r="Q456" s="18" t="s">
        <v>110</v>
      </c>
      <c r="R456" s="18" t="s">
        <v>1522</v>
      </c>
      <c r="S456" s="18" t="s">
        <v>112</v>
      </c>
      <c r="T456" s="18" t="s">
        <v>113</v>
      </c>
      <c r="U456" s="18"/>
      <c r="V456" s="19" t="s">
        <v>29</v>
      </c>
      <c r="W456" s="19"/>
      <c r="X456" s="19"/>
      <c r="Y456" s="20"/>
      <c r="Z456" s="19"/>
      <c r="AA456" s="18" t="str">
        <f aca="false">IF(OR(V456="Aprobada"),R456,IF(AND(OR(V456="Aprobada con ajuste",V456="Rechazada"),W456&lt;&gt;""),W456,""))</f>
        <v/>
      </c>
    </row>
    <row r="457" customFormat="false" ht="22.35" hidden="false" customHeight="false" outlineLevel="0" collapsed="false">
      <c r="A457" s="18" t="s">
        <v>2124</v>
      </c>
      <c r="B457" s="18" t="s">
        <v>60</v>
      </c>
      <c r="C457" s="18" t="s">
        <v>61</v>
      </c>
      <c r="D457" s="18" t="s">
        <v>2094</v>
      </c>
      <c r="E457" s="18" t="n">
        <v>0</v>
      </c>
      <c r="F457" s="18" t="s">
        <v>107</v>
      </c>
      <c r="G457" s="18" t="s">
        <v>151</v>
      </c>
      <c r="H457" s="18" t="s">
        <v>109</v>
      </c>
      <c r="I457" s="18" t="s">
        <v>140</v>
      </c>
      <c r="J457" s="18" t="s">
        <v>2125</v>
      </c>
      <c r="K457" s="18"/>
      <c r="L457" s="18" t="s">
        <v>117</v>
      </c>
      <c r="M457" s="18" t="s">
        <v>109</v>
      </c>
      <c r="N457" s="18"/>
      <c r="O457" s="18"/>
      <c r="P457" s="18" t="s">
        <v>2126</v>
      </c>
      <c r="Q457" s="18" t="s">
        <v>110</v>
      </c>
      <c r="R457" s="18" t="s">
        <v>2127</v>
      </c>
      <c r="S457" s="18" t="s">
        <v>112</v>
      </c>
      <c r="T457" s="18" t="s">
        <v>113</v>
      </c>
      <c r="U457" s="18"/>
      <c r="V457" s="19" t="s">
        <v>29</v>
      </c>
      <c r="W457" s="19"/>
      <c r="X457" s="19"/>
      <c r="Y457" s="20"/>
      <c r="Z457" s="19"/>
      <c r="AA457" s="18" t="str">
        <f aca="false">IF(OR(V457="Aprobada"),R457,IF(AND(OR(V457="Aprobada con ajuste",V457="Rechazada"),W457&lt;&gt;""),W457,""))</f>
        <v/>
      </c>
    </row>
    <row r="458" customFormat="false" ht="22.35" hidden="false" customHeight="false" outlineLevel="0" collapsed="false">
      <c r="A458" s="18" t="s">
        <v>2128</v>
      </c>
      <c r="B458" s="18" t="s">
        <v>60</v>
      </c>
      <c r="C458" s="18" t="s">
        <v>61</v>
      </c>
      <c r="D458" s="18" t="s">
        <v>2094</v>
      </c>
      <c r="E458" s="18" t="n">
        <v>0</v>
      </c>
      <c r="F458" s="18" t="s">
        <v>2129</v>
      </c>
      <c r="G458" s="18" t="s">
        <v>459</v>
      </c>
      <c r="H458" s="18" t="s">
        <v>117</v>
      </c>
      <c r="I458" s="18"/>
      <c r="J458" s="18"/>
      <c r="K458" s="18"/>
      <c r="L458" s="18" t="s">
        <v>109</v>
      </c>
      <c r="M458" s="18" t="s">
        <v>109</v>
      </c>
      <c r="N458" s="18"/>
      <c r="O458" s="18"/>
      <c r="P458" s="18" t="s">
        <v>2130</v>
      </c>
      <c r="Q458" s="18" t="s">
        <v>134</v>
      </c>
      <c r="R458" s="18" t="s">
        <v>2131</v>
      </c>
      <c r="S458" s="18" t="s">
        <v>112</v>
      </c>
      <c r="T458" s="18" t="s">
        <v>1531</v>
      </c>
      <c r="U458" s="18" t="s">
        <v>1532</v>
      </c>
      <c r="V458" s="19" t="s">
        <v>29</v>
      </c>
      <c r="W458" s="19"/>
      <c r="X458" s="19"/>
      <c r="Y458" s="20"/>
      <c r="Z458" s="19"/>
      <c r="AA458" s="18" t="str">
        <f aca="false">IF(OR(V458="Aprobada"),R458,IF(AND(OR(V458="Aprobada con ajuste",V458="Rechazada"),W458&lt;&gt;""),W458,""))</f>
        <v/>
      </c>
    </row>
    <row r="459" customFormat="false" ht="22.35" hidden="false" customHeight="false" outlineLevel="0" collapsed="false">
      <c r="A459" s="18" t="s">
        <v>2132</v>
      </c>
      <c r="B459" s="18" t="s">
        <v>60</v>
      </c>
      <c r="C459" s="18" t="s">
        <v>61</v>
      </c>
      <c r="D459" s="18" t="s">
        <v>2094</v>
      </c>
      <c r="E459" s="18" t="n">
        <v>0</v>
      </c>
      <c r="F459" s="18" t="s">
        <v>2133</v>
      </c>
      <c r="G459" s="18" t="s">
        <v>184</v>
      </c>
      <c r="H459" s="18" t="s">
        <v>109</v>
      </c>
      <c r="I459" s="18"/>
      <c r="J459" s="18"/>
      <c r="K459" s="18"/>
      <c r="L459" s="18" t="s">
        <v>109</v>
      </c>
      <c r="M459" s="18" t="s">
        <v>109</v>
      </c>
      <c r="N459" s="18"/>
      <c r="O459" s="18"/>
      <c r="P459" s="18" t="s">
        <v>2134</v>
      </c>
      <c r="Q459" s="18" t="s">
        <v>134</v>
      </c>
      <c r="R459" s="18" t="s">
        <v>2135</v>
      </c>
      <c r="S459" s="18" t="s">
        <v>125</v>
      </c>
      <c r="T459" s="18" t="s">
        <v>1537</v>
      </c>
      <c r="U459" s="18"/>
      <c r="V459" s="19" t="s">
        <v>29</v>
      </c>
      <c r="W459" s="19"/>
      <c r="X459" s="19"/>
      <c r="Y459" s="20"/>
      <c r="Z459" s="19"/>
      <c r="AA459" s="18" t="str">
        <f aca="false">IF(OR(V459="Aprobada"),R459,IF(AND(OR(V459="Aprobada con ajuste",V459="Rechazada"),W459&lt;&gt;""),W459,""))</f>
        <v/>
      </c>
    </row>
    <row r="460" customFormat="false" ht="32.8" hidden="false" customHeight="false" outlineLevel="0" collapsed="false">
      <c r="A460" s="18" t="s">
        <v>2136</v>
      </c>
      <c r="B460" s="18" t="s">
        <v>60</v>
      </c>
      <c r="C460" s="18" t="s">
        <v>61</v>
      </c>
      <c r="D460" s="18" t="s">
        <v>2094</v>
      </c>
      <c r="E460" s="18" t="n">
        <v>0</v>
      </c>
      <c r="F460" s="18" t="s">
        <v>2137</v>
      </c>
      <c r="G460" s="18" t="s">
        <v>184</v>
      </c>
      <c r="H460" s="18" t="s">
        <v>117</v>
      </c>
      <c r="I460" s="18" t="s">
        <v>140</v>
      </c>
      <c r="J460" s="18"/>
      <c r="K460" s="18"/>
      <c r="L460" s="18" t="s">
        <v>109</v>
      </c>
      <c r="M460" s="18" t="s">
        <v>109</v>
      </c>
      <c r="N460" s="18"/>
      <c r="O460" s="18"/>
      <c r="P460" s="18" t="s">
        <v>2138</v>
      </c>
      <c r="Q460" s="18" t="s">
        <v>123</v>
      </c>
      <c r="R460" s="18" t="s">
        <v>2139</v>
      </c>
      <c r="S460" s="18" t="s">
        <v>125</v>
      </c>
      <c r="T460" s="18" t="s">
        <v>2140</v>
      </c>
      <c r="U460" s="18"/>
      <c r="V460" s="19" t="s">
        <v>29</v>
      </c>
      <c r="W460" s="19"/>
      <c r="X460" s="19"/>
      <c r="Y460" s="20"/>
      <c r="Z460" s="19"/>
      <c r="AA460" s="18" t="str">
        <f aca="false">IF(OR(V460="Aprobada"),R460,IF(AND(OR(V460="Aprobada con ajuste",V460="Rechazada"),W460&lt;&gt;""),W460,""))</f>
        <v/>
      </c>
    </row>
    <row r="461" customFormat="false" ht="22.35" hidden="false" customHeight="false" outlineLevel="0" collapsed="false">
      <c r="A461" s="18" t="s">
        <v>2141</v>
      </c>
      <c r="B461" s="18" t="s">
        <v>60</v>
      </c>
      <c r="C461" s="18" t="s">
        <v>61</v>
      </c>
      <c r="D461" s="18" t="s">
        <v>2094</v>
      </c>
      <c r="E461" s="18" t="n">
        <v>0</v>
      </c>
      <c r="F461" s="18" t="s">
        <v>2142</v>
      </c>
      <c r="G461" s="18" t="s">
        <v>459</v>
      </c>
      <c r="H461" s="18" t="s">
        <v>117</v>
      </c>
      <c r="I461" s="18"/>
      <c r="J461" s="18"/>
      <c r="K461" s="18"/>
      <c r="L461" s="18" t="s">
        <v>109</v>
      </c>
      <c r="M461" s="18" t="s">
        <v>109</v>
      </c>
      <c r="N461" s="18"/>
      <c r="O461" s="18"/>
      <c r="P461" s="18" t="s">
        <v>2143</v>
      </c>
      <c r="Q461" s="18" t="s">
        <v>110</v>
      </c>
      <c r="R461" s="18" t="s">
        <v>1546</v>
      </c>
      <c r="S461" s="18" t="s">
        <v>112</v>
      </c>
      <c r="T461" s="18" t="s">
        <v>113</v>
      </c>
      <c r="U461" s="18"/>
      <c r="V461" s="19" t="s">
        <v>29</v>
      </c>
      <c r="W461" s="19"/>
      <c r="X461" s="19"/>
      <c r="Y461" s="20"/>
      <c r="Z461" s="19"/>
      <c r="AA461" s="18" t="str">
        <f aca="false">IF(OR(V461="Aprobada"),R461,IF(AND(OR(V461="Aprobada con ajuste",V461="Rechazada"),W461&lt;&gt;""),W461,""))</f>
        <v/>
      </c>
    </row>
    <row r="462" customFormat="false" ht="22.35" hidden="false" customHeight="false" outlineLevel="0" collapsed="false">
      <c r="A462" s="18" t="s">
        <v>2144</v>
      </c>
      <c r="B462" s="18" t="s">
        <v>60</v>
      </c>
      <c r="C462" s="18" t="s">
        <v>61</v>
      </c>
      <c r="D462" s="18" t="s">
        <v>2094</v>
      </c>
      <c r="E462" s="18" t="n">
        <v>0</v>
      </c>
      <c r="F462" s="18" t="s">
        <v>1548</v>
      </c>
      <c r="G462" s="18" t="s">
        <v>116</v>
      </c>
      <c r="H462" s="18" t="s">
        <v>117</v>
      </c>
      <c r="I462" s="18" t="s">
        <v>140</v>
      </c>
      <c r="J462" s="18"/>
      <c r="K462" s="18"/>
      <c r="L462" s="18" t="s">
        <v>109</v>
      </c>
      <c r="M462" s="18" t="s">
        <v>109</v>
      </c>
      <c r="N462" s="18"/>
      <c r="O462" s="18"/>
      <c r="P462" s="18" t="s">
        <v>2145</v>
      </c>
      <c r="Q462" s="18" t="s">
        <v>110</v>
      </c>
      <c r="R462" s="18" t="s">
        <v>1550</v>
      </c>
      <c r="S462" s="18" t="s">
        <v>112</v>
      </c>
      <c r="T462" s="18" t="s">
        <v>113</v>
      </c>
      <c r="U462" s="18"/>
      <c r="V462" s="19" t="s">
        <v>29</v>
      </c>
      <c r="W462" s="19"/>
      <c r="X462" s="19"/>
      <c r="Y462" s="20"/>
      <c r="Z462" s="19"/>
      <c r="AA462" s="18" t="str">
        <f aca="false">IF(OR(V462="Aprobada"),R462,IF(AND(OR(V462="Aprobada con ajuste",V462="Rechazada"),W462&lt;&gt;""),W462,""))</f>
        <v/>
      </c>
    </row>
    <row r="463" customFormat="false" ht="64.15" hidden="false" customHeight="false" outlineLevel="0" collapsed="false">
      <c r="A463" s="18" t="s">
        <v>2146</v>
      </c>
      <c r="B463" s="18" t="s">
        <v>60</v>
      </c>
      <c r="C463" s="18" t="s">
        <v>61</v>
      </c>
      <c r="D463" s="18" t="s">
        <v>2147</v>
      </c>
      <c r="E463" s="18" t="n">
        <v>0</v>
      </c>
      <c r="F463" s="18" t="s">
        <v>1018</v>
      </c>
      <c r="G463" s="18" t="s">
        <v>121</v>
      </c>
      <c r="H463" s="18" t="s">
        <v>109</v>
      </c>
      <c r="I463" s="18"/>
      <c r="J463" s="18"/>
      <c r="K463" s="18"/>
      <c r="L463" s="18" t="s">
        <v>117</v>
      </c>
      <c r="M463" s="18" t="s">
        <v>109</v>
      </c>
      <c r="N463" s="18"/>
      <c r="O463" s="18"/>
      <c r="P463" s="18" t="s">
        <v>2148</v>
      </c>
      <c r="Q463" s="18" t="s">
        <v>110</v>
      </c>
      <c r="R463" s="18" t="s">
        <v>2149</v>
      </c>
      <c r="S463" s="18" t="s">
        <v>112</v>
      </c>
      <c r="T463" s="18" t="s">
        <v>113</v>
      </c>
      <c r="U463" s="18"/>
      <c r="V463" s="19" t="s">
        <v>29</v>
      </c>
      <c r="W463" s="19"/>
      <c r="X463" s="19"/>
      <c r="Y463" s="20"/>
      <c r="Z463" s="19"/>
      <c r="AA463" s="18" t="str">
        <f aca="false">IF(OR(V463="Aprobada"),R463,IF(AND(OR(V463="Aprobada con ajuste",V463="Rechazada"),W463&lt;&gt;""),W463,""))</f>
        <v/>
      </c>
    </row>
    <row r="464" customFormat="false" ht="32.8" hidden="false" customHeight="false" outlineLevel="0" collapsed="false">
      <c r="A464" s="18" t="s">
        <v>2150</v>
      </c>
      <c r="B464" s="18" t="s">
        <v>60</v>
      </c>
      <c r="C464" s="18" t="s">
        <v>61</v>
      </c>
      <c r="D464" s="18" t="s">
        <v>2151</v>
      </c>
      <c r="E464" s="18" t="n">
        <v>130</v>
      </c>
      <c r="F464" s="18" t="s">
        <v>1791</v>
      </c>
      <c r="G464" s="18" t="s">
        <v>151</v>
      </c>
      <c r="H464" s="18" t="s">
        <v>117</v>
      </c>
      <c r="I464" s="18"/>
      <c r="J464" s="18"/>
      <c r="K464" s="18"/>
      <c r="L464" s="18" t="s">
        <v>109</v>
      </c>
      <c r="M464" s="18" t="s">
        <v>109</v>
      </c>
      <c r="N464" s="18"/>
      <c r="O464" s="18"/>
      <c r="P464" s="18" t="s">
        <v>2152</v>
      </c>
      <c r="Q464" s="18" t="s">
        <v>134</v>
      </c>
      <c r="R464" s="18" t="s">
        <v>2153</v>
      </c>
      <c r="S464" s="18" t="s">
        <v>125</v>
      </c>
      <c r="T464" s="18" t="s">
        <v>2154</v>
      </c>
      <c r="U464" s="18"/>
      <c r="V464" s="19" t="s">
        <v>29</v>
      </c>
      <c r="W464" s="19"/>
      <c r="X464" s="19"/>
      <c r="Y464" s="20"/>
      <c r="Z464" s="19"/>
      <c r="AA464" s="18" t="str">
        <f aca="false">IF(OR(V464="Aprobada"),R464,IF(AND(OR(V464="Aprobada con ajuste",V464="Rechazada"),W464&lt;&gt;""),W464,""))</f>
        <v/>
      </c>
    </row>
    <row r="465" customFormat="false" ht="252.2" hidden="false" customHeight="false" outlineLevel="0" collapsed="false">
      <c r="A465" s="18" t="s">
        <v>2155</v>
      </c>
      <c r="B465" s="18" t="s">
        <v>60</v>
      </c>
      <c r="C465" s="18" t="s">
        <v>61</v>
      </c>
      <c r="D465" s="18" t="s">
        <v>2151</v>
      </c>
      <c r="E465" s="18" t="n">
        <v>130</v>
      </c>
      <c r="F465" s="18" t="s">
        <v>150</v>
      </c>
      <c r="G465" s="18" t="s">
        <v>108</v>
      </c>
      <c r="H465" s="18" t="s">
        <v>109</v>
      </c>
      <c r="I465" s="18" t="s">
        <v>140</v>
      </c>
      <c r="J465" s="18" t="s">
        <v>2156</v>
      </c>
      <c r="K465" s="18"/>
      <c r="L465" s="18" t="s">
        <v>117</v>
      </c>
      <c r="M465" s="18" t="s">
        <v>109</v>
      </c>
      <c r="N465" s="18"/>
      <c r="O465" s="18"/>
      <c r="P465" s="18" t="s">
        <v>2157</v>
      </c>
      <c r="Q465" s="18" t="s">
        <v>123</v>
      </c>
      <c r="R465" s="18" t="s">
        <v>2158</v>
      </c>
      <c r="S465" s="18" t="s">
        <v>125</v>
      </c>
      <c r="T465" s="18" t="s">
        <v>2159</v>
      </c>
      <c r="U465" s="18"/>
      <c r="V465" s="19" t="s">
        <v>29</v>
      </c>
      <c r="W465" s="19"/>
      <c r="X465" s="19"/>
      <c r="Y465" s="20"/>
      <c r="Z465" s="19"/>
      <c r="AA465" s="18" t="str">
        <f aca="false">IF(OR(V465="Aprobada"),R465,IF(AND(OR(V465="Aprobada con ajuste",V465="Rechazada"),W465&lt;&gt;""),W465,""))</f>
        <v/>
      </c>
    </row>
    <row r="466" customFormat="false" ht="85.05" hidden="false" customHeight="false" outlineLevel="0" collapsed="false">
      <c r="A466" s="18" t="s">
        <v>2160</v>
      </c>
      <c r="B466" s="18" t="s">
        <v>60</v>
      </c>
      <c r="C466" s="18" t="s">
        <v>61</v>
      </c>
      <c r="D466" s="18" t="s">
        <v>2151</v>
      </c>
      <c r="E466" s="18" t="n">
        <v>130</v>
      </c>
      <c r="F466" s="18" t="s">
        <v>129</v>
      </c>
      <c r="G466" s="18" t="s">
        <v>1802</v>
      </c>
      <c r="H466" s="18" t="s">
        <v>109</v>
      </c>
      <c r="I466" s="18"/>
      <c r="J466" s="18"/>
      <c r="K466" s="18"/>
      <c r="L466" s="18" t="s">
        <v>109</v>
      </c>
      <c r="M466" s="18" t="s">
        <v>109</v>
      </c>
      <c r="N466" s="18"/>
      <c r="O466" s="18"/>
      <c r="P466" s="18" t="s">
        <v>2161</v>
      </c>
      <c r="Q466" s="18" t="s">
        <v>110</v>
      </c>
      <c r="R466" s="18" t="s">
        <v>2162</v>
      </c>
      <c r="S466" s="18" t="s">
        <v>112</v>
      </c>
      <c r="T466" s="18" t="s">
        <v>113</v>
      </c>
      <c r="U466" s="18"/>
      <c r="V466" s="19" t="s">
        <v>29</v>
      </c>
      <c r="W466" s="19"/>
      <c r="X466" s="19"/>
      <c r="Y466" s="20"/>
      <c r="Z466" s="19"/>
      <c r="AA466" s="18" t="str">
        <f aca="false">IF(OR(V466="Aprobada"),R466,IF(AND(OR(V466="Aprobada con ajuste",V466="Rechazada"),W466&lt;&gt;""),W466,""))</f>
        <v/>
      </c>
    </row>
    <row r="467" customFormat="false" ht="32.8" hidden="false" customHeight="false" outlineLevel="0" collapsed="false">
      <c r="A467" s="18" t="s">
        <v>2163</v>
      </c>
      <c r="B467" s="18" t="s">
        <v>60</v>
      </c>
      <c r="C467" s="18" t="s">
        <v>61</v>
      </c>
      <c r="D467" s="18" t="s">
        <v>2151</v>
      </c>
      <c r="E467" s="18" t="n">
        <v>130</v>
      </c>
      <c r="F467" s="18" t="s">
        <v>2164</v>
      </c>
      <c r="G467" s="18" t="s">
        <v>116</v>
      </c>
      <c r="H467" s="18" t="s">
        <v>117</v>
      </c>
      <c r="I467" s="18" t="s">
        <v>140</v>
      </c>
      <c r="J467" s="18"/>
      <c r="K467" s="18"/>
      <c r="L467" s="18" t="s">
        <v>109</v>
      </c>
      <c r="M467" s="18" t="s">
        <v>109</v>
      </c>
      <c r="N467" s="18"/>
      <c r="O467" s="18"/>
      <c r="P467" s="18" t="s">
        <v>2165</v>
      </c>
      <c r="Q467" s="18" t="s">
        <v>134</v>
      </c>
      <c r="R467" s="18" t="s">
        <v>2166</v>
      </c>
      <c r="S467" s="18" t="s">
        <v>112</v>
      </c>
      <c r="T467" s="18" t="s">
        <v>2167</v>
      </c>
      <c r="U467" s="18" t="s">
        <v>2168</v>
      </c>
      <c r="V467" s="19" t="s">
        <v>29</v>
      </c>
      <c r="W467" s="19"/>
      <c r="X467" s="19"/>
      <c r="Y467" s="20"/>
      <c r="Z467" s="19"/>
      <c r="AA467" s="18" t="str">
        <f aca="false">IF(OR(V467="Aprobada"),R467,IF(AND(OR(V467="Aprobada con ajuste",V467="Rechazada"),W467&lt;&gt;""),W467,""))</f>
        <v/>
      </c>
    </row>
    <row r="468" customFormat="false" ht="32.8" hidden="false" customHeight="false" outlineLevel="0" collapsed="false">
      <c r="A468" s="18" t="s">
        <v>2169</v>
      </c>
      <c r="B468" s="18" t="s">
        <v>60</v>
      </c>
      <c r="C468" s="18" t="s">
        <v>61</v>
      </c>
      <c r="D468" s="18" t="s">
        <v>2151</v>
      </c>
      <c r="E468" s="18" t="n">
        <v>130</v>
      </c>
      <c r="F468" s="18" t="s">
        <v>2170</v>
      </c>
      <c r="G468" s="18" t="s">
        <v>212</v>
      </c>
      <c r="H468" s="18" t="s">
        <v>117</v>
      </c>
      <c r="I468" s="18" t="s">
        <v>140</v>
      </c>
      <c r="J468" s="18"/>
      <c r="K468" s="18"/>
      <c r="L468" s="18" t="s">
        <v>109</v>
      </c>
      <c r="M468" s="18" t="s">
        <v>109</v>
      </c>
      <c r="N468" s="18"/>
      <c r="O468" s="18"/>
      <c r="P468" s="18" t="s">
        <v>2171</v>
      </c>
      <c r="Q468" s="18" t="s">
        <v>134</v>
      </c>
      <c r="R468" s="18" t="s">
        <v>2172</v>
      </c>
      <c r="S468" s="18" t="s">
        <v>112</v>
      </c>
      <c r="T468" s="18" t="s">
        <v>2173</v>
      </c>
      <c r="U468" s="18" t="s">
        <v>2174</v>
      </c>
      <c r="V468" s="19" t="s">
        <v>29</v>
      </c>
      <c r="W468" s="19"/>
      <c r="X468" s="19"/>
      <c r="Y468" s="20"/>
      <c r="Z468" s="19"/>
      <c r="AA468" s="18" t="str">
        <f aca="false">IF(OR(V468="Aprobada"),R468,IF(AND(OR(V468="Aprobada con ajuste",V468="Rechazada"),W468&lt;&gt;""),W468,""))</f>
        <v/>
      </c>
    </row>
    <row r="469" customFormat="false" ht="22.35" hidden="false" customHeight="false" outlineLevel="0" collapsed="false">
      <c r="A469" s="18" t="s">
        <v>2175</v>
      </c>
      <c r="B469" s="18" t="s">
        <v>60</v>
      </c>
      <c r="C469" s="18" t="s">
        <v>61</v>
      </c>
      <c r="D469" s="18" t="s">
        <v>2151</v>
      </c>
      <c r="E469" s="18" t="n">
        <v>130</v>
      </c>
      <c r="F469" s="18" t="s">
        <v>2176</v>
      </c>
      <c r="G469" s="18" t="s">
        <v>1802</v>
      </c>
      <c r="H469" s="18" t="s">
        <v>117</v>
      </c>
      <c r="I469" s="18"/>
      <c r="J469" s="18"/>
      <c r="K469" s="18"/>
      <c r="L469" s="18" t="s">
        <v>109</v>
      </c>
      <c r="M469" s="18" t="s">
        <v>109</v>
      </c>
      <c r="N469" s="18"/>
      <c r="O469" s="18"/>
      <c r="P469" s="18" t="s">
        <v>2177</v>
      </c>
      <c r="Q469" s="18" t="s">
        <v>134</v>
      </c>
      <c r="R469" s="18" t="s">
        <v>1057</v>
      </c>
      <c r="S469" s="18" t="s">
        <v>125</v>
      </c>
      <c r="T469" s="18" t="s">
        <v>1805</v>
      </c>
      <c r="U469" s="18"/>
      <c r="V469" s="19" t="s">
        <v>29</v>
      </c>
      <c r="W469" s="19"/>
      <c r="X469" s="19"/>
      <c r="Y469" s="20"/>
      <c r="Z469" s="19"/>
      <c r="AA469" s="18" t="str">
        <f aca="false">IF(OR(V469="Aprobada"),R469,IF(AND(OR(V469="Aprobada con ajuste",V469="Rechazada"),W469&lt;&gt;""),W469,""))</f>
        <v/>
      </c>
    </row>
    <row r="470" customFormat="false" ht="22.35" hidden="false" customHeight="false" outlineLevel="0" collapsed="false">
      <c r="A470" s="18" t="s">
        <v>2178</v>
      </c>
      <c r="B470" s="18" t="s">
        <v>60</v>
      </c>
      <c r="C470" s="18" t="s">
        <v>61</v>
      </c>
      <c r="D470" s="18" t="s">
        <v>2151</v>
      </c>
      <c r="E470" s="18" t="n">
        <v>130</v>
      </c>
      <c r="F470" s="18" t="s">
        <v>2179</v>
      </c>
      <c r="G470" s="18" t="s">
        <v>121</v>
      </c>
      <c r="H470" s="18" t="s">
        <v>117</v>
      </c>
      <c r="I470" s="18"/>
      <c r="J470" s="18"/>
      <c r="K470" s="18"/>
      <c r="L470" s="18" t="s">
        <v>109</v>
      </c>
      <c r="M470" s="18" t="s">
        <v>109</v>
      </c>
      <c r="N470" s="18"/>
      <c r="O470" s="18"/>
      <c r="P470" s="18" t="s">
        <v>2180</v>
      </c>
      <c r="Q470" s="18" t="s">
        <v>134</v>
      </c>
      <c r="R470" s="18" t="s">
        <v>2181</v>
      </c>
      <c r="S470" s="18" t="s">
        <v>125</v>
      </c>
      <c r="T470" s="18" t="s">
        <v>2182</v>
      </c>
      <c r="U470" s="18"/>
      <c r="V470" s="19" t="s">
        <v>29</v>
      </c>
      <c r="W470" s="19"/>
      <c r="X470" s="19"/>
      <c r="Y470" s="20"/>
      <c r="Z470" s="19"/>
      <c r="AA470" s="18" t="str">
        <f aca="false">IF(OR(V470="Aprobada"),R470,IF(AND(OR(V470="Aprobada con ajuste",V470="Rechazada"),W470&lt;&gt;""),W470,""))</f>
        <v/>
      </c>
    </row>
    <row r="471" customFormat="false" ht="22.35" hidden="false" customHeight="false" outlineLevel="0" collapsed="false">
      <c r="A471" s="18" t="s">
        <v>2183</v>
      </c>
      <c r="B471" s="18" t="s">
        <v>60</v>
      </c>
      <c r="C471" s="18" t="s">
        <v>61</v>
      </c>
      <c r="D471" s="18" t="s">
        <v>2151</v>
      </c>
      <c r="E471" s="18" t="n">
        <v>130</v>
      </c>
      <c r="F471" s="18" t="s">
        <v>2184</v>
      </c>
      <c r="G471" s="18" t="s">
        <v>989</v>
      </c>
      <c r="H471" s="18" t="s">
        <v>117</v>
      </c>
      <c r="I471" s="18"/>
      <c r="J471" s="18"/>
      <c r="K471" s="18"/>
      <c r="L471" s="18" t="s">
        <v>109</v>
      </c>
      <c r="M471" s="18" t="s">
        <v>109</v>
      </c>
      <c r="N471" s="18"/>
      <c r="O471" s="18"/>
      <c r="P471" s="18" t="s">
        <v>2185</v>
      </c>
      <c r="Q471" s="18" t="s">
        <v>134</v>
      </c>
      <c r="R471" s="18" t="s">
        <v>2186</v>
      </c>
      <c r="S471" s="18" t="s">
        <v>112</v>
      </c>
      <c r="T471" s="18" t="s">
        <v>2187</v>
      </c>
      <c r="U471" s="18" t="s">
        <v>2188</v>
      </c>
      <c r="V471" s="19" t="s">
        <v>29</v>
      </c>
      <c r="W471" s="19"/>
      <c r="X471" s="19"/>
      <c r="Y471" s="20"/>
      <c r="Z471" s="19"/>
      <c r="AA471" s="18" t="str">
        <f aca="false">IF(OR(V471="Aprobada"),R471,IF(AND(OR(V471="Aprobada con ajuste",V471="Rechazada"),W471&lt;&gt;""),W471,""))</f>
        <v/>
      </c>
    </row>
    <row r="472" customFormat="false" ht="53.7" hidden="false" customHeight="false" outlineLevel="0" collapsed="false">
      <c r="A472" s="18" t="s">
        <v>2189</v>
      </c>
      <c r="B472" s="18" t="s">
        <v>60</v>
      </c>
      <c r="C472" s="18" t="s">
        <v>61</v>
      </c>
      <c r="D472" s="18" t="s">
        <v>2151</v>
      </c>
      <c r="E472" s="18" t="n">
        <v>130</v>
      </c>
      <c r="F472" s="18" t="s">
        <v>2190</v>
      </c>
      <c r="G472" s="18" t="s">
        <v>218</v>
      </c>
      <c r="H472" s="18" t="s">
        <v>109</v>
      </c>
      <c r="I472" s="18"/>
      <c r="J472" s="18"/>
      <c r="K472" s="18"/>
      <c r="L472" s="18" t="s">
        <v>109</v>
      </c>
      <c r="M472" s="18" t="s">
        <v>109</v>
      </c>
      <c r="N472" s="18"/>
      <c r="O472" s="18"/>
      <c r="P472" s="18" t="s">
        <v>2191</v>
      </c>
      <c r="Q472" s="18" t="s">
        <v>123</v>
      </c>
      <c r="R472" s="18" t="s">
        <v>2192</v>
      </c>
      <c r="S472" s="18" t="s">
        <v>125</v>
      </c>
      <c r="T472" s="18" t="s">
        <v>2193</v>
      </c>
      <c r="U472" s="18"/>
      <c r="V472" s="19" t="s">
        <v>29</v>
      </c>
      <c r="W472" s="19"/>
      <c r="X472" s="19"/>
      <c r="Y472" s="20"/>
      <c r="Z472" s="19"/>
      <c r="AA472" s="18" t="str">
        <f aca="false">IF(OR(V472="Aprobada"),R472,IF(AND(OR(V472="Aprobada con ajuste",V472="Rechazada"),W472&lt;&gt;""),W472,""))</f>
        <v/>
      </c>
    </row>
    <row r="473" customFormat="false" ht="22.35" hidden="false" customHeight="false" outlineLevel="0" collapsed="false">
      <c r="A473" s="18" t="s">
        <v>2194</v>
      </c>
      <c r="B473" s="18" t="s">
        <v>60</v>
      </c>
      <c r="C473" s="18" t="s">
        <v>61</v>
      </c>
      <c r="D473" s="18" t="s">
        <v>2151</v>
      </c>
      <c r="E473" s="18" t="n">
        <v>130</v>
      </c>
      <c r="F473" s="18" t="s">
        <v>961</v>
      </c>
      <c r="G473" s="18" t="s">
        <v>139</v>
      </c>
      <c r="H473" s="18" t="s">
        <v>109</v>
      </c>
      <c r="I473" s="18"/>
      <c r="J473" s="18"/>
      <c r="K473" s="18"/>
      <c r="L473" s="18" t="s">
        <v>109</v>
      </c>
      <c r="M473" s="18" t="s">
        <v>109</v>
      </c>
      <c r="N473" s="18"/>
      <c r="O473" s="18"/>
      <c r="P473" s="18" t="s">
        <v>2195</v>
      </c>
      <c r="Q473" s="18" t="s">
        <v>110</v>
      </c>
      <c r="R473" s="18" t="s">
        <v>1055</v>
      </c>
      <c r="S473" s="18" t="s">
        <v>112</v>
      </c>
      <c r="T473" s="18" t="s">
        <v>113</v>
      </c>
      <c r="U473" s="18"/>
      <c r="V473" s="19" t="s">
        <v>29</v>
      </c>
      <c r="W473" s="19"/>
      <c r="X473" s="19"/>
      <c r="Y473" s="20"/>
      <c r="Z473" s="19"/>
      <c r="AA473" s="18" t="str">
        <f aca="false">IF(OR(V473="Aprobada"),R473,IF(AND(OR(V473="Aprobada con ajuste",V473="Rechazada"),W473&lt;&gt;""),W473,""))</f>
        <v/>
      </c>
    </row>
    <row r="474" customFormat="false" ht="22.35" hidden="false" customHeight="false" outlineLevel="0" collapsed="false">
      <c r="A474" s="18" t="s">
        <v>2196</v>
      </c>
      <c r="B474" s="18" t="s">
        <v>60</v>
      </c>
      <c r="C474" s="18" t="s">
        <v>61</v>
      </c>
      <c r="D474" s="18" t="s">
        <v>2151</v>
      </c>
      <c r="E474" s="18" t="n">
        <v>130</v>
      </c>
      <c r="F474" s="18" t="s">
        <v>2197</v>
      </c>
      <c r="G474" s="18" t="s">
        <v>121</v>
      </c>
      <c r="H474" s="18" t="s">
        <v>117</v>
      </c>
      <c r="I474" s="18"/>
      <c r="J474" s="18"/>
      <c r="K474" s="18"/>
      <c r="L474" s="18" t="s">
        <v>109</v>
      </c>
      <c r="M474" s="18" t="s">
        <v>109</v>
      </c>
      <c r="N474" s="18"/>
      <c r="O474" s="18"/>
      <c r="P474" s="18" t="s">
        <v>2198</v>
      </c>
      <c r="Q474" s="18" t="s">
        <v>110</v>
      </c>
      <c r="R474" s="18" t="s">
        <v>2199</v>
      </c>
      <c r="S474" s="18" t="s">
        <v>112</v>
      </c>
      <c r="T474" s="18" t="s">
        <v>113</v>
      </c>
      <c r="U474" s="18"/>
      <c r="V474" s="19" t="s">
        <v>29</v>
      </c>
      <c r="W474" s="19"/>
      <c r="X474" s="19"/>
      <c r="Y474" s="20"/>
      <c r="Z474" s="19"/>
      <c r="AA474" s="18" t="str">
        <f aca="false">IF(OR(V474="Aprobada"),R474,IF(AND(OR(V474="Aprobada con ajuste",V474="Rechazada"),W474&lt;&gt;""),W474,""))</f>
        <v/>
      </c>
    </row>
    <row r="475" customFormat="false" ht="43.25" hidden="false" customHeight="false" outlineLevel="0" collapsed="false">
      <c r="A475" s="18" t="s">
        <v>2200</v>
      </c>
      <c r="B475" s="18" t="s">
        <v>60</v>
      </c>
      <c r="C475" s="18" t="s">
        <v>61</v>
      </c>
      <c r="D475" s="18" t="s">
        <v>2201</v>
      </c>
      <c r="E475" s="18" t="n">
        <v>40</v>
      </c>
      <c r="F475" s="18" t="s">
        <v>1791</v>
      </c>
      <c r="G475" s="18" t="s">
        <v>151</v>
      </c>
      <c r="H475" s="18" t="s">
        <v>109</v>
      </c>
      <c r="I475" s="18"/>
      <c r="J475" s="18"/>
      <c r="K475" s="18"/>
      <c r="L475" s="18" t="s">
        <v>109</v>
      </c>
      <c r="M475" s="18" t="s">
        <v>109</v>
      </c>
      <c r="N475" s="18"/>
      <c r="O475" s="18" t="s">
        <v>2202</v>
      </c>
      <c r="P475" s="18" t="s">
        <v>2203</v>
      </c>
      <c r="Q475" s="18" t="s">
        <v>134</v>
      </c>
      <c r="R475" s="18" t="s">
        <v>2204</v>
      </c>
      <c r="S475" s="18" t="s">
        <v>125</v>
      </c>
      <c r="T475" s="18" t="s">
        <v>2205</v>
      </c>
      <c r="U475" s="18"/>
      <c r="V475" s="19" t="s">
        <v>29</v>
      </c>
      <c r="W475" s="19"/>
      <c r="X475" s="19"/>
      <c r="Y475" s="20"/>
      <c r="Z475" s="19"/>
      <c r="AA475" s="18" t="str">
        <f aca="false">IF(OR(V475="Aprobada"),R475,IF(AND(OR(V475="Aprobada con ajuste",V475="Rechazada"),W475&lt;&gt;""),W475,""))</f>
        <v/>
      </c>
    </row>
    <row r="476" customFormat="false" ht="43.25" hidden="false" customHeight="false" outlineLevel="0" collapsed="false">
      <c r="A476" s="18" t="s">
        <v>2206</v>
      </c>
      <c r="B476" s="18" t="s">
        <v>60</v>
      </c>
      <c r="C476" s="18" t="s">
        <v>61</v>
      </c>
      <c r="D476" s="18" t="s">
        <v>2201</v>
      </c>
      <c r="E476" s="18" t="n">
        <v>40</v>
      </c>
      <c r="F476" s="18" t="s">
        <v>408</v>
      </c>
      <c r="G476" s="18" t="s">
        <v>167</v>
      </c>
      <c r="H476" s="18" t="s">
        <v>109</v>
      </c>
      <c r="I476" s="18"/>
      <c r="J476" s="18"/>
      <c r="K476" s="18"/>
      <c r="L476" s="18" t="s">
        <v>109</v>
      </c>
      <c r="M476" s="18" t="s">
        <v>109</v>
      </c>
      <c r="N476" s="18"/>
      <c r="O476" s="18" t="s">
        <v>2207</v>
      </c>
      <c r="P476" s="18" t="s">
        <v>2208</v>
      </c>
      <c r="Q476" s="18" t="s">
        <v>123</v>
      </c>
      <c r="R476" s="18" t="s">
        <v>2209</v>
      </c>
      <c r="S476" s="18" t="s">
        <v>125</v>
      </c>
      <c r="T476" s="18" t="s">
        <v>2210</v>
      </c>
      <c r="U476" s="18"/>
      <c r="V476" s="19" t="s">
        <v>29</v>
      </c>
      <c r="W476" s="19"/>
      <c r="X476" s="19"/>
      <c r="Y476" s="20"/>
      <c r="Z476" s="19"/>
      <c r="AA476" s="18" t="str">
        <f aca="false">IF(OR(V476="Aprobada"),R476,IF(AND(OR(V476="Aprobada con ajuste",V476="Rechazada"),W476&lt;&gt;""),W476,""))</f>
        <v/>
      </c>
    </row>
    <row r="477" customFormat="false" ht="22.35" hidden="false" customHeight="false" outlineLevel="0" collapsed="false">
      <c r="A477" s="18" t="s">
        <v>2211</v>
      </c>
      <c r="B477" s="18" t="s">
        <v>60</v>
      </c>
      <c r="C477" s="18" t="s">
        <v>61</v>
      </c>
      <c r="D477" s="18" t="s">
        <v>2201</v>
      </c>
      <c r="E477" s="18" t="n">
        <v>40</v>
      </c>
      <c r="F477" s="18" t="s">
        <v>947</v>
      </c>
      <c r="G477" s="18" t="s">
        <v>459</v>
      </c>
      <c r="H477" s="18" t="s">
        <v>117</v>
      </c>
      <c r="I477" s="18"/>
      <c r="J477" s="18"/>
      <c r="K477" s="18"/>
      <c r="L477" s="18" t="s">
        <v>109</v>
      </c>
      <c r="M477" s="18" t="s">
        <v>109</v>
      </c>
      <c r="N477" s="18"/>
      <c r="O477" s="18"/>
      <c r="P477" s="18" t="s">
        <v>2212</v>
      </c>
      <c r="Q477" s="18" t="s">
        <v>110</v>
      </c>
      <c r="R477" s="18" t="s">
        <v>2199</v>
      </c>
      <c r="S477" s="18" t="s">
        <v>112</v>
      </c>
      <c r="T477" s="18" t="s">
        <v>113</v>
      </c>
      <c r="U477" s="18"/>
      <c r="V477" s="19" t="s">
        <v>29</v>
      </c>
      <c r="W477" s="19"/>
      <c r="X477" s="19"/>
      <c r="Y477" s="20"/>
      <c r="Z477" s="19"/>
      <c r="AA477" s="18" t="str">
        <f aca="false">IF(OR(V477="Aprobada"),R477,IF(AND(OR(V477="Aprobada con ajuste",V477="Rechazada"),W477&lt;&gt;""),W477,""))</f>
        <v/>
      </c>
    </row>
    <row r="478" customFormat="false" ht="43.25" hidden="false" customHeight="false" outlineLevel="0" collapsed="false">
      <c r="A478" s="18" t="s">
        <v>2213</v>
      </c>
      <c r="B478" s="18" t="s">
        <v>60</v>
      </c>
      <c r="C478" s="18" t="s">
        <v>61</v>
      </c>
      <c r="D478" s="18" t="s">
        <v>2201</v>
      </c>
      <c r="E478" s="18" t="n">
        <v>40</v>
      </c>
      <c r="F478" s="18" t="s">
        <v>1437</v>
      </c>
      <c r="G478" s="18" t="s">
        <v>184</v>
      </c>
      <c r="H478" s="18" t="s">
        <v>117</v>
      </c>
      <c r="I478" s="18"/>
      <c r="J478" s="18"/>
      <c r="K478" s="18"/>
      <c r="L478" s="18" t="s">
        <v>109</v>
      </c>
      <c r="M478" s="18" t="s">
        <v>109</v>
      </c>
      <c r="N478" s="18"/>
      <c r="O478" s="18"/>
      <c r="P478" s="18" t="s">
        <v>2214</v>
      </c>
      <c r="Q478" s="18" t="s">
        <v>123</v>
      </c>
      <c r="R478" s="18" t="s">
        <v>2215</v>
      </c>
      <c r="S478" s="18" t="s">
        <v>125</v>
      </c>
      <c r="T478" s="18" t="s">
        <v>2216</v>
      </c>
      <c r="U478" s="18"/>
      <c r="V478" s="19" t="s">
        <v>29</v>
      </c>
      <c r="W478" s="19"/>
      <c r="X478" s="19"/>
      <c r="Y478" s="20"/>
      <c r="Z478" s="19"/>
      <c r="AA478" s="18" t="str">
        <f aca="false">IF(OR(V478="Aprobada"),R478,IF(AND(OR(V478="Aprobada con ajuste",V478="Rechazada"),W478&lt;&gt;""),W478,""))</f>
        <v/>
      </c>
    </row>
    <row r="479" customFormat="false" ht="22.35" hidden="false" customHeight="false" outlineLevel="0" collapsed="false">
      <c r="A479" s="18" t="s">
        <v>2217</v>
      </c>
      <c r="B479" s="18" t="s">
        <v>60</v>
      </c>
      <c r="C479" s="18" t="s">
        <v>61</v>
      </c>
      <c r="D479" s="18" t="s">
        <v>2201</v>
      </c>
      <c r="E479" s="18" t="n">
        <v>40</v>
      </c>
      <c r="F479" s="18" t="s">
        <v>1441</v>
      </c>
      <c r="G479" s="18" t="s">
        <v>459</v>
      </c>
      <c r="H479" s="18" t="s">
        <v>117</v>
      </c>
      <c r="I479" s="18"/>
      <c r="J479" s="18"/>
      <c r="K479" s="18"/>
      <c r="L479" s="18" t="s">
        <v>109</v>
      </c>
      <c r="M479" s="18" t="s">
        <v>109</v>
      </c>
      <c r="N479" s="18"/>
      <c r="O479" s="18"/>
      <c r="P479" s="18" t="s">
        <v>2218</v>
      </c>
      <c r="Q479" s="18" t="s">
        <v>110</v>
      </c>
      <c r="R479" s="18" t="s">
        <v>1443</v>
      </c>
      <c r="S479" s="18" t="s">
        <v>112</v>
      </c>
      <c r="T479" s="18" t="s">
        <v>113</v>
      </c>
      <c r="U479" s="18"/>
      <c r="V479" s="19" t="s">
        <v>29</v>
      </c>
      <c r="W479" s="19"/>
      <c r="X479" s="19"/>
      <c r="Y479" s="20"/>
      <c r="Z479" s="19"/>
      <c r="AA479" s="18" t="str">
        <f aca="false">IF(OR(V479="Aprobada"),R479,IF(AND(OR(V479="Aprobada con ajuste",V479="Rechazada"),W479&lt;&gt;""),W479,""))</f>
        <v/>
      </c>
    </row>
    <row r="480" customFormat="false" ht="32.8" hidden="false" customHeight="false" outlineLevel="0" collapsed="false">
      <c r="A480" s="18" t="s">
        <v>2219</v>
      </c>
      <c r="B480" s="18" t="s">
        <v>60</v>
      </c>
      <c r="C480" s="18" t="s">
        <v>61</v>
      </c>
      <c r="D480" s="18" t="s">
        <v>2220</v>
      </c>
      <c r="E480" s="18" t="n">
        <v>23</v>
      </c>
      <c r="F480" s="18" t="s">
        <v>1791</v>
      </c>
      <c r="G480" s="18" t="s">
        <v>151</v>
      </c>
      <c r="H480" s="18" t="s">
        <v>109</v>
      </c>
      <c r="I480" s="18"/>
      <c r="J480" s="18"/>
      <c r="K480" s="18"/>
      <c r="L480" s="18" t="s">
        <v>109</v>
      </c>
      <c r="M480" s="18" t="s">
        <v>109</v>
      </c>
      <c r="N480" s="18"/>
      <c r="O480" s="18" t="s">
        <v>2221</v>
      </c>
      <c r="P480" s="18" t="s">
        <v>2222</v>
      </c>
      <c r="Q480" s="18" t="s">
        <v>123</v>
      </c>
      <c r="R480" s="18" t="s">
        <v>2223</v>
      </c>
      <c r="S480" s="18" t="s">
        <v>125</v>
      </c>
      <c r="T480" s="18" t="s">
        <v>2224</v>
      </c>
      <c r="U480" s="18"/>
      <c r="V480" s="19" t="s">
        <v>29</v>
      </c>
      <c r="W480" s="19"/>
      <c r="X480" s="19"/>
      <c r="Y480" s="20"/>
      <c r="Z480" s="19"/>
      <c r="AA480" s="18" t="str">
        <f aca="false">IF(OR(V480="Aprobada"),R480,IF(AND(OR(V480="Aprobada con ajuste",V480="Rechazada"),W480&lt;&gt;""),W480,""))</f>
        <v/>
      </c>
    </row>
    <row r="481" customFormat="false" ht="53.7" hidden="false" customHeight="false" outlineLevel="0" collapsed="false">
      <c r="A481" s="18" t="s">
        <v>2225</v>
      </c>
      <c r="B481" s="18" t="s">
        <v>60</v>
      </c>
      <c r="C481" s="18" t="s">
        <v>61</v>
      </c>
      <c r="D481" s="18" t="s">
        <v>2220</v>
      </c>
      <c r="E481" s="18" t="n">
        <v>23</v>
      </c>
      <c r="F481" s="18" t="s">
        <v>408</v>
      </c>
      <c r="G481" s="18" t="s">
        <v>167</v>
      </c>
      <c r="H481" s="18" t="s">
        <v>109</v>
      </c>
      <c r="I481" s="18"/>
      <c r="J481" s="18"/>
      <c r="K481" s="18"/>
      <c r="L481" s="18" t="s">
        <v>109</v>
      </c>
      <c r="M481" s="18" t="s">
        <v>109</v>
      </c>
      <c r="N481" s="18"/>
      <c r="O481" s="18" t="s">
        <v>2221</v>
      </c>
      <c r="P481" s="18" t="s">
        <v>2226</v>
      </c>
      <c r="Q481" s="18" t="s">
        <v>123</v>
      </c>
      <c r="R481" s="18" t="s">
        <v>2227</v>
      </c>
      <c r="S481" s="18" t="s">
        <v>125</v>
      </c>
      <c r="T481" s="18" t="s">
        <v>2228</v>
      </c>
      <c r="U481" s="18"/>
      <c r="V481" s="19" t="s">
        <v>29</v>
      </c>
      <c r="W481" s="19"/>
      <c r="X481" s="19"/>
      <c r="Y481" s="20"/>
      <c r="Z481" s="19"/>
      <c r="AA481" s="18" t="str">
        <f aca="false">IF(OR(V481="Aprobada"),R481,IF(AND(OR(V481="Aprobada con ajuste",V481="Rechazada"),W481&lt;&gt;""),W481,""))</f>
        <v/>
      </c>
    </row>
    <row r="482" customFormat="false" ht="95.5" hidden="false" customHeight="false" outlineLevel="0" collapsed="false">
      <c r="A482" s="18" t="s">
        <v>2229</v>
      </c>
      <c r="B482" s="18" t="s">
        <v>60</v>
      </c>
      <c r="C482" s="18" t="s">
        <v>61</v>
      </c>
      <c r="D482" s="18" t="s">
        <v>2220</v>
      </c>
      <c r="E482" s="18" t="n">
        <v>23</v>
      </c>
      <c r="F482" s="18" t="s">
        <v>129</v>
      </c>
      <c r="G482" s="18" t="s">
        <v>459</v>
      </c>
      <c r="H482" s="18" t="s">
        <v>109</v>
      </c>
      <c r="I482" s="18"/>
      <c r="J482" s="18"/>
      <c r="K482" s="18"/>
      <c r="L482" s="18" t="s">
        <v>109</v>
      </c>
      <c r="M482" s="18" t="s">
        <v>109</v>
      </c>
      <c r="N482" s="18"/>
      <c r="O482" s="18"/>
      <c r="P482" s="18" t="s">
        <v>2230</v>
      </c>
      <c r="Q482" s="18" t="s">
        <v>110</v>
      </c>
      <c r="R482" s="18" t="s">
        <v>2231</v>
      </c>
      <c r="S482" s="18" t="s">
        <v>112</v>
      </c>
      <c r="T482" s="18" t="s">
        <v>113</v>
      </c>
      <c r="U482" s="18"/>
      <c r="V482" s="19" t="s">
        <v>29</v>
      </c>
      <c r="W482" s="19"/>
      <c r="X482" s="19"/>
      <c r="Y482" s="20"/>
      <c r="Z482" s="19"/>
      <c r="AA482" s="18" t="str">
        <f aca="false">IF(OR(V482="Aprobada"),R482,IF(AND(OR(V482="Aprobada con ajuste",V482="Rechazada"),W482&lt;&gt;""),W482,""))</f>
        <v/>
      </c>
    </row>
    <row r="483" customFormat="false" ht="74.6" hidden="false" customHeight="false" outlineLevel="0" collapsed="false">
      <c r="A483" s="18" t="s">
        <v>2232</v>
      </c>
      <c r="B483" s="18" t="s">
        <v>60</v>
      </c>
      <c r="C483" s="18" t="s">
        <v>61</v>
      </c>
      <c r="D483" s="18" t="s">
        <v>2220</v>
      </c>
      <c r="E483" s="18" t="n">
        <v>23</v>
      </c>
      <c r="F483" s="18" t="s">
        <v>1018</v>
      </c>
      <c r="G483" s="18" t="s">
        <v>116</v>
      </c>
      <c r="H483" s="18" t="s">
        <v>117</v>
      </c>
      <c r="I483" s="18"/>
      <c r="J483" s="18"/>
      <c r="K483" s="18"/>
      <c r="L483" s="18" t="s">
        <v>109</v>
      </c>
      <c r="M483" s="18" t="s">
        <v>109</v>
      </c>
      <c r="N483" s="18"/>
      <c r="O483" s="18"/>
      <c r="P483" s="18" t="s">
        <v>2233</v>
      </c>
      <c r="Q483" s="18" t="s">
        <v>110</v>
      </c>
      <c r="R483" s="18" t="s">
        <v>2234</v>
      </c>
      <c r="S483" s="18" t="s">
        <v>112</v>
      </c>
      <c r="T483" s="18" t="s">
        <v>113</v>
      </c>
      <c r="U483" s="18"/>
      <c r="V483" s="19" t="s">
        <v>29</v>
      </c>
      <c r="W483" s="19"/>
      <c r="X483" s="19"/>
      <c r="Y483" s="20"/>
      <c r="Z483" s="19"/>
      <c r="AA483" s="18" t="str">
        <f aca="false">IF(OR(V483="Aprobada"),R483,IF(AND(OR(V483="Aprobada con ajuste",V483="Rechazada"),W483&lt;&gt;""),W483,""))</f>
        <v/>
      </c>
    </row>
    <row r="484" customFormat="false" ht="64.15" hidden="false" customHeight="false" outlineLevel="0" collapsed="false">
      <c r="A484" s="18" t="s">
        <v>2235</v>
      </c>
      <c r="B484" s="18" t="s">
        <v>60</v>
      </c>
      <c r="C484" s="18" t="s">
        <v>61</v>
      </c>
      <c r="D484" s="18" t="s">
        <v>2220</v>
      </c>
      <c r="E484" s="18" t="n">
        <v>23</v>
      </c>
      <c r="F484" s="18" t="s">
        <v>2236</v>
      </c>
      <c r="G484" s="18" t="s">
        <v>212</v>
      </c>
      <c r="H484" s="18" t="s">
        <v>109</v>
      </c>
      <c r="I484" s="18"/>
      <c r="J484" s="18"/>
      <c r="K484" s="18"/>
      <c r="L484" s="18" t="s">
        <v>109</v>
      </c>
      <c r="M484" s="18" t="s">
        <v>109</v>
      </c>
      <c r="N484" s="18"/>
      <c r="O484" s="18"/>
      <c r="P484" s="18" t="s">
        <v>2237</v>
      </c>
      <c r="Q484" s="18" t="s">
        <v>123</v>
      </c>
      <c r="R484" s="18" t="s">
        <v>2238</v>
      </c>
      <c r="S484" s="18" t="s">
        <v>125</v>
      </c>
      <c r="T484" s="18" t="s">
        <v>2239</v>
      </c>
      <c r="U484" s="18"/>
      <c r="V484" s="19" t="s">
        <v>29</v>
      </c>
      <c r="W484" s="19"/>
      <c r="X484" s="19"/>
      <c r="Y484" s="20"/>
      <c r="Z484" s="19"/>
      <c r="AA484" s="18" t="str">
        <f aca="false">IF(OR(V484="Aprobada"),R484,IF(AND(OR(V484="Aprobada con ajuste",V484="Rechazada"),W484&lt;&gt;""),W484,""))</f>
        <v/>
      </c>
    </row>
    <row r="485" customFormat="false" ht="32.8" hidden="false" customHeight="false" outlineLevel="0" collapsed="false">
      <c r="A485" s="18" t="s">
        <v>2240</v>
      </c>
      <c r="B485" s="18" t="s">
        <v>60</v>
      </c>
      <c r="C485" s="18" t="s">
        <v>61</v>
      </c>
      <c r="D485" s="18" t="s">
        <v>2220</v>
      </c>
      <c r="E485" s="18" t="n">
        <v>23</v>
      </c>
      <c r="F485" s="18" t="s">
        <v>1815</v>
      </c>
      <c r="G485" s="18" t="s">
        <v>145</v>
      </c>
      <c r="H485" s="18" t="s">
        <v>109</v>
      </c>
      <c r="I485" s="18" t="s">
        <v>140</v>
      </c>
      <c r="J485" s="18"/>
      <c r="K485" s="18"/>
      <c r="L485" s="18" t="s">
        <v>109</v>
      </c>
      <c r="M485" s="18" t="s">
        <v>109</v>
      </c>
      <c r="N485" s="18"/>
      <c r="O485" s="18"/>
      <c r="P485" s="18" t="s">
        <v>2241</v>
      </c>
      <c r="Q485" s="18" t="s">
        <v>110</v>
      </c>
      <c r="R485" s="18" t="s">
        <v>1817</v>
      </c>
      <c r="S485" s="18" t="s">
        <v>112</v>
      </c>
      <c r="T485" s="18" t="s">
        <v>113</v>
      </c>
      <c r="U485" s="18"/>
      <c r="V485" s="19" t="s">
        <v>29</v>
      </c>
      <c r="W485" s="19"/>
      <c r="X485" s="19"/>
      <c r="Y485" s="20"/>
      <c r="Z485" s="19"/>
      <c r="AA485" s="18" t="str">
        <f aca="false">IF(OR(V485="Aprobada"),R485,IF(AND(OR(V485="Aprobada con ajuste",V485="Rechazada"),W485&lt;&gt;""),W485,""))</f>
        <v/>
      </c>
    </row>
    <row r="486" customFormat="false" ht="32.8" hidden="false" customHeight="false" outlineLevel="0" collapsed="false">
      <c r="A486" s="18" t="s">
        <v>2242</v>
      </c>
      <c r="B486" s="18" t="s">
        <v>60</v>
      </c>
      <c r="C486" s="18" t="s">
        <v>61</v>
      </c>
      <c r="D486" s="18" t="s">
        <v>2220</v>
      </c>
      <c r="E486" s="18" t="n">
        <v>23</v>
      </c>
      <c r="F486" s="18" t="s">
        <v>1030</v>
      </c>
      <c r="G486" s="18" t="s">
        <v>139</v>
      </c>
      <c r="H486" s="18" t="s">
        <v>109</v>
      </c>
      <c r="I486" s="18"/>
      <c r="J486" s="18"/>
      <c r="K486" s="18"/>
      <c r="L486" s="18" t="s">
        <v>109</v>
      </c>
      <c r="M486" s="18" t="s">
        <v>109</v>
      </c>
      <c r="N486" s="18"/>
      <c r="O486" s="18"/>
      <c r="P486" s="18" t="s">
        <v>2243</v>
      </c>
      <c r="Q486" s="18" t="s">
        <v>110</v>
      </c>
      <c r="R486" s="18" t="s">
        <v>1031</v>
      </c>
      <c r="S486" s="18" t="s">
        <v>112</v>
      </c>
      <c r="T486" s="18" t="s">
        <v>113</v>
      </c>
      <c r="U486" s="18"/>
      <c r="V486" s="19" t="s">
        <v>29</v>
      </c>
      <c r="W486" s="19"/>
      <c r="X486" s="19"/>
      <c r="Y486" s="20"/>
      <c r="Z486" s="19"/>
      <c r="AA486" s="18" t="str">
        <f aca="false">IF(OR(V486="Aprobada"),R486,IF(AND(OR(V486="Aprobada con ajuste",V486="Rechazada"),W486&lt;&gt;""),W486,""))</f>
        <v/>
      </c>
    </row>
    <row r="487" customFormat="false" ht="32.8" hidden="false" customHeight="false" outlineLevel="0" collapsed="false">
      <c r="A487" s="18" t="s">
        <v>2244</v>
      </c>
      <c r="B487" s="18" t="s">
        <v>60</v>
      </c>
      <c r="C487" s="18" t="s">
        <v>61</v>
      </c>
      <c r="D487" s="18" t="s">
        <v>2220</v>
      </c>
      <c r="E487" s="18" t="n">
        <v>23</v>
      </c>
      <c r="F487" s="18" t="s">
        <v>857</v>
      </c>
      <c r="G487" s="18" t="s">
        <v>145</v>
      </c>
      <c r="H487" s="18" t="s">
        <v>109</v>
      </c>
      <c r="I487" s="18"/>
      <c r="J487" s="18"/>
      <c r="K487" s="18"/>
      <c r="L487" s="18" t="s">
        <v>109</v>
      </c>
      <c r="M487" s="18" t="s">
        <v>109</v>
      </c>
      <c r="N487" s="18"/>
      <c r="O487" s="18"/>
      <c r="P487" s="18" t="s">
        <v>2245</v>
      </c>
      <c r="Q487" s="18" t="s">
        <v>110</v>
      </c>
      <c r="R487" s="18" t="s">
        <v>859</v>
      </c>
      <c r="S487" s="18" t="s">
        <v>112</v>
      </c>
      <c r="T487" s="18" t="s">
        <v>113</v>
      </c>
      <c r="U487" s="18"/>
      <c r="V487" s="19" t="s">
        <v>29</v>
      </c>
      <c r="W487" s="19"/>
      <c r="X487" s="19"/>
      <c r="Y487" s="20"/>
      <c r="Z487" s="19"/>
      <c r="AA487" s="18" t="str">
        <f aca="false">IF(OR(V487="Aprobada"),R487,IF(AND(OR(V487="Aprobada con ajuste",V487="Rechazada"),W487&lt;&gt;""),W487,""))</f>
        <v/>
      </c>
    </row>
    <row r="488" customFormat="false" ht="74.6" hidden="false" customHeight="false" outlineLevel="0" collapsed="false">
      <c r="A488" s="18" t="s">
        <v>2246</v>
      </c>
      <c r="B488" s="18" t="s">
        <v>60</v>
      </c>
      <c r="C488" s="18" t="s">
        <v>61</v>
      </c>
      <c r="D488" s="18" t="s">
        <v>2247</v>
      </c>
      <c r="E488" s="18" t="n">
        <v>0</v>
      </c>
      <c r="F488" s="18" t="s">
        <v>1018</v>
      </c>
      <c r="G488" s="18" t="s">
        <v>2248</v>
      </c>
      <c r="H488" s="18" t="s">
        <v>109</v>
      </c>
      <c r="I488" s="18"/>
      <c r="J488" s="18"/>
      <c r="K488" s="18"/>
      <c r="L488" s="18" t="s">
        <v>109</v>
      </c>
      <c r="M488" s="18" t="s">
        <v>109</v>
      </c>
      <c r="N488" s="18"/>
      <c r="O488" s="18"/>
      <c r="P488" s="18" t="s">
        <v>2249</v>
      </c>
      <c r="Q488" s="18" t="s">
        <v>110</v>
      </c>
      <c r="R488" s="18" t="s">
        <v>2250</v>
      </c>
      <c r="S488" s="18" t="s">
        <v>112</v>
      </c>
      <c r="T488" s="18" t="s">
        <v>113</v>
      </c>
      <c r="U488" s="18"/>
      <c r="V488" s="19" t="s">
        <v>29</v>
      </c>
      <c r="W488" s="19"/>
      <c r="X488" s="19"/>
      <c r="Y488" s="20"/>
      <c r="Z488" s="19"/>
      <c r="AA488" s="18" t="str">
        <f aca="false">IF(OR(V488="Aprobada"),R488,IF(AND(OR(V488="Aprobada con ajuste",V488="Rechazada"),W488&lt;&gt;""),W488,""))</f>
        <v/>
      </c>
    </row>
    <row r="489" customFormat="false" ht="85.05" hidden="false" customHeight="false" outlineLevel="0" collapsed="false">
      <c r="A489" s="18" t="s">
        <v>2251</v>
      </c>
      <c r="B489" s="18" t="s">
        <v>60</v>
      </c>
      <c r="C489" s="18" t="s">
        <v>61</v>
      </c>
      <c r="D489" s="18" t="s">
        <v>2247</v>
      </c>
      <c r="E489" s="18" t="n">
        <v>0</v>
      </c>
      <c r="F489" s="18" t="s">
        <v>2252</v>
      </c>
      <c r="G489" s="18" t="s">
        <v>394</v>
      </c>
      <c r="H489" s="18" t="s">
        <v>117</v>
      </c>
      <c r="I489" s="18"/>
      <c r="J489" s="18"/>
      <c r="K489" s="18"/>
      <c r="L489" s="18" t="s">
        <v>109</v>
      </c>
      <c r="M489" s="18" t="s">
        <v>109</v>
      </c>
      <c r="N489" s="18"/>
      <c r="O489" s="18"/>
      <c r="P489" s="18" t="s">
        <v>2253</v>
      </c>
      <c r="Q489" s="18" t="s">
        <v>123</v>
      </c>
      <c r="R489" s="18" t="s">
        <v>2254</v>
      </c>
      <c r="S489" s="18" t="s">
        <v>125</v>
      </c>
      <c r="T489" s="18" t="s">
        <v>2255</v>
      </c>
      <c r="U489" s="18"/>
      <c r="V489" s="19" t="s">
        <v>29</v>
      </c>
      <c r="W489" s="19"/>
      <c r="X489" s="19"/>
      <c r="Y489" s="20"/>
      <c r="Z489" s="19"/>
      <c r="AA489" s="18" t="str">
        <f aca="false">IF(OR(V489="Aprobada"),R489,IF(AND(OR(V489="Aprobada con ajuste",V489="Rechazada"),W489&lt;&gt;""),W489,""))</f>
        <v/>
      </c>
    </row>
    <row r="490" customFormat="false" ht="53.7" hidden="false" customHeight="false" outlineLevel="0" collapsed="false">
      <c r="A490" s="18" t="s">
        <v>2256</v>
      </c>
      <c r="B490" s="18" t="s">
        <v>60</v>
      </c>
      <c r="C490" s="18" t="s">
        <v>61</v>
      </c>
      <c r="D490" s="18" t="s">
        <v>2247</v>
      </c>
      <c r="E490" s="18" t="n">
        <v>0</v>
      </c>
      <c r="F490" s="18" t="s">
        <v>914</v>
      </c>
      <c r="G490" s="18" t="s">
        <v>116</v>
      </c>
      <c r="H490" s="18" t="s">
        <v>117</v>
      </c>
      <c r="I490" s="18"/>
      <c r="J490" s="18"/>
      <c r="K490" s="18"/>
      <c r="L490" s="18" t="s">
        <v>109</v>
      </c>
      <c r="M490" s="18" t="s">
        <v>109</v>
      </c>
      <c r="N490" s="18"/>
      <c r="O490" s="18"/>
      <c r="P490" s="18" t="s">
        <v>2257</v>
      </c>
      <c r="Q490" s="18" t="s">
        <v>110</v>
      </c>
      <c r="R490" s="18" t="s">
        <v>2258</v>
      </c>
      <c r="S490" s="18" t="s">
        <v>112</v>
      </c>
      <c r="T490" s="18" t="s">
        <v>113</v>
      </c>
      <c r="U490" s="18"/>
      <c r="V490" s="19" t="s">
        <v>29</v>
      </c>
      <c r="W490" s="19"/>
      <c r="X490" s="19"/>
      <c r="Y490" s="20"/>
      <c r="Z490" s="19"/>
      <c r="AA490" s="18" t="str">
        <f aca="false">IF(OR(V490="Aprobada"),R490,IF(AND(OR(V490="Aprobada con ajuste",V490="Rechazada"),W490&lt;&gt;""),W490,""))</f>
        <v/>
      </c>
    </row>
    <row r="491" customFormat="false" ht="116.4" hidden="false" customHeight="false" outlineLevel="0" collapsed="false">
      <c r="A491" s="18" t="s">
        <v>2259</v>
      </c>
      <c r="B491" s="18" t="s">
        <v>60</v>
      </c>
      <c r="C491" s="18" t="s">
        <v>61</v>
      </c>
      <c r="D491" s="18" t="s">
        <v>2260</v>
      </c>
      <c r="E491" s="18" t="n">
        <v>0</v>
      </c>
      <c r="F491" s="18" t="s">
        <v>1018</v>
      </c>
      <c r="G491" s="18" t="s">
        <v>1802</v>
      </c>
      <c r="H491" s="18" t="s">
        <v>109</v>
      </c>
      <c r="I491" s="18"/>
      <c r="J491" s="18"/>
      <c r="K491" s="18"/>
      <c r="L491" s="18" t="s">
        <v>109</v>
      </c>
      <c r="M491" s="18" t="s">
        <v>109</v>
      </c>
      <c r="N491" s="18"/>
      <c r="O491" s="18"/>
      <c r="P491" s="18" t="s">
        <v>2261</v>
      </c>
      <c r="Q491" s="18" t="s">
        <v>123</v>
      </c>
      <c r="R491" s="18" t="s">
        <v>2262</v>
      </c>
      <c r="S491" s="18" t="s">
        <v>125</v>
      </c>
      <c r="T491" s="18" t="s">
        <v>2263</v>
      </c>
      <c r="U491" s="18"/>
      <c r="V491" s="19" t="s">
        <v>29</v>
      </c>
      <c r="W491" s="19"/>
      <c r="X491" s="19"/>
      <c r="Y491" s="20"/>
      <c r="Z491" s="19"/>
      <c r="AA491" s="18" t="str">
        <f aca="false">IF(OR(V491="Aprobada"),R491,IF(AND(OR(V491="Aprobada con ajuste",V491="Rechazada"),W491&lt;&gt;""),W491,""))</f>
        <v/>
      </c>
    </row>
    <row r="492" customFormat="false" ht="22.35" hidden="false" customHeight="false" outlineLevel="0" collapsed="false">
      <c r="A492" s="18" t="s">
        <v>2264</v>
      </c>
      <c r="B492" s="18" t="s">
        <v>60</v>
      </c>
      <c r="C492" s="18" t="s">
        <v>61</v>
      </c>
      <c r="D492" s="18" t="s">
        <v>2260</v>
      </c>
      <c r="E492" s="18" t="n">
        <v>0</v>
      </c>
      <c r="F492" s="18" t="s">
        <v>2265</v>
      </c>
      <c r="G492" s="18" t="s">
        <v>459</v>
      </c>
      <c r="H492" s="18" t="s">
        <v>117</v>
      </c>
      <c r="I492" s="18"/>
      <c r="J492" s="18"/>
      <c r="K492" s="18"/>
      <c r="L492" s="18" t="s">
        <v>109</v>
      </c>
      <c r="M492" s="18" t="s">
        <v>109</v>
      </c>
      <c r="N492" s="18"/>
      <c r="O492" s="18"/>
      <c r="P492" s="18" t="s">
        <v>2266</v>
      </c>
      <c r="Q492" s="18" t="s">
        <v>110</v>
      </c>
      <c r="R492" s="18" t="s">
        <v>2199</v>
      </c>
      <c r="S492" s="18" t="s">
        <v>112</v>
      </c>
      <c r="T492" s="18" t="s">
        <v>113</v>
      </c>
      <c r="U492" s="18"/>
      <c r="V492" s="19" t="s">
        <v>29</v>
      </c>
      <c r="W492" s="19"/>
      <c r="X492" s="19"/>
      <c r="Y492" s="20"/>
      <c r="Z492" s="19"/>
      <c r="AA492" s="18" t="str">
        <f aca="false">IF(OR(V492="Aprobada"),R492,IF(AND(OR(V492="Aprobada con ajuste",V492="Rechazada"),W492&lt;&gt;""),W492,""))</f>
        <v/>
      </c>
    </row>
    <row r="493" customFormat="false" ht="22.35" hidden="false" customHeight="false" outlineLevel="0" collapsed="false">
      <c r="A493" s="18" t="s">
        <v>2267</v>
      </c>
      <c r="B493" s="18" t="s">
        <v>60</v>
      </c>
      <c r="C493" s="18" t="s">
        <v>61</v>
      </c>
      <c r="D493" s="18" t="s">
        <v>2268</v>
      </c>
      <c r="E493" s="18" t="n">
        <v>10</v>
      </c>
      <c r="F493" s="18" t="s">
        <v>2269</v>
      </c>
      <c r="G493" s="18" t="s">
        <v>167</v>
      </c>
      <c r="H493" s="18" t="s">
        <v>109</v>
      </c>
      <c r="I493" s="18" t="s">
        <v>409</v>
      </c>
      <c r="J493" s="18"/>
      <c r="K493" s="18"/>
      <c r="L493" s="18" t="s">
        <v>109</v>
      </c>
      <c r="M493" s="18" t="s">
        <v>109</v>
      </c>
      <c r="N493" s="18"/>
      <c r="O493" s="18" t="s">
        <v>2270</v>
      </c>
      <c r="P493" s="18" t="s">
        <v>2271</v>
      </c>
      <c r="Q493" s="18" t="s">
        <v>134</v>
      </c>
      <c r="R493" s="18" t="s">
        <v>2272</v>
      </c>
      <c r="S493" s="18" t="s">
        <v>125</v>
      </c>
      <c r="T493" s="18" t="s">
        <v>842</v>
      </c>
      <c r="U493" s="18"/>
      <c r="V493" s="19" t="s">
        <v>29</v>
      </c>
      <c r="W493" s="19"/>
      <c r="X493" s="19"/>
      <c r="Y493" s="20"/>
      <c r="Z493" s="19"/>
      <c r="AA493" s="18" t="str">
        <f aca="false">IF(OR(V493="Aprobada"),R493,IF(AND(OR(V493="Aprobada con ajuste",V493="Rechazada"),W493&lt;&gt;""),W493,""))</f>
        <v/>
      </c>
    </row>
    <row r="494" customFormat="false" ht="22.35" hidden="false" customHeight="false" outlineLevel="0" collapsed="false">
      <c r="A494" s="18" t="s">
        <v>2273</v>
      </c>
      <c r="B494" s="18" t="s">
        <v>60</v>
      </c>
      <c r="C494" s="18" t="s">
        <v>61</v>
      </c>
      <c r="D494" s="18" t="s">
        <v>2268</v>
      </c>
      <c r="E494" s="18" t="n">
        <v>10</v>
      </c>
      <c r="F494" s="18" t="s">
        <v>107</v>
      </c>
      <c r="G494" s="18" t="s">
        <v>133</v>
      </c>
      <c r="H494" s="18" t="s">
        <v>109</v>
      </c>
      <c r="I494" s="18" t="s">
        <v>140</v>
      </c>
      <c r="J494" s="18" t="s">
        <v>2274</v>
      </c>
      <c r="K494" s="18"/>
      <c r="L494" s="18" t="s">
        <v>117</v>
      </c>
      <c r="M494" s="18" t="s">
        <v>109</v>
      </c>
      <c r="N494" s="18"/>
      <c r="O494" s="18" t="s">
        <v>2275</v>
      </c>
      <c r="P494" s="18" t="s">
        <v>2276</v>
      </c>
      <c r="Q494" s="18" t="s">
        <v>110</v>
      </c>
      <c r="R494" s="18" t="s">
        <v>2277</v>
      </c>
      <c r="S494" s="18" t="s">
        <v>112</v>
      </c>
      <c r="T494" s="18" t="s">
        <v>113</v>
      </c>
      <c r="U494" s="18"/>
      <c r="V494" s="19" t="s">
        <v>29</v>
      </c>
      <c r="W494" s="19"/>
      <c r="X494" s="19"/>
      <c r="Y494" s="20"/>
      <c r="Z494" s="19"/>
      <c r="AA494" s="18" t="str">
        <f aca="false">IF(OR(V494="Aprobada"),R494,IF(AND(OR(V494="Aprobada con ajuste",V494="Rechazada"),W494&lt;&gt;""),W494,""))</f>
        <v/>
      </c>
    </row>
    <row r="495" customFormat="false" ht="22.35" hidden="false" customHeight="false" outlineLevel="0" collapsed="false">
      <c r="A495" s="18" t="s">
        <v>2278</v>
      </c>
      <c r="B495" s="18" t="s">
        <v>60</v>
      </c>
      <c r="C495" s="18" t="s">
        <v>61</v>
      </c>
      <c r="D495" s="18" t="s">
        <v>2268</v>
      </c>
      <c r="E495" s="18" t="n">
        <v>10</v>
      </c>
      <c r="F495" s="18" t="s">
        <v>1254</v>
      </c>
      <c r="G495" s="18" t="s">
        <v>184</v>
      </c>
      <c r="H495" s="18" t="s">
        <v>109</v>
      </c>
      <c r="I495" s="18"/>
      <c r="J495" s="18"/>
      <c r="K495" s="18"/>
      <c r="L495" s="18" t="s">
        <v>109</v>
      </c>
      <c r="M495" s="18" t="s">
        <v>109</v>
      </c>
      <c r="N495" s="18"/>
      <c r="O495" s="18"/>
      <c r="P495" s="18" t="s">
        <v>2279</v>
      </c>
      <c r="Q495" s="18" t="s">
        <v>110</v>
      </c>
      <c r="R495" s="18" t="s">
        <v>1255</v>
      </c>
      <c r="S495" s="18" t="s">
        <v>112</v>
      </c>
      <c r="T495" s="18" t="s">
        <v>113</v>
      </c>
      <c r="U495" s="18"/>
      <c r="V495" s="19" t="s">
        <v>29</v>
      </c>
      <c r="W495" s="19"/>
      <c r="X495" s="19"/>
      <c r="Y495" s="20"/>
      <c r="Z495" s="19"/>
      <c r="AA495" s="18" t="str">
        <f aca="false">IF(OR(V495="Aprobada"),R495,IF(AND(OR(V495="Aprobada con ajuste",V495="Rechazada"),W495&lt;&gt;""),W495,""))</f>
        <v/>
      </c>
    </row>
    <row r="496" customFormat="false" ht="43.25" hidden="false" customHeight="false" outlineLevel="0" collapsed="false">
      <c r="A496" s="18" t="s">
        <v>2280</v>
      </c>
      <c r="B496" s="18" t="s">
        <v>60</v>
      </c>
      <c r="C496" s="18" t="s">
        <v>61</v>
      </c>
      <c r="D496" s="18" t="s">
        <v>2268</v>
      </c>
      <c r="E496" s="18" t="n">
        <v>10</v>
      </c>
      <c r="F496" s="18" t="s">
        <v>2281</v>
      </c>
      <c r="G496" s="18" t="s">
        <v>184</v>
      </c>
      <c r="H496" s="18" t="s">
        <v>117</v>
      </c>
      <c r="I496" s="18" t="s">
        <v>140</v>
      </c>
      <c r="J496" s="18"/>
      <c r="K496" s="18"/>
      <c r="L496" s="18" t="s">
        <v>109</v>
      </c>
      <c r="M496" s="18" t="s">
        <v>109</v>
      </c>
      <c r="N496" s="18"/>
      <c r="O496" s="18"/>
      <c r="P496" s="18" t="s">
        <v>2282</v>
      </c>
      <c r="Q496" s="18" t="s">
        <v>123</v>
      </c>
      <c r="R496" s="18" t="s">
        <v>2283</v>
      </c>
      <c r="S496" s="18" t="s">
        <v>112</v>
      </c>
      <c r="T496" s="18" t="s">
        <v>2284</v>
      </c>
      <c r="U496" s="18" t="s">
        <v>2285</v>
      </c>
      <c r="V496" s="19" t="s">
        <v>29</v>
      </c>
      <c r="W496" s="19"/>
      <c r="X496" s="19"/>
      <c r="Y496" s="20"/>
      <c r="Z496" s="19"/>
      <c r="AA496" s="18" t="str">
        <f aca="false">IF(OR(V496="Aprobada"),R496,IF(AND(OR(V496="Aprobada con ajuste",V496="Rechazada"),W496&lt;&gt;""),W496,""))</f>
        <v/>
      </c>
    </row>
    <row r="497" customFormat="false" ht="22.35" hidden="false" customHeight="false" outlineLevel="0" collapsed="false">
      <c r="A497" s="18" t="s">
        <v>2286</v>
      </c>
      <c r="B497" s="18" t="s">
        <v>60</v>
      </c>
      <c r="C497" s="18" t="s">
        <v>61</v>
      </c>
      <c r="D497" s="18" t="s">
        <v>2268</v>
      </c>
      <c r="E497" s="18" t="n">
        <v>10</v>
      </c>
      <c r="F497" s="18" t="s">
        <v>2287</v>
      </c>
      <c r="G497" s="18" t="s">
        <v>459</v>
      </c>
      <c r="H497" s="18" t="s">
        <v>117</v>
      </c>
      <c r="I497" s="18"/>
      <c r="J497" s="18"/>
      <c r="K497" s="18"/>
      <c r="L497" s="18" t="s">
        <v>109</v>
      </c>
      <c r="M497" s="18" t="s">
        <v>109</v>
      </c>
      <c r="N497" s="18"/>
      <c r="O497" s="18"/>
      <c r="P497" s="18" t="s">
        <v>2288</v>
      </c>
      <c r="Q497" s="18" t="s">
        <v>123</v>
      </c>
      <c r="R497" s="18" t="s">
        <v>2289</v>
      </c>
      <c r="S497" s="18" t="s">
        <v>112</v>
      </c>
      <c r="T497" s="18" t="s">
        <v>2290</v>
      </c>
      <c r="U497" s="18" t="s">
        <v>1532</v>
      </c>
      <c r="V497" s="19" t="s">
        <v>29</v>
      </c>
      <c r="W497" s="19"/>
      <c r="X497" s="19"/>
      <c r="Y497" s="20"/>
      <c r="Z497" s="19"/>
      <c r="AA497" s="18" t="str">
        <f aca="false">IF(OR(V497="Aprobada"),R497,IF(AND(OR(V497="Aprobada con ajuste",V497="Rechazada"),W497&lt;&gt;""),W497,""))</f>
        <v/>
      </c>
    </row>
    <row r="498" customFormat="false" ht="105.95" hidden="false" customHeight="false" outlineLevel="0" collapsed="false">
      <c r="A498" s="18" t="s">
        <v>2291</v>
      </c>
      <c r="B498" s="18" t="s">
        <v>60</v>
      </c>
      <c r="C498" s="18" t="s">
        <v>61</v>
      </c>
      <c r="D498" s="18" t="s">
        <v>2268</v>
      </c>
      <c r="E498" s="18" t="n">
        <v>10</v>
      </c>
      <c r="F498" s="18" t="s">
        <v>2292</v>
      </c>
      <c r="G498" s="18" t="s">
        <v>121</v>
      </c>
      <c r="H498" s="18" t="s">
        <v>117</v>
      </c>
      <c r="I498" s="18"/>
      <c r="J498" s="18"/>
      <c r="K498" s="18"/>
      <c r="L498" s="18" t="s">
        <v>109</v>
      </c>
      <c r="M498" s="18" t="s">
        <v>109</v>
      </c>
      <c r="N498" s="18"/>
      <c r="O498" s="18"/>
      <c r="P498" s="18" t="s">
        <v>2293</v>
      </c>
      <c r="Q498" s="18" t="s">
        <v>123</v>
      </c>
      <c r="R498" s="18" t="s">
        <v>2294</v>
      </c>
      <c r="S498" s="18" t="s">
        <v>125</v>
      </c>
      <c r="T498" s="18" t="s">
        <v>2295</v>
      </c>
      <c r="U498" s="18"/>
      <c r="V498" s="19" t="s">
        <v>29</v>
      </c>
      <c r="W498" s="19"/>
      <c r="X498" s="19"/>
      <c r="Y498" s="20"/>
      <c r="Z498" s="19"/>
      <c r="AA498" s="18" t="str">
        <f aca="false">IF(OR(V498="Aprobada"),R498,IF(AND(OR(V498="Aprobada con ajuste",V498="Rechazada"),W498&lt;&gt;""),W498,""))</f>
        <v/>
      </c>
    </row>
    <row r="499" customFormat="false" ht="22.35" hidden="false" customHeight="false" outlineLevel="0" collapsed="false">
      <c r="A499" s="18" t="s">
        <v>2296</v>
      </c>
      <c r="B499" s="18" t="s">
        <v>60</v>
      </c>
      <c r="C499" s="18" t="s">
        <v>61</v>
      </c>
      <c r="D499" s="18" t="s">
        <v>2268</v>
      </c>
      <c r="E499" s="18" t="n">
        <v>10</v>
      </c>
      <c r="F499" s="18" t="s">
        <v>2297</v>
      </c>
      <c r="G499" s="18" t="s">
        <v>116</v>
      </c>
      <c r="H499" s="18" t="s">
        <v>117</v>
      </c>
      <c r="I499" s="18"/>
      <c r="J499" s="18"/>
      <c r="K499" s="18"/>
      <c r="L499" s="18" t="s">
        <v>109</v>
      </c>
      <c r="M499" s="18" t="s">
        <v>109</v>
      </c>
      <c r="N499" s="18"/>
      <c r="O499" s="18"/>
      <c r="P499" s="18" t="s">
        <v>2298</v>
      </c>
      <c r="Q499" s="18" t="s">
        <v>123</v>
      </c>
      <c r="R499" s="18" t="s">
        <v>2299</v>
      </c>
      <c r="S499" s="18" t="s">
        <v>125</v>
      </c>
      <c r="T499" s="18" t="s">
        <v>2300</v>
      </c>
      <c r="U499" s="18"/>
      <c r="V499" s="19" t="s">
        <v>29</v>
      </c>
      <c r="W499" s="19"/>
      <c r="X499" s="19"/>
      <c r="Y499" s="20"/>
      <c r="Z499" s="19"/>
      <c r="AA499" s="18" t="str">
        <f aca="false">IF(OR(V499="Aprobada"),R499,IF(AND(OR(V499="Aprobada con ajuste",V499="Rechazada"),W499&lt;&gt;""),W499,""))</f>
        <v/>
      </c>
    </row>
    <row r="500" customFormat="false" ht="64.15" hidden="false" customHeight="false" outlineLevel="0" collapsed="false">
      <c r="A500" s="18" t="s">
        <v>2301</v>
      </c>
      <c r="B500" s="18" t="s">
        <v>60</v>
      </c>
      <c r="C500" s="18" t="s">
        <v>61</v>
      </c>
      <c r="D500" s="18" t="s">
        <v>2268</v>
      </c>
      <c r="E500" s="18" t="n">
        <v>10</v>
      </c>
      <c r="F500" s="18" t="s">
        <v>2302</v>
      </c>
      <c r="G500" s="18" t="s">
        <v>184</v>
      </c>
      <c r="H500" s="18" t="s">
        <v>117</v>
      </c>
      <c r="I500" s="18" t="s">
        <v>140</v>
      </c>
      <c r="J500" s="18"/>
      <c r="K500" s="18"/>
      <c r="L500" s="18" t="s">
        <v>109</v>
      </c>
      <c r="M500" s="18" t="s">
        <v>109</v>
      </c>
      <c r="N500" s="18"/>
      <c r="O500" s="18"/>
      <c r="P500" s="18" t="s">
        <v>2303</v>
      </c>
      <c r="Q500" s="18" t="s">
        <v>123</v>
      </c>
      <c r="R500" s="18" t="s">
        <v>2304</v>
      </c>
      <c r="S500" s="18" t="s">
        <v>125</v>
      </c>
      <c r="T500" s="18" t="s">
        <v>2305</v>
      </c>
      <c r="U500" s="18"/>
      <c r="V500" s="19" t="s">
        <v>29</v>
      </c>
      <c r="W500" s="19"/>
      <c r="X500" s="19"/>
      <c r="Y500" s="20"/>
      <c r="Z500" s="19"/>
      <c r="AA500" s="18" t="str">
        <f aca="false">IF(OR(V500="Aprobada"),R500,IF(AND(OR(V500="Aprobada con ajuste",V500="Rechazada"),W500&lt;&gt;""),W500,""))</f>
        <v/>
      </c>
    </row>
    <row r="501" customFormat="false" ht="22.35" hidden="false" customHeight="false" outlineLevel="0" collapsed="false">
      <c r="A501" s="18" t="s">
        <v>2306</v>
      </c>
      <c r="B501" s="18" t="s">
        <v>60</v>
      </c>
      <c r="C501" s="18" t="s">
        <v>61</v>
      </c>
      <c r="D501" s="18" t="s">
        <v>2268</v>
      </c>
      <c r="E501" s="18" t="n">
        <v>10</v>
      </c>
      <c r="F501" s="18" t="s">
        <v>2307</v>
      </c>
      <c r="G501" s="18" t="s">
        <v>459</v>
      </c>
      <c r="H501" s="18" t="s">
        <v>117</v>
      </c>
      <c r="I501" s="18"/>
      <c r="J501" s="18"/>
      <c r="K501" s="18"/>
      <c r="L501" s="18" t="s">
        <v>109</v>
      </c>
      <c r="M501" s="18" t="s">
        <v>109</v>
      </c>
      <c r="N501" s="18"/>
      <c r="O501" s="18"/>
      <c r="P501" s="18" t="s">
        <v>2308</v>
      </c>
      <c r="Q501" s="18" t="s">
        <v>123</v>
      </c>
      <c r="R501" s="18" t="s">
        <v>2309</v>
      </c>
      <c r="S501" s="18" t="s">
        <v>112</v>
      </c>
      <c r="T501" s="18" t="s">
        <v>2300</v>
      </c>
      <c r="U501" s="18" t="s">
        <v>1532</v>
      </c>
      <c r="V501" s="19" t="s">
        <v>29</v>
      </c>
      <c r="W501" s="19"/>
      <c r="X501" s="19"/>
      <c r="Y501" s="20"/>
      <c r="Z501" s="19"/>
      <c r="AA501" s="18" t="str">
        <f aca="false">IF(OR(V501="Aprobada"),R501,IF(AND(OR(V501="Aprobada con ajuste",V501="Rechazada"),W501&lt;&gt;""),W501,""))</f>
        <v/>
      </c>
    </row>
    <row r="502" customFormat="false" ht="22.35" hidden="false" customHeight="false" outlineLevel="0" collapsed="false">
      <c r="A502" s="18" t="s">
        <v>2310</v>
      </c>
      <c r="B502" s="18" t="s">
        <v>60</v>
      </c>
      <c r="C502" s="18" t="s">
        <v>61</v>
      </c>
      <c r="D502" s="18" t="s">
        <v>2268</v>
      </c>
      <c r="E502" s="18" t="n">
        <v>10</v>
      </c>
      <c r="F502" s="18" t="s">
        <v>2311</v>
      </c>
      <c r="G502" s="18" t="s">
        <v>116</v>
      </c>
      <c r="H502" s="18" t="s">
        <v>117</v>
      </c>
      <c r="I502" s="18" t="s">
        <v>140</v>
      </c>
      <c r="J502" s="18"/>
      <c r="K502" s="18"/>
      <c r="L502" s="18" t="s">
        <v>109</v>
      </c>
      <c r="M502" s="18" t="s">
        <v>109</v>
      </c>
      <c r="N502" s="18"/>
      <c r="O502" s="18"/>
      <c r="P502" s="18" t="s">
        <v>2312</v>
      </c>
      <c r="Q502" s="18" t="s">
        <v>123</v>
      </c>
      <c r="R502" s="18" t="s">
        <v>2313</v>
      </c>
      <c r="S502" s="18" t="s">
        <v>125</v>
      </c>
      <c r="T502" s="18" t="s">
        <v>2290</v>
      </c>
      <c r="U502" s="18"/>
      <c r="V502" s="19" t="s">
        <v>29</v>
      </c>
      <c r="W502" s="19"/>
      <c r="X502" s="19"/>
      <c r="Y502" s="20"/>
      <c r="Z502" s="19"/>
      <c r="AA502" s="18" t="str">
        <f aca="false">IF(OR(V502="Aprobada"),R502,IF(AND(OR(V502="Aprobada con ajuste",V502="Rechazada"),W502&lt;&gt;""),W502,""))</f>
        <v/>
      </c>
    </row>
    <row r="503" customFormat="false" ht="74.6" hidden="false" customHeight="false" outlineLevel="0" collapsed="false">
      <c r="A503" s="18" t="s">
        <v>2314</v>
      </c>
      <c r="B503" s="18" t="s">
        <v>60</v>
      </c>
      <c r="C503" s="18" t="s">
        <v>61</v>
      </c>
      <c r="D503" s="18" t="s">
        <v>2315</v>
      </c>
      <c r="E503" s="18" t="n">
        <v>2</v>
      </c>
      <c r="F503" s="18" t="s">
        <v>2316</v>
      </c>
      <c r="G503" s="18" t="s">
        <v>151</v>
      </c>
      <c r="H503" s="18" t="s">
        <v>109</v>
      </c>
      <c r="I503" s="18" t="s">
        <v>140</v>
      </c>
      <c r="J503" s="18" t="s">
        <v>2317</v>
      </c>
      <c r="K503" s="18"/>
      <c r="L503" s="18" t="s">
        <v>117</v>
      </c>
      <c r="M503" s="18" t="s">
        <v>109</v>
      </c>
      <c r="N503" s="18"/>
      <c r="O503" s="18" t="s">
        <v>2318</v>
      </c>
      <c r="P503" s="18" t="s">
        <v>2319</v>
      </c>
      <c r="Q503" s="18" t="s">
        <v>123</v>
      </c>
      <c r="R503" s="18" t="s">
        <v>2320</v>
      </c>
      <c r="S503" s="18" t="s">
        <v>125</v>
      </c>
      <c r="T503" s="18" t="s">
        <v>2321</v>
      </c>
      <c r="U503" s="18"/>
      <c r="V503" s="19" t="s">
        <v>29</v>
      </c>
      <c r="W503" s="19"/>
      <c r="X503" s="19"/>
      <c r="Y503" s="20"/>
      <c r="Z503" s="19"/>
      <c r="AA503" s="18" t="str">
        <f aca="false">IF(OR(V503="Aprobada"),R503,IF(AND(OR(V503="Aprobada con ajuste",V503="Rechazada"),W503&lt;&gt;""),W503,""))</f>
        <v/>
      </c>
    </row>
    <row r="504" customFormat="false" ht="85.05" hidden="false" customHeight="false" outlineLevel="0" collapsed="false">
      <c r="A504" s="18" t="s">
        <v>2322</v>
      </c>
      <c r="B504" s="18" t="s">
        <v>60</v>
      </c>
      <c r="C504" s="18" t="s">
        <v>61</v>
      </c>
      <c r="D504" s="18" t="s">
        <v>2315</v>
      </c>
      <c r="E504" s="18" t="n">
        <v>2</v>
      </c>
      <c r="F504" s="18" t="s">
        <v>2323</v>
      </c>
      <c r="G504" s="18" t="s">
        <v>1802</v>
      </c>
      <c r="H504" s="18" t="s">
        <v>109</v>
      </c>
      <c r="I504" s="18"/>
      <c r="J504" s="18"/>
      <c r="K504" s="18"/>
      <c r="L504" s="18" t="s">
        <v>109</v>
      </c>
      <c r="M504" s="18" t="s">
        <v>109</v>
      </c>
      <c r="N504" s="18"/>
      <c r="O504" s="18"/>
      <c r="P504" s="18" t="s">
        <v>2324</v>
      </c>
      <c r="Q504" s="18" t="s">
        <v>123</v>
      </c>
      <c r="R504" s="18" t="s">
        <v>2325</v>
      </c>
      <c r="S504" s="18" t="s">
        <v>125</v>
      </c>
      <c r="T504" s="18" t="s">
        <v>2326</v>
      </c>
      <c r="U504" s="18"/>
      <c r="V504" s="19" t="s">
        <v>29</v>
      </c>
      <c r="W504" s="19"/>
      <c r="X504" s="19"/>
      <c r="Y504" s="20"/>
      <c r="Z504" s="19"/>
      <c r="AA504" s="18" t="str">
        <f aca="false">IF(OR(V504="Aprobada"),R504,IF(AND(OR(V504="Aprobada con ajuste",V504="Rechazada"),W504&lt;&gt;""),W504,""))</f>
        <v/>
      </c>
    </row>
    <row r="505" customFormat="false" ht="32.8" hidden="false" customHeight="false" outlineLevel="0" collapsed="false">
      <c r="A505" s="18" t="s">
        <v>2327</v>
      </c>
      <c r="B505" s="18" t="s">
        <v>60</v>
      </c>
      <c r="C505" s="18" t="s">
        <v>61</v>
      </c>
      <c r="D505" s="18" t="s">
        <v>2315</v>
      </c>
      <c r="E505" s="18" t="n">
        <v>2</v>
      </c>
      <c r="F505" s="18" t="s">
        <v>2328</v>
      </c>
      <c r="G505" s="18" t="s">
        <v>133</v>
      </c>
      <c r="H505" s="18" t="s">
        <v>117</v>
      </c>
      <c r="I505" s="18"/>
      <c r="J505" s="18"/>
      <c r="K505" s="18"/>
      <c r="L505" s="18" t="s">
        <v>109</v>
      </c>
      <c r="M505" s="18" t="s">
        <v>109</v>
      </c>
      <c r="N505" s="18"/>
      <c r="O505" s="18"/>
      <c r="P505" s="18" t="s">
        <v>2329</v>
      </c>
      <c r="Q505" s="18" t="s">
        <v>134</v>
      </c>
      <c r="R505" s="18" t="s">
        <v>2330</v>
      </c>
      <c r="S505" s="18" t="s">
        <v>125</v>
      </c>
      <c r="T505" s="18" t="s">
        <v>2331</v>
      </c>
      <c r="U505" s="18"/>
      <c r="V505" s="19" t="s">
        <v>29</v>
      </c>
      <c r="W505" s="19"/>
      <c r="X505" s="19"/>
      <c r="Y505" s="20"/>
      <c r="Z505" s="19"/>
      <c r="AA505" s="18" t="str">
        <f aca="false">IF(OR(V505="Aprobada"),R505,IF(AND(OR(V505="Aprobada con ajuste",V505="Rechazada"),W505&lt;&gt;""),W505,""))</f>
        <v/>
      </c>
    </row>
    <row r="506" customFormat="false" ht="74.6" hidden="false" customHeight="false" outlineLevel="0" collapsed="false">
      <c r="A506" s="18" t="s">
        <v>2332</v>
      </c>
      <c r="B506" s="18" t="s">
        <v>60</v>
      </c>
      <c r="C506" s="18" t="s">
        <v>61</v>
      </c>
      <c r="D506" s="18" t="s">
        <v>2315</v>
      </c>
      <c r="E506" s="18" t="n">
        <v>2</v>
      </c>
      <c r="F506" s="18" t="s">
        <v>1620</v>
      </c>
      <c r="G506" s="18" t="s">
        <v>459</v>
      </c>
      <c r="H506" s="18" t="s">
        <v>117</v>
      </c>
      <c r="I506" s="18"/>
      <c r="J506" s="18"/>
      <c r="K506" s="18"/>
      <c r="L506" s="18" t="s">
        <v>109</v>
      </c>
      <c r="M506" s="18" t="s">
        <v>109</v>
      </c>
      <c r="N506" s="18"/>
      <c r="O506" s="18"/>
      <c r="P506" s="18" t="s">
        <v>2333</v>
      </c>
      <c r="Q506" s="18" t="s">
        <v>123</v>
      </c>
      <c r="R506" s="18" t="s">
        <v>2334</v>
      </c>
      <c r="S506" s="18" t="s">
        <v>125</v>
      </c>
      <c r="T506" s="18" t="s">
        <v>2335</v>
      </c>
      <c r="U506" s="18"/>
      <c r="V506" s="19" t="s">
        <v>29</v>
      </c>
      <c r="W506" s="19"/>
      <c r="X506" s="19"/>
      <c r="Y506" s="20"/>
      <c r="Z506" s="19"/>
      <c r="AA506" s="18" t="str">
        <f aca="false">IF(OR(V506="Aprobada"),R506,IF(AND(OR(V506="Aprobada con ajuste",V506="Rechazada"),W506&lt;&gt;""),W506,""))</f>
        <v/>
      </c>
    </row>
    <row r="507" customFormat="false" ht="64.15" hidden="false" customHeight="false" outlineLevel="0" collapsed="false">
      <c r="A507" s="18" t="s">
        <v>2336</v>
      </c>
      <c r="B507" s="18" t="s">
        <v>60</v>
      </c>
      <c r="C507" s="18" t="s">
        <v>61</v>
      </c>
      <c r="D507" s="18" t="s">
        <v>2315</v>
      </c>
      <c r="E507" s="18" t="n">
        <v>2</v>
      </c>
      <c r="F507" s="18" t="s">
        <v>2337</v>
      </c>
      <c r="G507" s="18" t="s">
        <v>394</v>
      </c>
      <c r="H507" s="18" t="s">
        <v>109</v>
      </c>
      <c r="I507" s="18"/>
      <c r="J507" s="18"/>
      <c r="K507" s="18"/>
      <c r="L507" s="18" t="s">
        <v>109</v>
      </c>
      <c r="M507" s="18" t="s">
        <v>109</v>
      </c>
      <c r="N507" s="18"/>
      <c r="O507" s="18"/>
      <c r="P507" s="18" t="s">
        <v>2338</v>
      </c>
      <c r="Q507" s="18" t="s">
        <v>123</v>
      </c>
      <c r="R507" s="18" t="s">
        <v>2339</v>
      </c>
      <c r="S507" s="18" t="s">
        <v>125</v>
      </c>
      <c r="T507" s="18" t="s">
        <v>2340</v>
      </c>
      <c r="U507" s="18"/>
      <c r="V507" s="19" t="s">
        <v>29</v>
      </c>
      <c r="W507" s="19"/>
      <c r="X507" s="19"/>
      <c r="Y507" s="20"/>
      <c r="Z507" s="19"/>
      <c r="AA507" s="18" t="str">
        <f aca="false">IF(OR(V507="Aprobada"),R507,IF(AND(OR(V507="Aprobada con ajuste",V507="Rechazada"),W507&lt;&gt;""),W507,""))</f>
        <v/>
      </c>
    </row>
    <row r="508" customFormat="false" ht="32.8" hidden="false" customHeight="false" outlineLevel="0" collapsed="false">
      <c r="A508" s="18" t="s">
        <v>2341</v>
      </c>
      <c r="B508" s="18" t="s">
        <v>60</v>
      </c>
      <c r="C508" s="18" t="s">
        <v>61</v>
      </c>
      <c r="D508" s="18" t="s">
        <v>2315</v>
      </c>
      <c r="E508" s="18" t="n">
        <v>2</v>
      </c>
      <c r="F508" s="18" t="s">
        <v>2342</v>
      </c>
      <c r="G508" s="18" t="s">
        <v>218</v>
      </c>
      <c r="H508" s="18" t="s">
        <v>117</v>
      </c>
      <c r="I508" s="18"/>
      <c r="J508" s="18"/>
      <c r="K508" s="18"/>
      <c r="L508" s="18" t="s">
        <v>109</v>
      </c>
      <c r="M508" s="18" t="s">
        <v>109</v>
      </c>
      <c r="N508" s="18"/>
      <c r="O508" s="18"/>
      <c r="P508" s="18" t="s">
        <v>2343</v>
      </c>
      <c r="Q508" s="18" t="s">
        <v>123</v>
      </c>
      <c r="R508" s="18" t="s">
        <v>2344</v>
      </c>
      <c r="S508" s="18" t="s">
        <v>125</v>
      </c>
      <c r="T508" s="18" t="s">
        <v>2345</v>
      </c>
      <c r="U508" s="18" t="s">
        <v>2346</v>
      </c>
      <c r="V508" s="19" t="s">
        <v>29</v>
      </c>
      <c r="W508" s="19"/>
      <c r="X508" s="19"/>
      <c r="Y508" s="20"/>
      <c r="Z508" s="19"/>
      <c r="AA508" s="18" t="str">
        <f aca="false">IF(OR(V508="Aprobada"),R508,IF(AND(OR(V508="Aprobada con ajuste",V508="Rechazada"),W508&lt;&gt;""),W508,""))</f>
        <v/>
      </c>
    </row>
    <row r="509" customFormat="false" ht="43.25" hidden="false" customHeight="false" outlineLevel="0" collapsed="false">
      <c r="A509" s="18" t="s">
        <v>2347</v>
      </c>
      <c r="B509" s="18" t="s">
        <v>60</v>
      </c>
      <c r="C509" s="18" t="s">
        <v>61</v>
      </c>
      <c r="D509" s="18" t="s">
        <v>2348</v>
      </c>
      <c r="E509" s="18" t="n">
        <v>1</v>
      </c>
      <c r="F509" s="18" t="s">
        <v>2349</v>
      </c>
      <c r="G509" s="18" t="s">
        <v>459</v>
      </c>
      <c r="H509" s="18" t="s">
        <v>109</v>
      </c>
      <c r="I509" s="18"/>
      <c r="J509" s="18"/>
      <c r="K509" s="18"/>
      <c r="L509" s="18" t="s">
        <v>109</v>
      </c>
      <c r="M509" s="18" t="s">
        <v>109</v>
      </c>
      <c r="N509" s="18"/>
      <c r="O509" s="18"/>
      <c r="P509" s="18" t="s">
        <v>2350</v>
      </c>
      <c r="Q509" s="18" t="s">
        <v>134</v>
      </c>
      <c r="R509" s="18" t="s">
        <v>2351</v>
      </c>
      <c r="S509" s="18" t="s">
        <v>125</v>
      </c>
      <c r="T509" s="18" t="s">
        <v>983</v>
      </c>
      <c r="U509" s="18"/>
      <c r="V509" s="19" t="s">
        <v>29</v>
      </c>
      <c r="W509" s="19"/>
      <c r="X509" s="19"/>
      <c r="Y509" s="20"/>
      <c r="Z509" s="19"/>
      <c r="AA509" s="18" t="str">
        <f aca="false">IF(OR(V509="Aprobada"),R509,IF(AND(OR(V509="Aprobada con ajuste",V509="Rechazada"),W509&lt;&gt;""),W509,""))</f>
        <v/>
      </c>
    </row>
    <row r="510" customFormat="false" ht="32.8" hidden="false" customHeight="false" outlineLevel="0" collapsed="false">
      <c r="A510" s="18" t="s">
        <v>2352</v>
      </c>
      <c r="B510" s="18" t="s">
        <v>60</v>
      </c>
      <c r="C510" s="18" t="s">
        <v>61</v>
      </c>
      <c r="D510" s="18" t="s">
        <v>2348</v>
      </c>
      <c r="E510" s="18" t="n">
        <v>1</v>
      </c>
      <c r="F510" s="18" t="s">
        <v>2353</v>
      </c>
      <c r="G510" s="18" t="s">
        <v>436</v>
      </c>
      <c r="H510" s="18" t="s">
        <v>109</v>
      </c>
      <c r="I510" s="18"/>
      <c r="J510" s="18"/>
      <c r="K510" s="18"/>
      <c r="L510" s="18" t="s">
        <v>109</v>
      </c>
      <c r="M510" s="18" t="s">
        <v>109</v>
      </c>
      <c r="N510" s="18"/>
      <c r="O510" s="18" t="s">
        <v>2354</v>
      </c>
      <c r="P510" s="18" t="s">
        <v>2355</v>
      </c>
      <c r="Q510" s="18" t="s">
        <v>134</v>
      </c>
      <c r="R510" s="18" t="s">
        <v>2356</v>
      </c>
      <c r="S510" s="18" t="s">
        <v>125</v>
      </c>
      <c r="T510" s="18" t="s">
        <v>2357</v>
      </c>
      <c r="U510" s="18"/>
      <c r="V510" s="19" t="s">
        <v>29</v>
      </c>
      <c r="W510" s="19"/>
      <c r="X510" s="19"/>
      <c r="Y510" s="20"/>
      <c r="Z510" s="19"/>
      <c r="AA510" s="18" t="str">
        <f aca="false">IF(OR(V510="Aprobada"),R510,IF(AND(OR(V510="Aprobada con ajuste",V510="Rechazada"),W510&lt;&gt;""),W510,""))</f>
        <v/>
      </c>
    </row>
    <row r="511" customFormat="false" ht="22.35" hidden="false" customHeight="false" outlineLevel="0" collapsed="false">
      <c r="A511" s="18" t="s">
        <v>2358</v>
      </c>
      <c r="B511" s="18" t="s">
        <v>60</v>
      </c>
      <c r="C511" s="18" t="s">
        <v>61</v>
      </c>
      <c r="D511" s="18" t="s">
        <v>2348</v>
      </c>
      <c r="E511" s="18" t="n">
        <v>1</v>
      </c>
      <c r="F511" s="18" t="s">
        <v>107</v>
      </c>
      <c r="G511" s="18" t="s">
        <v>151</v>
      </c>
      <c r="H511" s="18" t="s">
        <v>109</v>
      </c>
      <c r="I511" s="18" t="s">
        <v>140</v>
      </c>
      <c r="J511" s="18" t="s">
        <v>2359</v>
      </c>
      <c r="K511" s="18"/>
      <c r="L511" s="18" t="s">
        <v>117</v>
      </c>
      <c r="M511" s="18" t="s">
        <v>109</v>
      </c>
      <c r="N511" s="18"/>
      <c r="O511" s="18"/>
      <c r="P511" s="18" t="s">
        <v>2360</v>
      </c>
      <c r="Q511" s="18" t="s">
        <v>110</v>
      </c>
      <c r="R511" s="18" t="s">
        <v>2361</v>
      </c>
      <c r="S511" s="18" t="s">
        <v>112</v>
      </c>
      <c r="T511" s="18" t="s">
        <v>113</v>
      </c>
      <c r="U511" s="18"/>
      <c r="V511" s="19" t="s">
        <v>29</v>
      </c>
      <c r="W511" s="19"/>
      <c r="X511" s="19"/>
      <c r="Y511" s="20"/>
      <c r="Z511" s="19"/>
      <c r="AA511" s="18" t="str">
        <f aca="false">IF(OR(V511="Aprobada"),R511,IF(AND(OR(V511="Aprobada con ajuste",V511="Rechazada"),W511&lt;&gt;""),W511,""))</f>
        <v/>
      </c>
    </row>
    <row r="512" customFormat="false" ht="22.35" hidden="false" customHeight="false" outlineLevel="0" collapsed="false">
      <c r="A512" s="18" t="s">
        <v>2362</v>
      </c>
      <c r="B512" s="18" t="s">
        <v>60</v>
      </c>
      <c r="C512" s="18" t="s">
        <v>61</v>
      </c>
      <c r="D512" s="18" t="s">
        <v>2348</v>
      </c>
      <c r="E512" s="18" t="n">
        <v>1</v>
      </c>
      <c r="F512" s="18" t="s">
        <v>2265</v>
      </c>
      <c r="G512" s="18" t="s">
        <v>459</v>
      </c>
      <c r="H512" s="18" t="s">
        <v>117</v>
      </c>
      <c r="I512" s="18"/>
      <c r="J512" s="18"/>
      <c r="K512" s="18"/>
      <c r="L512" s="18" t="s">
        <v>109</v>
      </c>
      <c r="M512" s="18" t="s">
        <v>109</v>
      </c>
      <c r="N512" s="18"/>
      <c r="O512" s="18"/>
      <c r="P512" s="18" t="s">
        <v>2363</v>
      </c>
      <c r="Q512" s="18" t="s">
        <v>110</v>
      </c>
      <c r="R512" s="18" t="s">
        <v>2199</v>
      </c>
      <c r="S512" s="18" t="s">
        <v>112</v>
      </c>
      <c r="T512" s="18" t="s">
        <v>113</v>
      </c>
      <c r="U512" s="18"/>
      <c r="V512" s="19" t="s">
        <v>29</v>
      </c>
      <c r="W512" s="19"/>
      <c r="X512" s="19"/>
      <c r="Y512" s="20"/>
      <c r="Z512" s="19"/>
      <c r="AA512" s="18" t="str">
        <f aca="false">IF(OR(V512="Aprobada"),R512,IF(AND(OR(V512="Aprobada con ajuste",V512="Rechazada"),W512&lt;&gt;""),W512,""))</f>
        <v/>
      </c>
    </row>
    <row r="513" customFormat="false" ht="32.8" hidden="false" customHeight="false" outlineLevel="0" collapsed="false">
      <c r="A513" s="18" t="s">
        <v>2364</v>
      </c>
      <c r="B513" s="18" t="s">
        <v>60</v>
      </c>
      <c r="C513" s="18" t="s">
        <v>61</v>
      </c>
      <c r="D513" s="18" t="s">
        <v>2348</v>
      </c>
      <c r="E513" s="18" t="n">
        <v>1</v>
      </c>
      <c r="F513" s="18" t="s">
        <v>2365</v>
      </c>
      <c r="G513" s="18" t="s">
        <v>459</v>
      </c>
      <c r="H513" s="18" t="s">
        <v>117</v>
      </c>
      <c r="I513" s="18" t="s">
        <v>140</v>
      </c>
      <c r="J513" s="18"/>
      <c r="K513" s="18"/>
      <c r="L513" s="18" t="s">
        <v>109</v>
      </c>
      <c r="M513" s="18" t="s">
        <v>109</v>
      </c>
      <c r="N513" s="18"/>
      <c r="O513" s="18"/>
      <c r="P513" s="18" t="s">
        <v>2366</v>
      </c>
      <c r="Q513" s="18" t="s">
        <v>123</v>
      </c>
      <c r="R513" s="18" t="s">
        <v>2367</v>
      </c>
      <c r="S513" s="18" t="s">
        <v>125</v>
      </c>
      <c r="T513" s="18" t="s">
        <v>2368</v>
      </c>
      <c r="U513" s="18"/>
      <c r="V513" s="19" t="s">
        <v>29</v>
      </c>
      <c r="W513" s="19"/>
      <c r="X513" s="19"/>
      <c r="Y513" s="20"/>
      <c r="Z513" s="19"/>
      <c r="AA513" s="18" t="str">
        <f aca="false">IF(OR(V513="Aprobada"),R513,IF(AND(OR(V513="Aprobada con ajuste",V513="Rechazada"),W513&lt;&gt;""),W513,""))</f>
        <v/>
      </c>
    </row>
    <row r="514" customFormat="false" ht="22.35" hidden="false" customHeight="false" outlineLevel="0" collapsed="false">
      <c r="A514" s="18" t="s">
        <v>2369</v>
      </c>
      <c r="B514" s="18" t="s">
        <v>60</v>
      </c>
      <c r="C514" s="18" t="s">
        <v>61</v>
      </c>
      <c r="D514" s="18" t="s">
        <v>2348</v>
      </c>
      <c r="E514" s="18" t="n">
        <v>1</v>
      </c>
      <c r="F514" s="18" t="s">
        <v>2370</v>
      </c>
      <c r="G514" s="18" t="s">
        <v>184</v>
      </c>
      <c r="H514" s="18" t="s">
        <v>117</v>
      </c>
      <c r="I514" s="18" t="s">
        <v>140</v>
      </c>
      <c r="J514" s="18"/>
      <c r="K514" s="18"/>
      <c r="L514" s="18" t="s">
        <v>109</v>
      </c>
      <c r="M514" s="18" t="s">
        <v>109</v>
      </c>
      <c r="N514" s="18"/>
      <c r="O514" s="18"/>
      <c r="P514" s="18" t="s">
        <v>2371</v>
      </c>
      <c r="Q514" s="18" t="s">
        <v>110</v>
      </c>
      <c r="R514" s="18" t="s">
        <v>298</v>
      </c>
      <c r="S514" s="18" t="s">
        <v>112</v>
      </c>
      <c r="T514" s="18" t="s">
        <v>113</v>
      </c>
      <c r="U514" s="18"/>
      <c r="V514" s="19" t="s">
        <v>29</v>
      </c>
      <c r="W514" s="19"/>
      <c r="X514" s="19"/>
      <c r="Y514" s="20"/>
      <c r="Z514" s="19"/>
      <c r="AA514" s="18" t="str">
        <f aca="false">IF(OR(V514="Aprobada"),R514,IF(AND(OR(V514="Aprobada con ajuste",V514="Rechazada"),W514&lt;&gt;""),W514,""))</f>
        <v/>
      </c>
    </row>
    <row r="515" customFormat="false" ht="22.35" hidden="false" customHeight="false" outlineLevel="0" collapsed="false">
      <c r="A515" s="18" t="s">
        <v>2372</v>
      </c>
      <c r="B515" s="18" t="s">
        <v>60</v>
      </c>
      <c r="C515" s="18" t="s">
        <v>61</v>
      </c>
      <c r="D515" s="18" t="s">
        <v>2348</v>
      </c>
      <c r="E515" s="18" t="n">
        <v>1</v>
      </c>
      <c r="F515" s="18" t="s">
        <v>2080</v>
      </c>
      <c r="G515" s="18" t="s">
        <v>116</v>
      </c>
      <c r="H515" s="18" t="s">
        <v>117</v>
      </c>
      <c r="I515" s="18" t="s">
        <v>140</v>
      </c>
      <c r="J515" s="18"/>
      <c r="K515" s="18"/>
      <c r="L515" s="18" t="s">
        <v>109</v>
      </c>
      <c r="M515" s="18" t="s">
        <v>109</v>
      </c>
      <c r="N515" s="18"/>
      <c r="O515" s="18"/>
      <c r="P515" s="18" t="s">
        <v>2373</v>
      </c>
      <c r="Q515" s="18" t="s">
        <v>110</v>
      </c>
      <c r="R515" s="18" t="s">
        <v>2082</v>
      </c>
      <c r="S515" s="18" t="s">
        <v>112</v>
      </c>
      <c r="T515" s="18" t="s">
        <v>113</v>
      </c>
      <c r="U515" s="18"/>
      <c r="V515" s="19" t="s">
        <v>29</v>
      </c>
      <c r="W515" s="19"/>
      <c r="X515" s="19"/>
      <c r="Y515" s="20"/>
      <c r="Z515" s="19"/>
      <c r="AA515" s="18" t="str">
        <f aca="false">IF(OR(V515="Aprobada"),R515,IF(AND(OR(V515="Aprobada con ajuste",V515="Rechazada"),W515&lt;&gt;""),W515,""))</f>
        <v/>
      </c>
    </row>
    <row r="516" customFormat="false" ht="22.35" hidden="false" customHeight="false" outlineLevel="0" collapsed="false">
      <c r="A516" s="18" t="s">
        <v>2374</v>
      </c>
      <c r="B516" s="18" t="s">
        <v>60</v>
      </c>
      <c r="C516" s="18" t="s">
        <v>61</v>
      </c>
      <c r="D516" s="18" t="s">
        <v>2375</v>
      </c>
      <c r="E516" s="18" t="n">
        <v>1</v>
      </c>
      <c r="F516" s="18" t="s">
        <v>820</v>
      </c>
      <c r="G516" s="18" t="s">
        <v>212</v>
      </c>
      <c r="H516" s="18" t="s">
        <v>109</v>
      </c>
      <c r="I516" s="18"/>
      <c r="J516" s="18"/>
      <c r="K516" s="18"/>
      <c r="L516" s="18" t="s">
        <v>109</v>
      </c>
      <c r="M516" s="18" t="s">
        <v>109</v>
      </c>
      <c r="N516" s="18"/>
      <c r="O516" s="18"/>
      <c r="P516" s="18" t="s">
        <v>2376</v>
      </c>
      <c r="Q516" s="18" t="s">
        <v>134</v>
      </c>
      <c r="R516" s="18" t="s">
        <v>2377</v>
      </c>
      <c r="S516" s="18" t="s">
        <v>112</v>
      </c>
      <c r="T516" s="18" t="s">
        <v>1396</v>
      </c>
      <c r="U516" s="18" t="s">
        <v>2378</v>
      </c>
      <c r="V516" s="19" t="s">
        <v>29</v>
      </c>
      <c r="W516" s="19"/>
      <c r="X516" s="19"/>
      <c r="Y516" s="20"/>
      <c r="Z516" s="19"/>
      <c r="AA516" s="18" t="str">
        <f aca="false">IF(OR(V516="Aprobada"),R516,IF(AND(OR(V516="Aprobada con ajuste",V516="Rechazada"),W516&lt;&gt;""),W516,""))</f>
        <v/>
      </c>
    </row>
    <row r="517" customFormat="false" ht="43.25" hidden="false" customHeight="false" outlineLevel="0" collapsed="false">
      <c r="A517" s="18" t="s">
        <v>2379</v>
      </c>
      <c r="B517" s="18" t="s">
        <v>60</v>
      </c>
      <c r="C517" s="18" t="s">
        <v>61</v>
      </c>
      <c r="D517" s="18" t="s">
        <v>2375</v>
      </c>
      <c r="E517" s="18" t="n">
        <v>1</v>
      </c>
      <c r="F517" s="18" t="s">
        <v>2380</v>
      </c>
      <c r="G517" s="18" t="s">
        <v>212</v>
      </c>
      <c r="H517" s="18" t="s">
        <v>109</v>
      </c>
      <c r="I517" s="18"/>
      <c r="J517" s="18"/>
      <c r="K517" s="18"/>
      <c r="L517" s="18" t="s">
        <v>109</v>
      </c>
      <c r="M517" s="18" t="s">
        <v>109</v>
      </c>
      <c r="N517" s="18"/>
      <c r="O517" s="18"/>
      <c r="P517" s="18" t="s">
        <v>2381</v>
      </c>
      <c r="Q517" s="18" t="s">
        <v>123</v>
      </c>
      <c r="R517" s="18" t="s">
        <v>2382</v>
      </c>
      <c r="S517" s="18" t="s">
        <v>125</v>
      </c>
      <c r="T517" s="18" t="s">
        <v>2383</v>
      </c>
      <c r="U517" s="18" t="s">
        <v>2384</v>
      </c>
      <c r="V517" s="19" t="s">
        <v>29</v>
      </c>
      <c r="W517" s="19"/>
      <c r="X517" s="19"/>
      <c r="Y517" s="20"/>
      <c r="Z517" s="19"/>
      <c r="AA517" s="18" t="str">
        <f aca="false">IF(OR(V517="Aprobada"),R517,IF(AND(OR(V517="Aprobada con ajuste",V517="Rechazada"),W517&lt;&gt;""),W517,""))</f>
        <v/>
      </c>
    </row>
    <row r="518" customFormat="false" ht="22.35" hidden="false" customHeight="false" outlineLevel="0" collapsed="false">
      <c r="A518" s="18" t="s">
        <v>2385</v>
      </c>
      <c r="B518" s="18" t="s">
        <v>60</v>
      </c>
      <c r="C518" s="18" t="s">
        <v>61</v>
      </c>
      <c r="D518" s="18" t="s">
        <v>2375</v>
      </c>
      <c r="E518" s="18" t="n">
        <v>1</v>
      </c>
      <c r="F518" s="18" t="s">
        <v>2111</v>
      </c>
      <c r="G518" s="18" t="s">
        <v>139</v>
      </c>
      <c r="H518" s="18" t="s">
        <v>109</v>
      </c>
      <c r="I518" s="18"/>
      <c r="J518" s="18"/>
      <c r="K518" s="18"/>
      <c r="L518" s="18" t="s">
        <v>109</v>
      </c>
      <c r="M518" s="18" t="s">
        <v>109</v>
      </c>
      <c r="N518" s="18"/>
      <c r="O518" s="18"/>
      <c r="P518" s="18" t="s">
        <v>2386</v>
      </c>
      <c r="Q518" s="18" t="s">
        <v>134</v>
      </c>
      <c r="R518" s="18" t="s">
        <v>2387</v>
      </c>
      <c r="S518" s="18" t="s">
        <v>125</v>
      </c>
      <c r="T518" s="18" t="s">
        <v>2388</v>
      </c>
      <c r="U518" s="18"/>
      <c r="V518" s="19" t="s">
        <v>29</v>
      </c>
      <c r="W518" s="19"/>
      <c r="X518" s="19"/>
      <c r="Y518" s="20"/>
      <c r="Z518" s="19"/>
      <c r="AA518" s="18" t="str">
        <f aca="false">IF(OR(V518="Aprobada"),R518,IF(AND(OR(V518="Aprobada con ajuste",V518="Rechazada"),W518&lt;&gt;""),W518,""))</f>
        <v/>
      </c>
    </row>
    <row r="519" customFormat="false" ht="22.35" hidden="false" customHeight="false" outlineLevel="0" collapsed="false">
      <c r="A519" s="18" t="s">
        <v>2389</v>
      </c>
      <c r="B519" s="18" t="s">
        <v>60</v>
      </c>
      <c r="C519" s="18" t="s">
        <v>61</v>
      </c>
      <c r="D519" s="18" t="s">
        <v>2375</v>
      </c>
      <c r="E519" s="18" t="n">
        <v>1</v>
      </c>
      <c r="F519" s="18" t="s">
        <v>107</v>
      </c>
      <c r="G519" s="18" t="s">
        <v>151</v>
      </c>
      <c r="H519" s="18" t="s">
        <v>109</v>
      </c>
      <c r="I519" s="18" t="s">
        <v>140</v>
      </c>
      <c r="J519" s="18" t="s">
        <v>2390</v>
      </c>
      <c r="K519" s="18"/>
      <c r="L519" s="18" t="s">
        <v>117</v>
      </c>
      <c r="M519" s="18" t="s">
        <v>109</v>
      </c>
      <c r="N519" s="18"/>
      <c r="O519" s="18"/>
      <c r="P519" s="18" t="s">
        <v>2391</v>
      </c>
      <c r="Q519" s="18" t="s">
        <v>110</v>
      </c>
      <c r="R519" s="18" t="s">
        <v>2392</v>
      </c>
      <c r="S519" s="18" t="s">
        <v>112</v>
      </c>
      <c r="T519" s="18" t="s">
        <v>113</v>
      </c>
      <c r="U519" s="18"/>
      <c r="V519" s="19" t="s">
        <v>29</v>
      </c>
      <c r="W519" s="19"/>
      <c r="X519" s="19"/>
      <c r="Y519" s="20"/>
      <c r="Z519" s="19"/>
      <c r="AA519" s="18" t="str">
        <f aca="false">IF(OR(V519="Aprobada"),R519,IF(AND(OR(V519="Aprobada con ajuste",V519="Rechazada"),W519&lt;&gt;""),W519,""))</f>
        <v/>
      </c>
    </row>
    <row r="520" customFormat="false" ht="22.35" hidden="false" customHeight="false" outlineLevel="0" collapsed="false">
      <c r="A520" s="18" t="s">
        <v>2393</v>
      </c>
      <c r="B520" s="18" t="s">
        <v>60</v>
      </c>
      <c r="C520" s="18" t="s">
        <v>61</v>
      </c>
      <c r="D520" s="18" t="s">
        <v>2375</v>
      </c>
      <c r="E520" s="18" t="n">
        <v>1</v>
      </c>
      <c r="F520" s="18" t="s">
        <v>2048</v>
      </c>
      <c r="G520" s="18" t="s">
        <v>459</v>
      </c>
      <c r="H520" s="18" t="s">
        <v>117</v>
      </c>
      <c r="I520" s="18"/>
      <c r="J520" s="18"/>
      <c r="K520" s="18"/>
      <c r="L520" s="18" t="s">
        <v>109</v>
      </c>
      <c r="M520" s="18" t="s">
        <v>109</v>
      </c>
      <c r="N520" s="18"/>
      <c r="O520" s="18"/>
      <c r="P520" s="18" t="s">
        <v>2394</v>
      </c>
      <c r="Q520" s="18" t="s">
        <v>110</v>
      </c>
      <c r="R520" s="18" t="s">
        <v>2050</v>
      </c>
      <c r="S520" s="18" t="s">
        <v>112</v>
      </c>
      <c r="T520" s="18" t="s">
        <v>113</v>
      </c>
      <c r="U520" s="18"/>
      <c r="V520" s="19" t="s">
        <v>29</v>
      </c>
      <c r="W520" s="19"/>
      <c r="X520" s="19"/>
      <c r="Y520" s="20"/>
      <c r="Z520" s="19"/>
      <c r="AA520" s="18" t="str">
        <f aca="false">IF(OR(V520="Aprobada"),R520,IF(AND(OR(V520="Aprobada con ajuste",V520="Rechazada"),W520&lt;&gt;""),W520,""))</f>
        <v/>
      </c>
    </row>
    <row r="521" customFormat="false" ht="22.35" hidden="false" customHeight="false" outlineLevel="0" collapsed="false">
      <c r="A521" s="18" t="s">
        <v>2395</v>
      </c>
      <c r="B521" s="18" t="s">
        <v>60</v>
      </c>
      <c r="C521" s="18" t="s">
        <v>61</v>
      </c>
      <c r="D521" s="18" t="s">
        <v>2375</v>
      </c>
      <c r="E521" s="18" t="n">
        <v>1</v>
      </c>
      <c r="F521" s="18" t="s">
        <v>2052</v>
      </c>
      <c r="G521" s="18" t="s">
        <v>184</v>
      </c>
      <c r="H521" s="18" t="s">
        <v>109</v>
      </c>
      <c r="I521" s="18"/>
      <c r="J521" s="18"/>
      <c r="K521" s="18"/>
      <c r="L521" s="18" t="s">
        <v>109</v>
      </c>
      <c r="M521" s="18" t="s">
        <v>109</v>
      </c>
      <c r="N521" s="18"/>
      <c r="O521" s="18"/>
      <c r="P521" s="18" t="s">
        <v>2396</v>
      </c>
      <c r="Q521" s="18" t="s">
        <v>110</v>
      </c>
      <c r="R521" s="18" t="s">
        <v>2054</v>
      </c>
      <c r="S521" s="18" t="s">
        <v>112</v>
      </c>
      <c r="T521" s="18" t="s">
        <v>113</v>
      </c>
      <c r="U521" s="18"/>
      <c r="V521" s="19" t="s">
        <v>29</v>
      </c>
      <c r="W521" s="19"/>
      <c r="X521" s="19"/>
      <c r="Y521" s="20"/>
      <c r="Z521" s="19"/>
      <c r="AA521" s="18" t="str">
        <f aca="false">IF(OR(V521="Aprobada"),R521,IF(AND(OR(V521="Aprobada con ajuste",V521="Rechazada"),W521&lt;&gt;""),W521,""))</f>
        <v/>
      </c>
    </row>
    <row r="522" customFormat="false" ht="22.35" hidden="false" customHeight="false" outlineLevel="0" collapsed="false">
      <c r="A522" s="18" t="s">
        <v>2397</v>
      </c>
      <c r="B522" s="18" t="s">
        <v>60</v>
      </c>
      <c r="C522" s="18" t="s">
        <v>61</v>
      </c>
      <c r="D522" s="18" t="s">
        <v>2375</v>
      </c>
      <c r="E522" s="18" t="n">
        <v>1</v>
      </c>
      <c r="F522" s="18" t="s">
        <v>2398</v>
      </c>
      <c r="G522" s="18" t="s">
        <v>459</v>
      </c>
      <c r="H522" s="18" t="s">
        <v>117</v>
      </c>
      <c r="I522" s="18"/>
      <c r="J522" s="18"/>
      <c r="K522" s="18"/>
      <c r="L522" s="18" t="s">
        <v>109</v>
      </c>
      <c r="M522" s="18" t="s">
        <v>109</v>
      </c>
      <c r="N522" s="18"/>
      <c r="O522" s="18"/>
      <c r="P522" s="18" t="s">
        <v>2399</v>
      </c>
      <c r="Q522" s="18" t="s">
        <v>110</v>
      </c>
      <c r="R522" s="18" t="s">
        <v>1584</v>
      </c>
      <c r="S522" s="18" t="s">
        <v>112</v>
      </c>
      <c r="T522" s="18" t="s">
        <v>113</v>
      </c>
      <c r="U522" s="18"/>
      <c r="V522" s="19" t="s">
        <v>29</v>
      </c>
      <c r="W522" s="19"/>
      <c r="X522" s="19"/>
      <c r="Y522" s="20"/>
      <c r="Z522" s="19"/>
      <c r="AA522" s="18" t="str">
        <f aca="false">IF(OR(V522="Aprobada"),R522,IF(AND(OR(V522="Aprobada con ajuste",V522="Rechazada"),W522&lt;&gt;""),W522,""))</f>
        <v/>
      </c>
    </row>
    <row r="523" customFormat="false" ht="22.35" hidden="false" customHeight="false" outlineLevel="0" collapsed="false">
      <c r="A523" s="18" t="s">
        <v>2400</v>
      </c>
      <c r="B523" s="18" t="s">
        <v>60</v>
      </c>
      <c r="C523" s="18" t="s">
        <v>61</v>
      </c>
      <c r="D523" s="18" t="s">
        <v>2375</v>
      </c>
      <c r="E523" s="18" t="n">
        <v>1</v>
      </c>
      <c r="F523" s="18" t="s">
        <v>1520</v>
      </c>
      <c r="G523" s="18" t="s">
        <v>184</v>
      </c>
      <c r="H523" s="18" t="s">
        <v>117</v>
      </c>
      <c r="I523" s="18" t="s">
        <v>140</v>
      </c>
      <c r="J523" s="18"/>
      <c r="K523" s="18"/>
      <c r="L523" s="18" t="s">
        <v>109</v>
      </c>
      <c r="M523" s="18" t="s">
        <v>109</v>
      </c>
      <c r="N523" s="18"/>
      <c r="O523" s="18"/>
      <c r="P523" s="18" t="s">
        <v>2401</v>
      </c>
      <c r="Q523" s="18" t="s">
        <v>110</v>
      </c>
      <c r="R523" s="18" t="s">
        <v>1522</v>
      </c>
      <c r="S523" s="18" t="s">
        <v>112</v>
      </c>
      <c r="T523" s="18" t="s">
        <v>113</v>
      </c>
      <c r="U523" s="18"/>
      <c r="V523" s="19" t="s">
        <v>29</v>
      </c>
      <c r="W523" s="19"/>
      <c r="X523" s="19"/>
      <c r="Y523" s="20"/>
      <c r="Z523" s="19"/>
      <c r="AA523" s="18" t="str">
        <f aca="false">IF(OR(V523="Aprobada"),R523,IF(AND(OR(V523="Aprobada con ajuste",V523="Rechazada"),W523&lt;&gt;""),W523,""))</f>
        <v/>
      </c>
    </row>
    <row r="524" customFormat="false" ht="22.35" hidden="false" customHeight="false" outlineLevel="0" collapsed="false">
      <c r="A524" s="18" t="s">
        <v>2402</v>
      </c>
      <c r="B524" s="18" t="s">
        <v>60</v>
      </c>
      <c r="C524" s="18" t="s">
        <v>61</v>
      </c>
      <c r="D524" s="18" t="s">
        <v>2375</v>
      </c>
      <c r="E524" s="18" t="n">
        <v>1</v>
      </c>
      <c r="F524" s="18" t="s">
        <v>1437</v>
      </c>
      <c r="G524" s="18" t="s">
        <v>184</v>
      </c>
      <c r="H524" s="18" t="s">
        <v>117</v>
      </c>
      <c r="I524" s="18" t="s">
        <v>140</v>
      </c>
      <c r="J524" s="18"/>
      <c r="K524" s="18"/>
      <c r="L524" s="18" t="s">
        <v>109</v>
      </c>
      <c r="M524" s="18" t="s">
        <v>109</v>
      </c>
      <c r="N524" s="18"/>
      <c r="O524" s="18"/>
      <c r="P524" s="18" t="s">
        <v>2403</v>
      </c>
      <c r="Q524" s="18" t="s">
        <v>110</v>
      </c>
      <c r="R524" s="18" t="s">
        <v>1439</v>
      </c>
      <c r="S524" s="18" t="s">
        <v>112</v>
      </c>
      <c r="T524" s="18" t="s">
        <v>113</v>
      </c>
      <c r="U524" s="18"/>
      <c r="V524" s="19" t="s">
        <v>29</v>
      </c>
      <c r="W524" s="19"/>
      <c r="X524" s="19"/>
      <c r="Y524" s="20"/>
      <c r="Z524" s="19"/>
      <c r="AA524" s="18" t="str">
        <f aca="false">IF(OR(V524="Aprobada"),R524,IF(AND(OR(V524="Aprobada con ajuste",V524="Rechazada"),W524&lt;&gt;""),W524,""))</f>
        <v/>
      </c>
    </row>
    <row r="525" customFormat="false" ht="22.35" hidden="false" customHeight="false" outlineLevel="0" collapsed="false">
      <c r="A525" s="18" t="s">
        <v>2404</v>
      </c>
      <c r="B525" s="18" t="s">
        <v>60</v>
      </c>
      <c r="C525" s="18" t="s">
        <v>61</v>
      </c>
      <c r="D525" s="18" t="s">
        <v>2375</v>
      </c>
      <c r="E525" s="18" t="n">
        <v>1</v>
      </c>
      <c r="F525" s="18" t="s">
        <v>1445</v>
      </c>
      <c r="G525" s="18" t="s">
        <v>116</v>
      </c>
      <c r="H525" s="18" t="s">
        <v>117</v>
      </c>
      <c r="I525" s="18" t="s">
        <v>140</v>
      </c>
      <c r="J525" s="18"/>
      <c r="K525" s="18"/>
      <c r="L525" s="18" t="s">
        <v>109</v>
      </c>
      <c r="M525" s="18" t="s">
        <v>109</v>
      </c>
      <c r="N525" s="18"/>
      <c r="O525" s="18"/>
      <c r="P525" s="18" t="s">
        <v>2405</v>
      </c>
      <c r="Q525" s="18" t="s">
        <v>110</v>
      </c>
      <c r="R525" s="18" t="s">
        <v>1447</v>
      </c>
      <c r="S525" s="18" t="s">
        <v>112</v>
      </c>
      <c r="T525" s="18" t="s">
        <v>113</v>
      </c>
      <c r="U525" s="18"/>
      <c r="V525" s="19" t="s">
        <v>29</v>
      </c>
      <c r="W525" s="19"/>
      <c r="X525" s="19"/>
      <c r="Y525" s="20"/>
      <c r="Z525" s="19"/>
      <c r="AA525" s="18" t="str">
        <f aca="false">IF(OR(V525="Aprobada"),R525,IF(AND(OR(V525="Aprobada con ajuste",V525="Rechazada"),W525&lt;&gt;""),W525,""))</f>
        <v/>
      </c>
    </row>
    <row r="526" customFormat="false" ht="137.3" hidden="false" customHeight="false" outlineLevel="0" collapsed="false">
      <c r="A526" s="18" t="s">
        <v>2406</v>
      </c>
      <c r="B526" s="18" t="s">
        <v>60</v>
      </c>
      <c r="C526" s="18" t="s">
        <v>61</v>
      </c>
      <c r="D526" s="18" t="s">
        <v>2407</v>
      </c>
      <c r="E526" s="18" t="n">
        <v>2</v>
      </c>
      <c r="F526" s="18" t="s">
        <v>1553</v>
      </c>
      <c r="G526" s="18" t="s">
        <v>139</v>
      </c>
      <c r="H526" s="18" t="s">
        <v>109</v>
      </c>
      <c r="I526" s="18"/>
      <c r="J526" s="18"/>
      <c r="K526" s="18"/>
      <c r="L526" s="18" t="s">
        <v>109</v>
      </c>
      <c r="M526" s="18" t="s">
        <v>109</v>
      </c>
      <c r="N526" s="18"/>
      <c r="O526" s="18" t="s">
        <v>2408</v>
      </c>
      <c r="P526" s="18" t="s">
        <v>2409</v>
      </c>
      <c r="Q526" s="18" t="s">
        <v>123</v>
      </c>
      <c r="R526" s="18" t="s">
        <v>2410</v>
      </c>
      <c r="S526" s="18" t="s">
        <v>125</v>
      </c>
      <c r="T526" s="18" t="s">
        <v>2411</v>
      </c>
      <c r="U526" s="18"/>
      <c r="V526" s="19" t="s">
        <v>29</v>
      </c>
      <c r="W526" s="19"/>
      <c r="X526" s="19"/>
      <c r="Y526" s="20"/>
      <c r="Z526" s="19"/>
      <c r="AA526" s="18" t="str">
        <f aca="false">IF(OR(V526="Aprobada"),R526,IF(AND(OR(V526="Aprobada con ajuste",V526="Rechazada"),W526&lt;&gt;""),W526,""))</f>
        <v/>
      </c>
    </row>
    <row r="527" customFormat="false" ht="64.15" hidden="false" customHeight="false" outlineLevel="0" collapsed="false">
      <c r="A527" s="18" t="s">
        <v>2412</v>
      </c>
      <c r="B527" s="18" t="s">
        <v>60</v>
      </c>
      <c r="C527" s="18" t="s">
        <v>61</v>
      </c>
      <c r="D527" s="18" t="s">
        <v>2407</v>
      </c>
      <c r="E527" s="18" t="n">
        <v>2</v>
      </c>
      <c r="F527" s="18" t="s">
        <v>820</v>
      </c>
      <c r="G527" s="18" t="s">
        <v>212</v>
      </c>
      <c r="H527" s="18" t="s">
        <v>109</v>
      </c>
      <c r="I527" s="18"/>
      <c r="J527" s="18"/>
      <c r="K527" s="18"/>
      <c r="L527" s="18" t="s">
        <v>109</v>
      </c>
      <c r="M527" s="18" t="s">
        <v>109</v>
      </c>
      <c r="N527" s="18"/>
      <c r="O527" s="18"/>
      <c r="P527" s="18" t="s">
        <v>2413</v>
      </c>
      <c r="Q527" s="18" t="s">
        <v>123</v>
      </c>
      <c r="R527" s="18" t="s">
        <v>2414</v>
      </c>
      <c r="S527" s="18" t="s">
        <v>125</v>
      </c>
      <c r="T527" s="18" t="s">
        <v>2415</v>
      </c>
      <c r="U527" s="18"/>
      <c r="V527" s="19" t="s">
        <v>29</v>
      </c>
      <c r="W527" s="19"/>
      <c r="X527" s="19"/>
      <c r="Y527" s="20"/>
      <c r="Z527" s="19"/>
      <c r="AA527" s="18" t="str">
        <f aca="false">IF(OR(V527="Aprobada"),R527,IF(AND(OR(V527="Aprobada con ajuste",V527="Rechazada"),W527&lt;&gt;""),W527,""))</f>
        <v/>
      </c>
    </row>
    <row r="528" customFormat="false" ht="126.85" hidden="false" customHeight="false" outlineLevel="0" collapsed="false">
      <c r="A528" s="18" t="s">
        <v>2416</v>
      </c>
      <c r="B528" s="18" t="s">
        <v>60</v>
      </c>
      <c r="C528" s="18" t="s">
        <v>61</v>
      </c>
      <c r="D528" s="18" t="s">
        <v>2407</v>
      </c>
      <c r="E528" s="18" t="n">
        <v>2</v>
      </c>
      <c r="F528" s="18" t="s">
        <v>2111</v>
      </c>
      <c r="G528" s="18" t="s">
        <v>139</v>
      </c>
      <c r="H528" s="18" t="s">
        <v>109</v>
      </c>
      <c r="I528" s="18"/>
      <c r="J528" s="18"/>
      <c r="K528" s="18"/>
      <c r="L528" s="18" t="s">
        <v>109</v>
      </c>
      <c r="M528" s="18" t="s">
        <v>109</v>
      </c>
      <c r="N528" s="18"/>
      <c r="O528" s="18"/>
      <c r="P528" s="18" t="s">
        <v>2417</v>
      </c>
      <c r="Q528" s="18" t="s">
        <v>123</v>
      </c>
      <c r="R528" s="18" t="s">
        <v>2418</v>
      </c>
      <c r="S528" s="18" t="s">
        <v>125</v>
      </c>
      <c r="T528" s="18" t="s">
        <v>2419</v>
      </c>
      <c r="U528" s="18"/>
      <c r="V528" s="19" t="s">
        <v>29</v>
      </c>
      <c r="W528" s="19"/>
      <c r="X528" s="19"/>
      <c r="Y528" s="20"/>
      <c r="Z528" s="19"/>
      <c r="AA528" s="18" t="str">
        <f aca="false">IF(OR(V528="Aprobada"),R528,IF(AND(OR(V528="Aprobada con ajuste",V528="Rechazada"),W528&lt;&gt;""),W528,""))</f>
        <v/>
      </c>
    </row>
    <row r="529" customFormat="false" ht="95.5" hidden="false" customHeight="false" outlineLevel="0" collapsed="false">
      <c r="A529" s="18" t="s">
        <v>2420</v>
      </c>
      <c r="B529" s="18" t="s">
        <v>60</v>
      </c>
      <c r="C529" s="18" t="s">
        <v>61</v>
      </c>
      <c r="D529" s="18" t="s">
        <v>2407</v>
      </c>
      <c r="E529" s="18" t="n">
        <v>2</v>
      </c>
      <c r="F529" s="18" t="s">
        <v>2421</v>
      </c>
      <c r="G529" s="18" t="s">
        <v>116</v>
      </c>
      <c r="H529" s="18" t="s">
        <v>117</v>
      </c>
      <c r="I529" s="18"/>
      <c r="J529" s="18"/>
      <c r="K529" s="18"/>
      <c r="L529" s="18" t="s">
        <v>109</v>
      </c>
      <c r="M529" s="18" t="s">
        <v>109</v>
      </c>
      <c r="N529" s="18"/>
      <c r="O529" s="18"/>
      <c r="P529" s="18" t="s">
        <v>2422</v>
      </c>
      <c r="Q529" s="18" t="s">
        <v>123</v>
      </c>
      <c r="R529" s="18" t="s">
        <v>2423</v>
      </c>
      <c r="S529" s="18" t="s">
        <v>125</v>
      </c>
      <c r="T529" s="18" t="s">
        <v>2424</v>
      </c>
      <c r="U529" s="18" t="s">
        <v>2425</v>
      </c>
      <c r="V529" s="19" t="s">
        <v>29</v>
      </c>
      <c r="W529" s="19"/>
      <c r="X529" s="19"/>
      <c r="Y529" s="20"/>
      <c r="Z529" s="19"/>
      <c r="AA529" s="18" t="str">
        <f aca="false">IF(OR(V529="Aprobada"),R529,IF(AND(OR(V529="Aprobada con ajuste",V529="Rechazada"),W529&lt;&gt;""),W529,""))</f>
        <v/>
      </c>
    </row>
    <row r="530" customFormat="false" ht="22.35" hidden="false" customHeight="false" outlineLevel="0" collapsed="false">
      <c r="A530" s="18" t="s">
        <v>2426</v>
      </c>
      <c r="B530" s="18" t="s">
        <v>60</v>
      </c>
      <c r="C530" s="18" t="s">
        <v>61</v>
      </c>
      <c r="D530" s="18" t="s">
        <v>2407</v>
      </c>
      <c r="E530" s="18" t="n">
        <v>2</v>
      </c>
      <c r="F530" s="18" t="s">
        <v>107</v>
      </c>
      <c r="G530" s="18" t="s">
        <v>151</v>
      </c>
      <c r="H530" s="18" t="s">
        <v>109</v>
      </c>
      <c r="I530" s="18" t="s">
        <v>140</v>
      </c>
      <c r="J530" s="18" t="s">
        <v>2427</v>
      </c>
      <c r="K530" s="18"/>
      <c r="L530" s="18" t="s">
        <v>117</v>
      </c>
      <c r="M530" s="18" t="s">
        <v>109</v>
      </c>
      <c r="N530" s="18"/>
      <c r="O530" s="18"/>
      <c r="P530" s="18" t="s">
        <v>2428</v>
      </c>
      <c r="Q530" s="18" t="s">
        <v>110</v>
      </c>
      <c r="R530" s="18" t="s">
        <v>2429</v>
      </c>
      <c r="S530" s="18" t="s">
        <v>112</v>
      </c>
      <c r="T530" s="18" t="s">
        <v>113</v>
      </c>
      <c r="U530" s="18"/>
      <c r="V530" s="19" t="s">
        <v>29</v>
      </c>
      <c r="W530" s="19"/>
      <c r="X530" s="19"/>
      <c r="Y530" s="20"/>
      <c r="Z530" s="19"/>
      <c r="AA530" s="18" t="str">
        <f aca="false">IF(OR(V530="Aprobada"),R530,IF(AND(OR(V530="Aprobada con ajuste",V530="Rechazada"),W530&lt;&gt;""),W530,""))</f>
        <v/>
      </c>
    </row>
    <row r="531" customFormat="false" ht="22.35" hidden="false" customHeight="false" outlineLevel="0" collapsed="false">
      <c r="A531" s="18" t="s">
        <v>2430</v>
      </c>
      <c r="B531" s="18" t="s">
        <v>60</v>
      </c>
      <c r="C531" s="18" t="s">
        <v>61</v>
      </c>
      <c r="D531" s="18" t="s">
        <v>2407</v>
      </c>
      <c r="E531" s="18" t="n">
        <v>2</v>
      </c>
      <c r="F531" s="18" t="s">
        <v>2048</v>
      </c>
      <c r="G531" s="18" t="s">
        <v>121</v>
      </c>
      <c r="H531" s="18" t="s">
        <v>117</v>
      </c>
      <c r="I531" s="18"/>
      <c r="J531" s="18"/>
      <c r="K531" s="18"/>
      <c r="L531" s="18" t="s">
        <v>109</v>
      </c>
      <c r="M531" s="18" t="s">
        <v>109</v>
      </c>
      <c r="N531" s="18"/>
      <c r="O531" s="18"/>
      <c r="P531" s="18" t="s">
        <v>2431</v>
      </c>
      <c r="Q531" s="18" t="s">
        <v>110</v>
      </c>
      <c r="R531" s="18" t="s">
        <v>2050</v>
      </c>
      <c r="S531" s="18" t="s">
        <v>112</v>
      </c>
      <c r="T531" s="18" t="s">
        <v>113</v>
      </c>
      <c r="U531" s="18"/>
      <c r="V531" s="19" t="s">
        <v>29</v>
      </c>
      <c r="W531" s="19"/>
      <c r="X531" s="19"/>
      <c r="Y531" s="20"/>
      <c r="Z531" s="19"/>
      <c r="AA531" s="18" t="str">
        <f aca="false">IF(OR(V531="Aprobada"),R531,IF(AND(OR(V531="Aprobada con ajuste",V531="Rechazada"),W531&lt;&gt;""),W531,""))</f>
        <v/>
      </c>
    </row>
    <row r="532" customFormat="false" ht="22.35" hidden="false" customHeight="false" outlineLevel="0" collapsed="false">
      <c r="A532" s="18" t="s">
        <v>2432</v>
      </c>
      <c r="B532" s="18" t="s">
        <v>60</v>
      </c>
      <c r="C532" s="18" t="s">
        <v>61</v>
      </c>
      <c r="D532" s="18" t="s">
        <v>2407</v>
      </c>
      <c r="E532" s="18" t="n">
        <v>2</v>
      </c>
      <c r="F532" s="18" t="s">
        <v>2052</v>
      </c>
      <c r="G532" s="18" t="s">
        <v>184</v>
      </c>
      <c r="H532" s="18" t="s">
        <v>109</v>
      </c>
      <c r="I532" s="18"/>
      <c r="J532" s="18"/>
      <c r="K532" s="18"/>
      <c r="L532" s="18" t="s">
        <v>109</v>
      </c>
      <c r="M532" s="18" t="s">
        <v>109</v>
      </c>
      <c r="N532" s="18"/>
      <c r="O532" s="18"/>
      <c r="P532" s="18" t="s">
        <v>2433</v>
      </c>
      <c r="Q532" s="18" t="s">
        <v>110</v>
      </c>
      <c r="R532" s="18" t="s">
        <v>2054</v>
      </c>
      <c r="S532" s="18" t="s">
        <v>112</v>
      </c>
      <c r="T532" s="18" t="s">
        <v>113</v>
      </c>
      <c r="U532" s="18"/>
      <c r="V532" s="19" t="s">
        <v>29</v>
      </c>
      <c r="W532" s="19"/>
      <c r="X532" s="19"/>
      <c r="Y532" s="20"/>
      <c r="Z532" s="19"/>
      <c r="AA532" s="18" t="str">
        <f aca="false">IF(OR(V532="Aprobada"),R532,IF(AND(OR(V532="Aprobada con ajuste",V532="Rechazada"),W532&lt;&gt;""),W532,""))</f>
        <v/>
      </c>
    </row>
    <row r="533" customFormat="false" ht="22.35" hidden="false" customHeight="false" outlineLevel="0" collapsed="false">
      <c r="A533" s="18" t="s">
        <v>2434</v>
      </c>
      <c r="B533" s="18" t="s">
        <v>60</v>
      </c>
      <c r="C533" s="18" t="s">
        <v>61</v>
      </c>
      <c r="D533" s="18" t="s">
        <v>2407</v>
      </c>
      <c r="E533" s="18" t="n">
        <v>2</v>
      </c>
      <c r="F533" s="18" t="s">
        <v>2435</v>
      </c>
      <c r="G533" s="18" t="s">
        <v>121</v>
      </c>
      <c r="H533" s="18" t="s">
        <v>117</v>
      </c>
      <c r="I533" s="18"/>
      <c r="J533" s="18"/>
      <c r="K533" s="18"/>
      <c r="L533" s="18" t="s">
        <v>109</v>
      </c>
      <c r="M533" s="18" t="s">
        <v>109</v>
      </c>
      <c r="N533" s="18"/>
      <c r="O533" s="18"/>
      <c r="P533" s="18" t="s">
        <v>2436</v>
      </c>
      <c r="Q533" s="18" t="s">
        <v>134</v>
      </c>
      <c r="R533" s="18" t="s">
        <v>2437</v>
      </c>
      <c r="S533" s="18" t="s">
        <v>112</v>
      </c>
      <c r="T533" s="18" t="s">
        <v>2182</v>
      </c>
      <c r="U533" s="18" t="s">
        <v>1532</v>
      </c>
      <c r="V533" s="19" t="s">
        <v>29</v>
      </c>
      <c r="W533" s="19"/>
      <c r="X533" s="19"/>
      <c r="Y533" s="20"/>
      <c r="Z533" s="19"/>
      <c r="AA533" s="18" t="str">
        <f aca="false">IF(OR(V533="Aprobada"),R533,IF(AND(OR(V533="Aprobada con ajuste",V533="Rechazada"),W533&lt;&gt;""),W533,""))</f>
        <v/>
      </c>
    </row>
    <row r="534" customFormat="false" ht="32.8" hidden="false" customHeight="false" outlineLevel="0" collapsed="false">
      <c r="A534" s="18" t="s">
        <v>2438</v>
      </c>
      <c r="B534" s="18" t="s">
        <v>60</v>
      </c>
      <c r="C534" s="18" t="s">
        <v>61</v>
      </c>
      <c r="D534" s="18" t="s">
        <v>2407</v>
      </c>
      <c r="E534" s="18" t="n">
        <v>2</v>
      </c>
      <c r="F534" s="18" t="s">
        <v>2439</v>
      </c>
      <c r="G534" s="18" t="s">
        <v>184</v>
      </c>
      <c r="H534" s="18" t="s">
        <v>117</v>
      </c>
      <c r="I534" s="18" t="s">
        <v>140</v>
      </c>
      <c r="J534" s="18"/>
      <c r="K534" s="18"/>
      <c r="L534" s="18" t="s">
        <v>109</v>
      </c>
      <c r="M534" s="18" t="s">
        <v>109</v>
      </c>
      <c r="N534" s="18"/>
      <c r="O534" s="18"/>
      <c r="P534" s="18" t="s">
        <v>2440</v>
      </c>
      <c r="Q534" s="18" t="s">
        <v>134</v>
      </c>
      <c r="R534" s="18" t="s">
        <v>2441</v>
      </c>
      <c r="S534" s="18" t="s">
        <v>112</v>
      </c>
      <c r="T534" s="18" t="s">
        <v>2442</v>
      </c>
      <c r="U534" s="18" t="s">
        <v>2443</v>
      </c>
      <c r="V534" s="19" t="s">
        <v>29</v>
      </c>
      <c r="W534" s="19"/>
      <c r="X534" s="19"/>
      <c r="Y534" s="20"/>
      <c r="Z534" s="19"/>
      <c r="AA534" s="18" t="str">
        <f aca="false">IF(OR(V534="Aprobada"),R534,IF(AND(OR(V534="Aprobada con ajuste",V534="Rechazada"),W534&lt;&gt;""),W534,""))</f>
        <v/>
      </c>
    </row>
    <row r="535" customFormat="false" ht="74.6" hidden="false" customHeight="false" outlineLevel="0" collapsed="false">
      <c r="A535" s="18" t="s">
        <v>2444</v>
      </c>
      <c r="B535" s="18" t="s">
        <v>60</v>
      </c>
      <c r="C535" s="18" t="s">
        <v>61</v>
      </c>
      <c r="D535" s="18" t="s">
        <v>2407</v>
      </c>
      <c r="E535" s="18" t="n">
        <v>2</v>
      </c>
      <c r="F535" s="18" t="s">
        <v>2445</v>
      </c>
      <c r="G535" s="18" t="s">
        <v>139</v>
      </c>
      <c r="H535" s="18" t="s">
        <v>117</v>
      </c>
      <c r="I535" s="18"/>
      <c r="J535" s="18"/>
      <c r="K535" s="18"/>
      <c r="L535" s="18" t="s">
        <v>109</v>
      </c>
      <c r="M535" s="18" t="s">
        <v>109</v>
      </c>
      <c r="N535" s="18"/>
      <c r="O535" s="18"/>
      <c r="P535" s="18" t="s">
        <v>2446</v>
      </c>
      <c r="Q535" s="18" t="s">
        <v>123</v>
      </c>
      <c r="R535" s="18" t="s">
        <v>2447</v>
      </c>
      <c r="S535" s="18" t="s">
        <v>125</v>
      </c>
      <c r="T535" s="18" t="s">
        <v>2448</v>
      </c>
      <c r="U535" s="18"/>
      <c r="V535" s="19" t="s">
        <v>29</v>
      </c>
      <c r="W535" s="19"/>
      <c r="X535" s="19"/>
      <c r="Y535" s="20"/>
      <c r="Z535" s="19"/>
      <c r="AA535" s="18" t="str">
        <f aca="false">IF(OR(V535="Aprobada"),R535,IF(AND(OR(V535="Aprobada con ajuste",V535="Rechazada"),W535&lt;&gt;""),W535,""))</f>
        <v/>
      </c>
    </row>
    <row r="536" customFormat="false" ht="74.6" hidden="false" customHeight="false" outlineLevel="0" collapsed="false">
      <c r="A536" s="18" t="s">
        <v>2449</v>
      </c>
      <c r="B536" s="18" t="s">
        <v>60</v>
      </c>
      <c r="C536" s="18" t="s">
        <v>61</v>
      </c>
      <c r="D536" s="18" t="s">
        <v>2407</v>
      </c>
      <c r="E536" s="18" t="n">
        <v>2</v>
      </c>
      <c r="F536" s="18" t="s">
        <v>2450</v>
      </c>
      <c r="G536" s="18" t="s">
        <v>394</v>
      </c>
      <c r="H536" s="18" t="s">
        <v>117</v>
      </c>
      <c r="I536" s="18" t="s">
        <v>140</v>
      </c>
      <c r="J536" s="18"/>
      <c r="K536" s="18"/>
      <c r="L536" s="18" t="s">
        <v>109</v>
      </c>
      <c r="M536" s="18" t="s">
        <v>109</v>
      </c>
      <c r="N536" s="18"/>
      <c r="O536" s="18"/>
      <c r="P536" s="18" t="s">
        <v>2451</v>
      </c>
      <c r="Q536" s="18" t="s">
        <v>123</v>
      </c>
      <c r="R536" s="18" t="s">
        <v>2452</v>
      </c>
      <c r="S536" s="18" t="s">
        <v>125</v>
      </c>
      <c r="T536" s="18" t="s">
        <v>2453</v>
      </c>
      <c r="U536" s="18"/>
      <c r="V536" s="19" t="s">
        <v>29</v>
      </c>
      <c r="W536" s="19"/>
      <c r="X536" s="19"/>
      <c r="Y536" s="20"/>
      <c r="Z536" s="19"/>
      <c r="AA536" s="18" t="str">
        <f aca="false">IF(OR(V536="Aprobada"),R536,IF(AND(OR(V536="Aprobada con ajuste",V536="Rechazada"),W536&lt;&gt;""),W536,""))</f>
        <v/>
      </c>
    </row>
    <row r="537" customFormat="false" ht="22.35" hidden="false" customHeight="false" outlineLevel="0" collapsed="false">
      <c r="A537" s="18" t="s">
        <v>2454</v>
      </c>
      <c r="B537" s="18" t="s">
        <v>60</v>
      </c>
      <c r="C537" s="18" t="s">
        <v>61</v>
      </c>
      <c r="D537" s="18" t="s">
        <v>2407</v>
      </c>
      <c r="E537" s="18" t="n">
        <v>2</v>
      </c>
      <c r="F537" s="18" t="s">
        <v>1935</v>
      </c>
      <c r="G537" s="18" t="s">
        <v>121</v>
      </c>
      <c r="H537" s="18" t="s">
        <v>117</v>
      </c>
      <c r="I537" s="18"/>
      <c r="J537" s="18"/>
      <c r="K537" s="18"/>
      <c r="L537" s="18" t="s">
        <v>109</v>
      </c>
      <c r="M537" s="18" t="s">
        <v>109</v>
      </c>
      <c r="N537" s="18"/>
      <c r="O537" s="18"/>
      <c r="P537" s="18" t="s">
        <v>2455</v>
      </c>
      <c r="Q537" s="18" t="s">
        <v>110</v>
      </c>
      <c r="R537" s="18" t="s">
        <v>533</v>
      </c>
      <c r="S537" s="18" t="s">
        <v>112</v>
      </c>
      <c r="T537" s="18" t="s">
        <v>113</v>
      </c>
      <c r="U537" s="18"/>
      <c r="V537" s="19" t="s">
        <v>29</v>
      </c>
      <c r="W537" s="19"/>
      <c r="X537" s="19"/>
      <c r="Y537" s="20"/>
      <c r="Z537" s="19"/>
      <c r="AA537" s="18" t="str">
        <f aca="false">IF(OR(V537="Aprobada"),R537,IF(AND(OR(V537="Aprobada con ajuste",V537="Rechazada"),W537&lt;&gt;""),W537,""))</f>
        <v/>
      </c>
    </row>
    <row r="538" customFormat="false" ht="22.35" hidden="false" customHeight="false" outlineLevel="0" collapsed="false">
      <c r="A538" s="18" t="s">
        <v>2456</v>
      </c>
      <c r="B538" s="18" t="s">
        <v>60</v>
      </c>
      <c r="C538" s="18" t="s">
        <v>61</v>
      </c>
      <c r="D538" s="18" t="s">
        <v>2407</v>
      </c>
      <c r="E538" s="18" t="n">
        <v>2</v>
      </c>
      <c r="F538" s="18" t="s">
        <v>2457</v>
      </c>
      <c r="G538" s="18" t="s">
        <v>184</v>
      </c>
      <c r="H538" s="18" t="s">
        <v>117</v>
      </c>
      <c r="I538" s="18"/>
      <c r="J538" s="18"/>
      <c r="K538" s="18"/>
      <c r="L538" s="18" t="s">
        <v>109</v>
      </c>
      <c r="M538" s="18" t="s">
        <v>109</v>
      </c>
      <c r="N538" s="18"/>
      <c r="O538" s="18"/>
      <c r="P538" s="18" t="s">
        <v>2458</v>
      </c>
      <c r="Q538" s="18" t="s">
        <v>110</v>
      </c>
      <c r="R538" s="18" t="s">
        <v>530</v>
      </c>
      <c r="S538" s="18" t="s">
        <v>112</v>
      </c>
      <c r="T538" s="18" t="s">
        <v>113</v>
      </c>
      <c r="U538" s="18"/>
      <c r="V538" s="19" t="s">
        <v>29</v>
      </c>
      <c r="W538" s="19"/>
      <c r="X538" s="19"/>
      <c r="Y538" s="20"/>
      <c r="Z538" s="19"/>
      <c r="AA538" s="18" t="str">
        <f aca="false">IF(OR(V538="Aprobada"),R538,IF(AND(OR(V538="Aprobada con ajuste",V538="Rechazada"),W538&lt;&gt;""),W538,""))</f>
        <v/>
      </c>
    </row>
    <row r="539" customFormat="false" ht="64.15" hidden="false" customHeight="false" outlineLevel="0" collapsed="false">
      <c r="A539" s="18" t="s">
        <v>2459</v>
      </c>
      <c r="B539" s="18" t="s">
        <v>60</v>
      </c>
      <c r="C539" s="18" t="s">
        <v>61</v>
      </c>
      <c r="D539" s="18" t="s">
        <v>2407</v>
      </c>
      <c r="E539" s="18" t="n">
        <v>2</v>
      </c>
      <c r="F539" s="18" t="s">
        <v>2460</v>
      </c>
      <c r="G539" s="18" t="s">
        <v>116</v>
      </c>
      <c r="H539" s="18" t="s">
        <v>117</v>
      </c>
      <c r="I539" s="18"/>
      <c r="J539" s="18"/>
      <c r="K539" s="18"/>
      <c r="L539" s="18" t="s">
        <v>109</v>
      </c>
      <c r="M539" s="18" t="s">
        <v>109</v>
      </c>
      <c r="N539" s="18"/>
      <c r="O539" s="18"/>
      <c r="P539" s="18" t="s">
        <v>2461</v>
      </c>
      <c r="Q539" s="18" t="s">
        <v>123</v>
      </c>
      <c r="R539" s="18" t="s">
        <v>2462</v>
      </c>
      <c r="S539" s="18" t="s">
        <v>125</v>
      </c>
      <c r="T539" s="18" t="s">
        <v>2463</v>
      </c>
      <c r="U539" s="18"/>
      <c r="V539" s="19" t="s">
        <v>29</v>
      </c>
      <c r="W539" s="19"/>
      <c r="X539" s="19"/>
      <c r="Y539" s="20"/>
      <c r="Z539" s="19"/>
      <c r="AA539" s="18" t="str">
        <f aca="false">IF(OR(V539="Aprobada"),R539,IF(AND(OR(V539="Aprobada con ajuste",V539="Rechazada"),W539&lt;&gt;""),W539,""))</f>
        <v/>
      </c>
    </row>
    <row r="540" customFormat="false" ht="22.35" hidden="false" customHeight="false" outlineLevel="0" collapsed="false">
      <c r="A540" s="18" t="s">
        <v>2464</v>
      </c>
      <c r="B540" s="18" t="s">
        <v>60</v>
      </c>
      <c r="C540" s="18" t="s">
        <v>61</v>
      </c>
      <c r="D540" s="18" t="s">
        <v>2407</v>
      </c>
      <c r="E540" s="18" t="n">
        <v>2</v>
      </c>
      <c r="F540" s="18" t="s">
        <v>1437</v>
      </c>
      <c r="G540" s="18" t="s">
        <v>184</v>
      </c>
      <c r="H540" s="18" t="s">
        <v>117</v>
      </c>
      <c r="I540" s="18" t="s">
        <v>140</v>
      </c>
      <c r="J540" s="18"/>
      <c r="K540" s="18"/>
      <c r="L540" s="18" t="s">
        <v>109</v>
      </c>
      <c r="M540" s="18" t="s">
        <v>109</v>
      </c>
      <c r="N540" s="18"/>
      <c r="O540" s="18"/>
      <c r="P540" s="18" t="s">
        <v>2465</v>
      </c>
      <c r="Q540" s="18" t="s">
        <v>110</v>
      </c>
      <c r="R540" s="18" t="s">
        <v>1439</v>
      </c>
      <c r="S540" s="18" t="s">
        <v>112</v>
      </c>
      <c r="T540" s="18" t="s">
        <v>113</v>
      </c>
      <c r="U540" s="18"/>
      <c r="V540" s="19" t="s">
        <v>29</v>
      </c>
      <c r="W540" s="19"/>
      <c r="X540" s="19"/>
      <c r="Y540" s="20"/>
      <c r="Z540" s="19"/>
      <c r="AA540" s="18" t="str">
        <f aca="false">IF(OR(V540="Aprobada"),R540,IF(AND(OR(V540="Aprobada con ajuste",V540="Rechazada"),W540&lt;&gt;""),W540,""))</f>
        <v/>
      </c>
    </row>
    <row r="541" customFormat="false" ht="22.35" hidden="false" customHeight="false" outlineLevel="0" collapsed="false">
      <c r="A541" s="18" t="s">
        <v>2466</v>
      </c>
      <c r="B541" s="18" t="s">
        <v>60</v>
      </c>
      <c r="C541" s="18" t="s">
        <v>61</v>
      </c>
      <c r="D541" s="18" t="s">
        <v>2407</v>
      </c>
      <c r="E541" s="18" t="n">
        <v>2</v>
      </c>
      <c r="F541" s="18" t="s">
        <v>1445</v>
      </c>
      <c r="G541" s="18" t="s">
        <v>116</v>
      </c>
      <c r="H541" s="18" t="s">
        <v>117</v>
      </c>
      <c r="I541" s="18" t="s">
        <v>140</v>
      </c>
      <c r="J541" s="18"/>
      <c r="K541" s="18"/>
      <c r="L541" s="18" t="s">
        <v>109</v>
      </c>
      <c r="M541" s="18" t="s">
        <v>109</v>
      </c>
      <c r="N541" s="18"/>
      <c r="O541" s="18"/>
      <c r="P541" s="18" t="s">
        <v>2467</v>
      </c>
      <c r="Q541" s="18" t="s">
        <v>110</v>
      </c>
      <c r="R541" s="18" t="s">
        <v>1447</v>
      </c>
      <c r="S541" s="18" t="s">
        <v>112</v>
      </c>
      <c r="T541" s="18" t="s">
        <v>113</v>
      </c>
      <c r="U541" s="18"/>
      <c r="V541" s="19" t="s">
        <v>29</v>
      </c>
      <c r="W541" s="19"/>
      <c r="X541" s="19"/>
      <c r="Y541" s="20"/>
      <c r="Z541" s="19"/>
      <c r="AA541" s="18" t="str">
        <f aca="false">IF(OR(V541="Aprobada"),R541,IF(AND(OR(V541="Aprobada con ajuste",V541="Rechazada"),W541&lt;&gt;""),W541,""))</f>
        <v/>
      </c>
    </row>
    <row r="542" customFormat="false" ht="32.8" hidden="false" customHeight="false" outlineLevel="0" collapsed="false">
      <c r="A542" s="18" t="s">
        <v>2468</v>
      </c>
      <c r="B542" s="18" t="s">
        <v>60</v>
      </c>
      <c r="C542" s="18" t="s">
        <v>61</v>
      </c>
      <c r="D542" s="18" t="s">
        <v>2469</v>
      </c>
      <c r="E542" s="18" t="n">
        <v>0</v>
      </c>
      <c r="F542" s="18" t="s">
        <v>2470</v>
      </c>
      <c r="G542" s="18" t="s">
        <v>394</v>
      </c>
      <c r="H542" s="18" t="s">
        <v>109</v>
      </c>
      <c r="I542" s="18"/>
      <c r="J542" s="18"/>
      <c r="K542" s="18"/>
      <c r="L542" s="18" t="s">
        <v>109</v>
      </c>
      <c r="M542" s="18" t="s">
        <v>109</v>
      </c>
      <c r="N542" s="18"/>
      <c r="O542" s="18"/>
      <c r="P542" s="18" t="s">
        <v>2471</v>
      </c>
      <c r="Q542" s="18" t="s">
        <v>123</v>
      </c>
      <c r="R542" s="18" t="s">
        <v>2472</v>
      </c>
      <c r="S542" s="18" t="s">
        <v>125</v>
      </c>
      <c r="T542" s="18" t="s">
        <v>2473</v>
      </c>
      <c r="U542" s="18"/>
      <c r="V542" s="19" t="s">
        <v>29</v>
      </c>
      <c r="W542" s="19"/>
      <c r="X542" s="19"/>
      <c r="Y542" s="20"/>
      <c r="Z542" s="19"/>
      <c r="AA542" s="18" t="str">
        <f aca="false">IF(OR(V542="Aprobada"),R542,IF(AND(OR(V542="Aprobada con ajuste",V542="Rechazada"),W542&lt;&gt;""),W542,""))</f>
        <v/>
      </c>
    </row>
    <row r="543" customFormat="false" ht="126.85" hidden="false" customHeight="false" outlineLevel="0" collapsed="false">
      <c r="A543" s="18" t="s">
        <v>2474</v>
      </c>
      <c r="B543" s="18" t="s">
        <v>60</v>
      </c>
      <c r="C543" s="18" t="s">
        <v>61</v>
      </c>
      <c r="D543" s="18" t="s">
        <v>2469</v>
      </c>
      <c r="E543" s="18" t="n">
        <v>0</v>
      </c>
      <c r="F543" s="18" t="s">
        <v>2475</v>
      </c>
      <c r="G543" s="18" t="s">
        <v>116</v>
      </c>
      <c r="H543" s="18" t="s">
        <v>109</v>
      </c>
      <c r="I543" s="18"/>
      <c r="J543" s="18"/>
      <c r="K543" s="18"/>
      <c r="L543" s="18" t="s">
        <v>109</v>
      </c>
      <c r="M543" s="18" t="s">
        <v>109</v>
      </c>
      <c r="N543" s="18"/>
      <c r="O543" s="18"/>
      <c r="P543" s="18" t="s">
        <v>2476</v>
      </c>
      <c r="Q543" s="18" t="s">
        <v>123</v>
      </c>
      <c r="R543" s="18" t="s">
        <v>2477</v>
      </c>
      <c r="S543" s="18" t="s">
        <v>125</v>
      </c>
      <c r="T543" s="18" t="s">
        <v>2478</v>
      </c>
      <c r="U543" s="18"/>
      <c r="V543" s="19" t="s">
        <v>29</v>
      </c>
      <c r="W543" s="19"/>
      <c r="X543" s="19"/>
      <c r="Y543" s="20"/>
      <c r="Z543" s="19"/>
      <c r="AA543" s="18" t="str">
        <f aca="false">IF(OR(V543="Aprobada"),R543,IF(AND(OR(V543="Aprobada con ajuste",V543="Rechazada"),W543&lt;&gt;""),W543,""))</f>
        <v/>
      </c>
    </row>
    <row r="544" customFormat="false" ht="22.35" hidden="false" customHeight="false" outlineLevel="0" collapsed="false">
      <c r="A544" s="18" t="s">
        <v>2479</v>
      </c>
      <c r="B544" s="18" t="s">
        <v>60</v>
      </c>
      <c r="C544" s="18" t="s">
        <v>61</v>
      </c>
      <c r="D544" s="18" t="s">
        <v>2469</v>
      </c>
      <c r="E544" s="18" t="n">
        <v>0</v>
      </c>
      <c r="F544" s="18" t="s">
        <v>1393</v>
      </c>
      <c r="G544" s="18" t="s">
        <v>212</v>
      </c>
      <c r="H544" s="18" t="s">
        <v>109</v>
      </c>
      <c r="I544" s="18"/>
      <c r="J544" s="18"/>
      <c r="K544" s="18"/>
      <c r="L544" s="18" t="s">
        <v>109</v>
      </c>
      <c r="M544" s="18" t="s">
        <v>109</v>
      </c>
      <c r="N544" s="18"/>
      <c r="O544" s="18"/>
      <c r="P544" s="18" t="s">
        <v>2480</v>
      </c>
      <c r="Q544" s="18" t="s">
        <v>134</v>
      </c>
      <c r="R544" s="18" t="s">
        <v>2481</v>
      </c>
      <c r="S544" s="18" t="s">
        <v>112</v>
      </c>
      <c r="T544" s="18" t="s">
        <v>1396</v>
      </c>
      <c r="U544" s="18" t="s">
        <v>2482</v>
      </c>
      <c r="V544" s="19" t="s">
        <v>29</v>
      </c>
      <c r="W544" s="19"/>
      <c r="X544" s="19"/>
      <c r="Y544" s="20"/>
      <c r="Z544" s="19"/>
      <c r="AA544" s="18" t="str">
        <f aca="false">IF(OR(V544="Aprobada"),R544,IF(AND(OR(V544="Aprobada con ajuste",V544="Rechazada"),W544&lt;&gt;""),W544,""))</f>
        <v/>
      </c>
    </row>
    <row r="545" customFormat="false" ht="22.35" hidden="false" customHeight="false" outlineLevel="0" collapsed="false">
      <c r="A545" s="18" t="s">
        <v>2483</v>
      </c>
      <c r="B545" s="18" t="s">
        <v>60</v>
      </c>
      <c r="C545" s="18" t="s">
        <v>61</v>
      </c>
      <c r="D545" s="18" t="s">
        <v>2469</v>
      </c>
      <c r="E545" s="18" t="n">
        <v>0</v>
      </c>
      <c r="F545" s="18" t="s">
        <v>107</v>
      </c>
      <c r="G545" s="18" t="s">
        <v>151</v>
      </c>
      <c r="H545" s="18" t="s">
        <v>109</v>
      </c>
      <c r="I545" s="18" t="s">
        <v>140</v>
      </c>
      <c r="J545" s="18" t="s">
        <v>1429</v>
      </c>
      <c r="K545" s="18"/>
      <c r="L545" s="18" t="s">
        <v>117</v>
      </c>
      <c r="M545" s="18" t="s">
        <v>109</v>
      </c>
      <c r="N545" s="18"/>
      <c r="O545" s="18"/>
      <c r="P545" s="18" t="s">
        <v>2484</v>
      </c>
      <c r="Q545" s="18" t="s">
        <v>110</v>
      </c>
      <c r="R545" s="18" t="s">
        <v>2485</v>
      </c>
      <c r="S545" s="18" t="s">
        <v>112</v>
      </c>
      <c r="T545" s="18" t="s">
        <v>113</v>
      </c>
      <c r="U545" s="18"/>
      <c r="V545" s="19" t="s">
        <v>29</v>
      </c>
      <c r="W545" s="19"/>
      <c r="X545" s="19"/>
      <c r="Y545" s="20"/>
      <c r="Z545" s="19"/>
      <c r="AA545" s="18" t="str">
        <f aca="false">IF(OR(V545="Aprobada"),R545,IF(AND(OR(V545="Aprobada con ajuste",V545="Rechazada"),W545&lt;&gt;""),W545,""))</f>
        <v/>
      </c>
    </row>
    <row r="546" customFormat="false" ht="22.35" hidden="false" customHeight="false" outlineLevel="0" collapsed="false">
      <c r="A546" s="18" t="s">
        <v>2486</v>
      </c>
      <c r="B546" s="18" t="s">
        <v>60</v>
      </c>
      <c r="C546" s="18" t="s">
        <v>61</v>
      </c>
      <c r="D546" s="18" t="s">
        <v>2469</v>
      </c>
      <c r="E546" s="18" t="n">
        <v>0</v>
      </c>
      <c r="F546" s="18" t="s">
        <v>2487</v>
      </c>
      <c r="G546" s="18" t="s">
        <v>459</v>
      </c>
      <c r="H546" s="18" t="s">
        <v>117</v>
      </c>
      <c r="I546" s="18"/>
      <c r="J546" s="18"/>
      <c r="K546" s="18"/>
      <c r="L546" s="18" t="s">
        <v>109</v>
      </c>
      <c r="M546" s="18" t="s">
        <v>109</v>
      </c>
      <c r="N546" s="18"/>
      <c r="O546" s="18"/>
      <c r="P546" s="18" t="s">
        <v>2488</v>
      </c>
      <c r="Q546" s="18" t="s">
        <v>134</v>
      </c>
      <c r="R546" s="18" t="s">
        <v>2489</v>
      </c>
      <c r="S546" s="18" t="s">
        <v>112</v>
      </c>
      <c r="T546" s="18" t="s">
        <v>1531</v>
      </c>
      <c r="U546" s="18" t="s">
        <v>2490</v>
      </c>
      <c r="V546" s="19" t="s">
        <v>29</v>
      </c>
      <c r="W546" s="19"/>
      <c r="X546" s="19"/>
      <c r="Y546" s="20"/>
      <c r="Z546" s="19"/>
      <c r="AA546" s="18" t="str">
        <f aca="false">IF(OR(V546="Aprobada"),R546,IF(AND(OR(V546="Aprobada con ajuste",V546="Rechazada"),W546&lt;&gt;""),W546,""))</f>
        <v/>
      </c>
    </row>
    <row r="547" customFormat="false" ht="22.35" hidden="false" customHeight="false" outlineLevel="0" collapsed="false">
      <c r="A547" s="18" t="s">
        <v>2491</v>
      </c>
      <c r="B547" s="18" t="s">
        <v>60</v>
      </c>
      <c r="C547" s="18" t="s">
        <v>61</v>
      </c>
      <c r="D547" s="18" t="s">
        <v>2469</v>
      </c>
      <c r="E547" s="18" t="n">
        <v>0</v>
      </c>
      <c r="F547" s="18" t="s">
        <v>1437</v>
      </c>
      <c r="G547" s="18" t="s">
        <v>184</v>
      </c>
      <c r="H547" s="18" t="s">
        <v>117</v>
      </c>
      <c r="I547" s="18" t="s">
        <v>140</v>
      </c>
      <c r="J547" s="18"/>
      <c r="K547" s="18"/>
      <c r="L547" s="18" t="s">
        <v>109</v>
      </c>
      <c r="M547" s="18" t="s">
        <v>109</v>
      </c>
      <c r="N547" s="18"/>
      <c r="O547" s="18"/>
      <c r="P547" s="18" t="s">
        <v>2492</v>
      </c>
      <c r="Q547" s="18" t="s">
        <v>110</v>
      </c>
      <c r="R547" s="18" t="s">
        <v>1439</v>
      </c>
      <c r="S547" s="18" t="s">
        <v>112</v>
      </c>
      <c r="T547" s="18" t="s">
        <v>113</v>
      </c>
      <c r="U547" s="18"/>
      <c r="V547" s="19" t="s">
        <v>29</v>
      </c>
      <c r="W547" s="19"/>
      <c r="X547" s="19"/>
      <c r="Y547" s="20"/>
      <c r="Z547" s="19"/>
      <c r="AA547" s="18" t="str">
        <f aca="false">IF(OR(V547="Aprobada"),R547,IF(AND(OR(V547="Aprobada con ajuste",V547="Rechazada"),W547&lt;&gt;""),W547,""))</f>
        <v/>
      </c>
    </row>
    <row r="548" customFormat="false" ht="22.35" hidden="false" customHeight="false" outlineLevel="0" collapsed="false">
      <c r="A548" s="18" t="s">
        <v>2493</v>
      </c>
      <c r="B548" s="18" t="s">
        <v>60</v>
      </c>
      <c r="C548" s="18" t="s">
        <v>61</v>
      </c>
      <c r="D548" s="18" t="s">
        <v>2469</v>
      </c>
      <c r="E548" s="18" t="n">
        <v>0</v>
      </c>
      <c r="F548" s="18" t="s">
        <v>1441</v>
      </c>
      <c r="G548" s="18" t="s">
        <v>459</v>
      </c>
      <c r="H548" s="18" t="s">
        <v>117</v>
      </c>
      <c r="I548" s="18"/>
      <c r="J548" s="18"/>
      <c r="K548" s="18"/>
      <c r="L548" s="18" t="s">
        <v>109</v>
      </c>
      <c r="M548" s="18" t="s">
        <v>109</v>
      </c>
      <c r="N548" s="18"/>
      <c r="O548" s="18"/>
      <c r="P548" s="18" t="s">
        <v>2494</v>
      </c>
      <c r="Q548" s="18" t="s">
        <v>110</v>
      </c>
      <c r="R548" s="18" t="s">
        <v>1443</v>
      </c>
      <c r="S548" s="18" t="s">
        <v>112</v>
      </c>
      <c r="T548" s="18" t="s">
        <v>113</v>
      </c>
      <c r="U548" s="18"/>
      <c r="V548" s="19" t="s">
        <v>29</v>
      </c>
      <c r="W548" s="19"/>
      <c r="X548" s="19"/>
      <c r="Y548" s="20"/>
      <c r="Z548" s="19"/>
      <c r="AA548" s="18" t="str">
        <f aca="false">IF(OR(V548="Aprobada"),R548,IF(AND(OR(V548="Aprobada con ajuste",V548="Rechazada"),W548&lt;&gt;""),W548,""))</f>
        <v/>
      </c>
    </row>
    <row r="549" customFormat="false" ht="22.35" hidden="false" customHeight="false" outlineLevel="0" collapsed="false">
      <c r="A549" s="18" t="s">
        <v>2495</v>
      </c>
      <c r="B549" s="18" t="s">
        <v>60</v>
      </c>
      <c r="C549" s="18" t="s">
        <v>61</v>
      </c>
      <c r="D549" s="18" t="s">
        <v>2469</v>
      </c>
      <c r="E549" s="18" t="n">
        <v>0</v>
      </c>
      <c r="F549" s="18" t="s">
        <v>1445</v>
      </c>
      <c r="G549" s="18" t="s">
        <v>116</v>
      </c>
      <c r="H549" s="18" t="s">
        <v>117</v>
      </c>
      <c r="I549" s="18" t="s">
        <v>140</v>
      </c>
      <c r="J549" s="18"/>
      <c r="K549" s="18"/>
      <c r="L549" s="18" t="s">
        <v>109</v>
      </c>
      <c r="M549" s="18" t="s">
        <v>109</v>
      </c>
      <c r="N549" s="18"/>
      <c r="O549" s="18"/>
      <c r="P549" s="18" t="s">
        <v>2496</v>
      </c>
      <c r="Q549" s="18" t="s">
        <v>110</v>
      </c>
      <c r="R549" s="18" t="s">
        <v>1447</v>
      </c>
      <c r="S549" s="18" t="s">
        <v>112</v>
      </c>
      <c r="T549" s="18" t="s">
        <v>113</v>
      </c>
      <c r="U549" s="18"/>
      <c r="V549" s="19" t="s">
        <v>29</v>
      </c>
      <c r="W549" s="19"/>
      <c r="X549" s="19"/>
      <c r="Y549" s="20"/>
      <c r="Z549" s="19"/>
      <c r="AA549" s="18" t="str">
        <f aca="false">IF(OR(V549="Aprobada"),R549,IF(AND(OR(V549="Aprobada con ajuste",V549="Rechazada"),W549&lt;&gt;""),W549,""))</f>
        <v/>
      </c>
    </row>
    <row r="550" customFormat="false" ht="53.7" hidden="false" customHeight="false" outlineLevel="0" collapsed="false">
      <c r="A550" s="18" t="s">
        <v>2497</v>
      </c>
      <c r="B550" s="18" t="s">
        <v>60</v>
      </c>
      <c r="C550" s="18" t="s">
        <v>61</v>
      </c>
      <c r="D550" s="18" t="s">
        <v>2498</v>
      </c>
      <c r="E550" s="18" t="n">
        <v>2</v>
      </c>
      <c r="F550" s="18" t="s">
        <v>2499</v>
      </c>
      <c r="G550" s="18" t="s">
        <v>145</v>
      </c>
      <c r="H550" s="18" t="s">
        <v>109</v>
      </c>
      <c r="I550" s="18" t="s">
        <v>140</v>
      </c>
      <c r="J550" s="18"/>
      <c r="K550" s="18"/>
      <c r="L550" s="18" t="s">
        <v>109</v>
      </c>
      <c r="M550" s="18" t="s">
        <v>109</v>
      </c>
      <c r="N550" s="18"/>
      <c r="O550" s="18"/>
      <c r="P550" s="18" t="s">
        <v>2500</v>
      </c>
      <c r="Q550" s="18" t="s">
        <v>123</v>
      </c>
      <c r="R550" s="18" t="s">
        <v>2501</v>
      </c>
      <c r="S550" s="18" t="s">
        <v>125</v>
      </c>
      <c r="T550" s="18" t="s">
        <v>2502</v>
      </c>
      <c r="U550" s="18"/>
      <c r="V550" s="19" t="s">
        <v>29</v>
      </c>
      <c r="W550" s="19"/>
      <c r="X550" s="19"/>
      <c r="Y550" s="20"/>
      <c r="Z550" s="19"/>
      <c r="AA550" s="18" t="str">
        <f aca="false">IF(OR(V550="Aprobada"),R550,IF(AND(OR(V550="Aprobada con ajuste",V550="Rechazada"),W550&lt;&gt;""),W550,""))</f>
        <v/>
      </c>
    </row>
    <row r="551" customFormat="false" ht="85.05" hidden="false" customHeight="false" outlineLevel="0" collapsed="false">
      <c r="A551" s="18" t="s">
        <v>2503</v>
      </c>
      <c r="B551" s="18" t="s">
        <v>60</v>
      </c>
      <c r="C551" s="18" t="s">
        <v>61</v>
      </c>
      <c r="D551" s="18" t="s">
        <v>2498</v>
      </c>
      <c r="E551" s="18" t="n">
        <v>2</v>
      </c>
      <c r="F551" s="18" t="s">
        <v>2504</v>
      </c>
      <c r="G551" s="18" t="s">
        <v>139</v>
      </c>
      <c r="H551" s="18" t="s">
        <v>109</v>
      </c>
      <c r="I551" s="18" t="s">
        <v>140</v>
      </c>
      <c r="J551" s="18"/>
      <c r="K551" s="18"/>
      <c r="L551" s="18" t="s">
        <v>109</v>
      </c>
      <c r="M551" s="18" t="s">
        <v>109</v>
      </c>
      <c r="N551" s="18"/>
      <c r="O551" s="18"/>
      <c r="P551" s="18" t="s">
        <v>2505</v>
      </c>
      <c r="Q551" s="18" t="s">
        <v>123</v>
      </c>
      <c r="R551" s="18" t="s">
        <v>2506</v>
      </c>
      <c r="S551" s="18" t="s">
        <v>125</v>
      </c>
      <c r="T551" s="18" t="s">
        <v>2507</v>
      </c>
      <c r="U551" s="18"/>
      <c r="V551" s="19" t="s">
        <v>29</v>
      </c>
      <c r="W551" s="19"/>
      <c r="X551" s="19"/>
      <c r="Y551" s="20"/>
      <c r="Z551" s="19"/>
      <c r="AA551" s="18" t="str">
        <f aca="false">IF(OR(V551="Aprobada"),R551,IF(AND(OR(V551="Aprobada con ajuste",V551="Rechazada"),W551&lt;&gt;""),W551,""))</f>
        <v/>
      </c>
    </row>
    <row r="552" customFormat="false" ht="43.25" hidden="false" customHeight="false" outlineLevel="0" collapsed="false">
      <c r="A552" s="18" t="s">
        <v>2508</v>
      </c>
      <c r="B552" s="18" t="s">
        <v>60</v>
      </c>
      <c r="C552" s="18" t="s">
        <v>61</v>
      </c>
      <c r="D552" s="18" t="s">
        <v>2498</v>
      </c>
      <c r="E552" s="18" t="n">
        <v>2</v>
      </c>
      <c r="F552" s="18" t="s">
        <v>2509</v>
      </c>
      <c r="G552" s="18" t="s">
        <v>1509</v>
      </c>
      <c r="H552" s="18" t="s">
        <v>117</v>
      </c>
      <c r="I552" s="18"/>
      <c r="J552" s="18"/>
      <c r="K552" s="18"/>
      <c r="L552" s="18" t="s">
        <v>109</v>
      </c>
      <c r="M552" s="18" t="s">
        <v>109</v>
      </c>
      <c r="N552" s="18"/>
      <c r="O552" s="18"/>
      <c r="P552" s="18" t="s">
        <v>2510</v>
      </c>
      <c r="Q552" s="18" t="s">
        <v>123</v>
      </c>
      <c r="R552" s="18" t="s">
        <v>2511</v>
      </c>
      <c r="S552" s="18" t="s">
        <v>125</v>
      </c>
      <c r="T552" s="18" t="s">
        <v>2512</v>
      </c>
      <c r="U552" s="18"/>
      <c r="V552" s="19" t="s">
        <v>29</v>
      </c>
      <c r="W552" s="19"/>
      <c r="X552" s="19"/>
      <c r="Y552" s="20"/>
      <c r="Z552" s="19"/>
      <c r="AA552" s="18" t="str">
        <f aca="false">IF(OR(V552="Aprobada"),R552,IF(AND(OR(V552="Aprobada con ajuste",V552="Rechazada"),W552&lt;&gt;""),W552,""))</f>
        <v/>
      </c>
    </row>
    <row r="553" customFormat="false" ht="43.25" hidden="false" customHeight="false" outlineLevel="0" collapsed="false">
      <c r="A553" s="18" t="s">
        <v>2513</v>
      </c>
      <c r="B553" s="18" t="s">
        <v>60</v>
      </c>
      <c r="C553" s="18" t="s">
        <v>61</v>
      </c>
      <c r="D553" s="18" t="s">
        <v>2498</v>
      </c>
      <c r="E553" s="18" t="n">
        <v>2</v>
      </c>
      <c r="F553" s="18" t="s">
        <v>2514</v>
      </c>
      <c r="G553" s="18" t="s">
        <v>1509</v>
      </c>
      <c r="H553" s="18" t="s">
        <v>117</v>
      </c>
      <c r="I553" s="18"/>
      <c r="J553" s="18"/>
      <c r="K553" s="18"/>
      <c r="L553" s="18" t="s">
        <v>109</v>
      </c>
      <c r="M553" s="18" t="s">
        <v>109</v>
      </c>
      <c r="N553" s="18"/>
      <c r="O553" s="18"/>
      <c r="P553" s="18" t="s">
        <v>2515</v>
      </c>
      <c r="Q553" s="18" t="s">
        <v>123</v>
      </c>
      <c r="R553" s="18" t="s">
        <v>2516</v>
      </c>
      <c r="S553" s="18" t="s">
        <v>112</v>
      </c>
      <c r="T553" s="18" t="s">
        <v>2517</v>
      </c>
      <c r="U553" s="18" t="s">
        <v>2518</v>
      </c>
      <c r="V553" s="19" t="s">
        <v>29</v>
      </c>
      <c r="W553" s="19"/>
      <c r="X553" s="19"/>
      <c r="Y553" s="20"/>
      <c r="Z553" s="19"/>
      <c r="AA553" s="18" t="str">
        <f aca="false">IF(OR(V553="Aprobada"),R553,IF(AND(OR(V553="Aprobada con ajuste",V553="Rechazada"),W553&lt;&gt;""),W553,""))</f>
        <v/>
      </c>
    </row>
    <row r="554" customFormat="false" ht="43.25" hidden="false" customHeight="false" outlineLevel="0" collapsed="false">
      <c r="A554" s="18" t="s">
        <v>2519</v>
      </c>
      <c r="B554" s="18" t="s">
        <v>60</v>
      </c>
      <c r="C554" s="18" t="s">
        <v>61</v>
      </c>
      <c r="D554" s="18" t="s">
        <v>2498</v>
      </c>
      <c r="E554" s="18" t="n">
        <v>2</v>
      </c>
      <c r="F554" s="18" t="s">
        <v>2520</v>
      </c>
      <c r="G554" s="18" t="s">
        <v>195</v>
      </c>
      <c r="H554" s="18" t="s">
        <v>117</v>
      </c>
      <c r="I554" s="18"/>
      <c r="J554" s="18"/>
      <c r="K554" s="18"/>
      <c r="L554" s="18" t="s">
        <v>109</v>
      </c>
      <c r="M554" s="18" t="s">
        <v>109</v>
      </c>
      <c r="N554" s="18"/>
      <c r="O554" s="18"/>
      <c r="P554" s="18" t="s">
        <v>2521</v>
      </c>
      <c r="Q554" s="18" t="s">
        <v>123</v>
      </c>
      <c r="R554" s="18" t="s">
        <v>2522</v>
      </c>
      <c r="S554" s="18" t="s">
        <v>112</v>
      </c>
      <c r="T554" s="18" t="s">
        <v>2523</v>
      </c>
      <c r="U554" s="18" t="s">
        <v>2524</v>
      </c>
      <c r="V554" s="19" t="s">
        <v>29</v>
      </c>
      <c r="W554" s="19"/>
      <c r="X554" s="19"/>
      <c r="Y554" s="20"/>
      <c r="Z554" s="19"/>
      <c r="AA554" s="18" t="str">
        <f aca="false">IF(OR(V554="Aprobada"),R554,IF(AND(OR(V554="Aprobada con ajuste",V554="Rechazada"),W554&lt;&gt;""),W554,""))</f>
        <v/>
      </c>
    </row>
    <row r="555" customFormat="false" ht="43.25" hidden="false" customHeight="false" outlineLevel="0" collapsed="false">
      <c r="A555" s="18" t="s">
        <v>2525</v>
      </c>
      <c r="B555" s="18" t="s">
        <v>60</v>
      </c>
      <c r="C555" s="18" t="s">
        <v>61</v>
      </c>
      <c r="D555" s="18" t="s">
        <v>2498</v>
      </c>
      <c r="E555" s="18" t="n">
        <v>2</v>
      </c>
      <c r="F555" s="18" t="s">
        <v>2526</v>
      </c>
      <c r="G555" s="18" t="s">
        <v>139</v>
      </c>
      <c r="H555" s="18" t="s">
        <v>117</v>
      </c>
      <c r="I555" s="18"/>
      <c r="J555" s="18"/>
      <c r="K555" s="18"/>
      <c r="L555" s="18" t="s">
        <v>109</v>
      </c>
      <c r="M555" s="18" t="s">
        <v>109</v>
      </c>
      <c r="N555" s="18"/>
      <c r="O555" s="18"/>
      <c r="P555" s="18" t="s">
        <v>2527</v>
      </c>
      <c r="Q555" s="18" t="s">
        <v>123</v>
      </c>
      <c r="R555" s="18" t="s">
        <v>2528</v>
      </c>
      <c r="S555" s="18" t="s">
        <v>125</v>
      </c>
      <c r="T555" s="18" t="s">
        <v>2529</v>
      </c>
      <c r="U555" s="18"/>
      <c r="V555" s="19" t="s">
        <v>29</v>
      </c>
      <c r="W555" s="19"/>
      <c r="X555" s="19"/>
      <c r="Y555" s="20"/>
      <c r="Z555" s="19"/>
      <c r="AA555" s="18" t="str">
        <f aca="false">IF(OR(V555="Aprobada"),R555,IF(AND(OR(V555="Aprobada con ajuste",V555="Rechazada"),W555&lt;&gt;""),W555,""))</f>
        <v/>
      </c>
    </row>
    <row r="556" customFormat="false" ht="126.85" hidden="false" customHeight="false" outlineLevel="0" collapsed="false">
      <c r="A556" s="18" t="s">
        <v>2530</v>
      </c>
      <c r="B556" s="18" t="s">
        <v>60</v>
      </c>
      <c r="C556" s="18" t="s">
        <v>61</v>
      </c>
      <c r="D556" s="18" t="s">
        <v>2498</v>
      </c>
      <c r="E556" s="18" t="n">
        <v>2</v>
      </c>
      <c r="F556" s="18" t="s">
        <v>312</v>
      </c>
      <c r="G556" s="18" t="s">
        <v>116</v>
      </c>
      <c r="H556" s="18" t="s">
        <v>117</v>
      </c>
      <c r="I556" s="18" t="s">
        <v>140</v>
      </c>
      <c r="J556" s="18"/>
      <c r="K556" s="18"/>
      <c r="L556" s="18" t="s">
        <v>109</v>
      </c>
      <c r="M556" s="18" t="s">
        <v>109</v>
      </c>
      <c r="N556" s="18"/>
      <c r="O556" s="18"/>
      <c r="P556" s="18" t="s">
        <v>2531</v>
      </c>
      <c r="Q556" s="18" t="s">
        <v>123</v>
      </c>
      <c r="R556" s="18" t="s">
        <v>2532</v>
      </c>
      <c r="S556" s="18" t="s">
        <v>125</v>
      </c>
      <c r="T556" s="18" t="s">
        <v>2533</v>
      </c>
      <c r="U556" s="18"/>
      <c r="V556" s="19" t="s">
        <v>29</v>
      </c>
      <c r="W556" s="19"/>
      <c r="X556" s="19"/>
      <c r="Y556" s="20"/>
      <c r="Z556" s="19"/>
      <c r="AA556" s="18" t="str">
        <f aca="false">IF(OR(V556="Aprobada"),R556,IF(AND(OR(V556="Aprobada con ajuste",V556="Rechazada"),W556&lt;&gt;""),W556,""))</f>
        <v/>
      </c>
    </row>
    <row r="557" customFormat="false" ht="43.25" hidden="false" customHeight="false" outlineLevel="0" collapsed="false">
      <c r="A557" s="18" t="s">
        <v>2534</v>
      </c>
      <c r="B557" s="18" t="s">
        <v>60</v>
      </c>
      <c r="C557" s="18" t="s">
        <v>61</v>
      </c>
      <c r="D557" s="18" t="s">
        <v>2498</v>
      </c>
      <c r="E557" s="18" t="n">
        <v>2</v>
      </c>
      <c r="F557" s="18" t="s">
        <v>2535</v>
      </c>
      <c r="G557" s="18" t="s">
        <v>249</v>
      </c>
      <c r="H557" s="18" t="s">
        <v>117</v>
      </c>
      <c r="I557" s="18"/>
      <c r="J557" s="18"/>
      <c r="K557" s="18"/>
      <c r="L557" s="18" t="s">
        <v>109</v>
      </c>
      <c r="M557" s="18" t="s">
        <v>109</v>
      </c>
      <c r="N557" s="18"/>
      <c r="O557" s="18"/>
      <c r="P557" s="18" t="s">
        <v>2536</v>
      </c>
      <c r="Q557" s="18" t="s">
        <v>123</v>
      </c>
      <c r="R557" s="18" t="s">
        <v>2537</v>
      </c>
      <c r="S557" s="18" t="s">
        <v>125</v>
      </c>
      <c r="T557" s="18" t="s">
        <v>2538</v>
      </c>
      <c r="U557" s="18" t="s">
        <v>2539</v>
      </c>
      <c r="V557" s="19" t="s">
        <v>29</v>
      </c>
      <c r="W557" s="19"/>
      <c r="X557" s="19"/>
      <c r="Y557" s="20"/>
      <c r="Z557" s="19"/>
      <c r="AA557" s="18" t="str">
        <f aca="false">IF(OR(V557="Aprobada"),R557,IF(AND(OR(V557="Aprobada con ajuste",V557="Rechazada"),W557&lt;&gt;""),W557,""))</f>
        <v/>
      </c>
    </row>
    <row r="558" customFormat="false" ht="43.25" hidden="false" customHeight="false" outlineLevel="0" collapsed="false">
      <c r="A558" s="18" t="s">
        <v>2540</v>
      </c>
      <c r="B558" s="18" t="s">
        <v>60</v>
      </c>
      <c r="C558" s="18" t="s">
        <v>61</v>
      </c>
      <c r="D558" s="18" t="s">
        <v>2498</v>
      </c>
      <c r="E558" s="18" t="n">
        <v>2</v>
      </c>
      <c r="F558" s="18" t="s">
        <v>2541</v>
      </c>
      <c r="G558" s="18" t="s">
        <v>265</v>
      </c>
      <c r="H558" s="18" t="s">
        <v>117</v>
      </c>
      <c r="I558" s="18"/>
      <c r="J558" s="18"/>
      <c r="K558" s="18"/>
      <c r="L558" s="18" t="s">
        <v>109</v>
      </c>
      <c r="M558" s="18" t="s">
        <v>109</v>
      </c>
      <c r="N558" s="18"/>
      <c r="O558" s="18"/>
      <c r="P558" s="18" t="s">
        <v>2542</v>
      </c>
      <c r="Q558" s="18" t="s">
        <v>123</v>
      </c>
      <c r="R558" s="18" t="s">
        <v>2543</v>
      </c>
      <c r="S558" s="18" t="s">
        <v>112</v>
      </c>
      <c r="T558" s="18" t="s">
        <v>2544</v>
      </c>
      <c r="U558" s="18" t="s">
        <v>1532</v>
      </c>
      <c r="V558" s="19" t="s">
        <v>29</v>
      </c>
      <c r="W558" s="19"/>
      <c r="X558" s="19"/>
      <c r="Y558" s="20"/>
      <c r="Z558" s="19"/>
      <c r="AA558" s="18" t="str">
        <f aca="false">IF(OR(V558="Aprobada"),R558,IF(AND(OR(V558="Aprobada con ajuste",V558="Rechazada"),W558&lt;&gt;""),W558,""))</f>
        <v/>
      </c>
    </row>
    <row r="559" customFormat="false" ht="43.25" hidden="false" customHeight="false" outlineLevel="0" collapsed="false">
      <c r="A559" s="18" t="s">
        <v>2545</v>
      </c>
      <c r="B559" s="18" t="s">
        <v>60</v>
      </c>
      <c r="C559" s="18" t="s">
        <v>61</v>
      </c>
      <c r="D559" s="18" t="s">
        <v>2498</v>
      </c>
      <c r="E559" s="18" t="n">
        <v>2</v>
      </c>
      <c r="F559" s="18" t="s">
        <v>2546</v>
      </c>
      <c r="G559" s="18" t="s">
        <v>184</v>
      </c>
      <c r="H559" s="18" t="s">
        <v>109</v>
      </c>
      <c r="I559" s="18"/>
      <c r="J559" s="18"/>
      <c r="K559" s="18"/>
      <c r="L559" s="18" t="s">
        <v>109</v>
      </c>
      <c r="M559" s="18" t="s">
        <v>109</v>
      </c>
      <c r="N559" s="18"/>
      <c r="O559" s="18"/>
      <c r="P559" s="18" t="s">
        <v>2547</v>
      </c>
      <c r="Q559" s="18" t="s">
        <v>123</v>
      </c>
      <c r="R559" s="18" t="s">
        <v>2548</v>
      </c>
      <c r="S559" s="18" t="s">
        <v>125</v>
      </c>
      <c r="T559" s="18" t="s">
        <v>2544</v>
      </c>
      <c r="U559" s="18"/>
      <c r="V559" s="19" t="s">
        <v>29</v>
      </c>
      <c r="W559" s="19"/>
      <c r="X559" s="19"/>
      <c r="Y559" s="20"/>
      <c r="Z559" s="19"/>
      <c r="AA559" s="18" t="str">
        <f aca="false">IF(OR(V559="Aprobada"),R559,IF(AND(OR(V559="Aprobada con ajuste",V559="Rechazada"),W559&lt;&gt;""),W559,""))</f>
        <v/>
      </c>
    </row>
    <row r="560" customFormat="false" ht="95.5" hidden="false" customHeight="false" outlineLevel="0" collapsed="false">
      <c r="A560" s="18" t="s">
        <v>2549</v>
      </c>
      <c r="B560" s="18" t="s">
        <v>60</v>
      </c>
      <c r="C560" s="18" t="s">
        <v>61</v>
      </c>
      <c r="D560" s="18" t="s">
        <v>2550</v>
      </c>
      <c r="E560" s="18" t="n">
        <v>0</v>
      </c>
      <c r="F560" s="18" t="s">
        <v>129</v>
      </c>
      <c r="G560" s="18" t="s">
        <v>459</v>
      </c>
      <c r="H560" s="18" t="s">
        <v>109</v>
      </c>
      <c r="I560" s="18"/>
      <c r="J560" s="18"/>
      <c r="K560" s="18"/>
      <c r="L560" s="18" t="s">
        <v>109</v>
      </c>
      <c r="M560" s="18" t="s">
        <v>109</v>
      </c>
      <c r="N560" s="18"/>
      <c r="O560" s="18"/>
      <c r="P560" s="18" t="s">
        <v>2551</v>
      </c>
      <c r="Q560" s="18" t="s">
        <v>110</v>
      </c>
      <c r="R560" s="18" t="s">
        <v>2552</v>
      </c>
      <c r="S560" s="18" t="s">
        <v>112</v>
      </c>
      <c r="T560" s="18" t="s">
        <v>113</v>
      </c>
      <c r="U560" s="18"/>
      <c r="V560" s="19" t="s">
        <v>29</v>
      </c>
      <c r="W560" s="19"/>
      <c r="X560" s="19"/>
      <c r="Y560" s="20"/>
      <c r="Z560" s="19"/>
      <c r="AA560" s="18" t="str">
        <f aca="false">IF(OR(V560="Aprobada"),R560,IF(AND(OR(V560="Aprobada con ajuste",V560="Rechazada"),W560&lt;&gt;""),W560,""))</f>
        <v/>
      </c>
    </row>
    <row r="561" customFormat="false" ht="126.85" hidden="false" customHeight="false" outlineLevel="0" collapsed="false">
      <c r="A561" s="18" t="s">
        <v>2553</v>
      </c>
      <c r="B561" s="18" t="s">
        <v>60</v>
      </c>
      <c r="C561" s="18" t="s">
        <v>61</v>
      </c>
      <c r="D561" s="18" t="s">
        <v>2550</v>
      </c>
      <c r="E561" s="18" t="n">
        <v>0</v>
      </c>
      <c r="F561" s="18" t="s">
        <v>2554</v>
      </c>
      <c r="G561" s="18" t="s">
        <v>167</v>
      </c>
      <c r="H561" s="18" t="s">
        <v>109</v>
      </c>
      <c r="I561" s="18"/>
      <c r="J561" s="18"/>
      <c r="K561" s="18"/>
      <c r="L561" s="18" t="s">
        <v>109</v>
      </c>
      <c r="M561" s="18" t="s">
        <v>109</v>
      </c>
      <c r="N561" s="18"/>
      <c r="O561" s="18" t="s">
        <v>2555</v>
      </c>
      <c r="P561" s="18" t="s">
        <v>2556</v>
      </c>
      <c r="Q561" s="18" t="s">
        <v>123</v>
      </c>
      <c r="R561" s="18" t="s">
        <v>2557</v>
      </c>
      <c r="S561" s="18" t="s">
        <v>125</v>
      </c>
      <c r="T561" s="18" t="s">
        <v>2558</v>
      </c>
      <c r="U561" s="18"/>
      <c r="V561" s="19" t="s">
        <v>29</v>
      </c>
      <c r="W561" s="19"/>
      <c r="X561" s="19"/>
      <c r="Y561" s="20"/>
      <c r="Z561" s="19"/>
      <c r="AA561" s="18" t="str">
        <f aca="false">IF(OR(V561="Aprobada"),R561,IF(AND(OR(V561="Aprobada con ajuste",V561="Rechazada"),W561&lt;&gt;""),W561,""))</f>
        <v/>
      </c>
    </row>
    <row r="562" customFormat="false" ht="53.7" hidden="false" customHeight="false" outlineLevel="0" collapsed="false">
      <c r="A562" s="18" t="s">
        <v>2559</v>
      </c>
      <c r="B562" s="18" t="s">
        <v>60</v>
      </c>
      <c r="C562" s="18" t="s">
        <v>61</v>
      </c>
      <c r="D562" s="18" t="s">
        <v>2550</v>
      </c>
      <c r="E562" s="18" t="n">
        <v>0</v>
      </c>
      <c r="F562" s="18" t="s">
        <v>2560</v>
      </c>
      <c r="G562" s="18" t="s">
        <v>394</v>
      </c>
      <c r="H562" s="18" t="s">
        <v>109</v>
      </c>
      <c r="I562" s="18"/>
      <c r="J562" s="18"/>
      <c r="K562" s="18"/>
      <c r="L562" s="18" t="s">
        <v>109</v>
      </c>
      <c r="M562" s="18" t="s">
        <v>109</v>
      </c>
      <c r="N562" s="18"/>
      <c r="O562" s="18"/>
      <c r="P562" s="18" t="s">
        <v>2561</v>
      </c>
      <c r="Q562" s="18" t="s">
        <v>110</v>
      </c>
      <c r="R562" s="18" t="s">
        <v>2562</v>
      </c>
      <c r="S562" s="18" t="s">
        <v>112</v>
      </c>
      <c r="T562" s="18" t="s">
        <v>113</v>
      </c>
      <c r="U562" s="18"/>
      <c r="V562" s="19" t="s">
        <v>29</v>
      </c>
      <c r="W562" s="19"/>
      <c r="X562" s="19"/>
      <c r="Y562" s="20"/>
      <c r="Z562" s="19"/>
      <c r="AA562" s="18" t="str">
        <f aca="false">IF(OR(V562="Aprobada"),R562,IF(AND(OR(V562="Aprobada con ajuste",V562="Rechazada"),W562&lt;&gt;""),W562,""))</f>
        <v/>
      </c>
    </row>
    <row r="563" customFormat="false" ht="22.35" hidden="false" customHeight="false" outlineLevel="0" collapsed="false">
      <c r="A563" s="18" t="s">
        <v>2563</v>
      </c>
      <c r="B563" s="18" t="s">
        <v>60</v>
      </c>
      <c r="C563" s="18" t="s">
        <v>61</v>
      </c>
      <c r="D563" s="18" t="s">
        <v>2550</v>
      </c>
      <c r="E563" s="18" t="n">
        <v>0</v>
      </c>
      <c r="F563" s="18" t="s">
        <v>2535</v>
      </c>
      <c r="G563" s="18" t="s">
        <v>249</v>
      </c>
      <c r="H563" s="18" t="s">
        <v>117</v>
      </c>
      <c r="I563" s="18"/>
      <c r="J563" s="18"/>
      <c r="K563" s="18"/>
      <c r="L563" s="18" t="s">
        <v>109</v>
      </c>
      <c r="M563" s="18" t="s">
        <v>109</v>
      </c>
      <c r="N563" s="18"/>
      <c r="O563" s="18"/>
      <c r="P563" s="18" t="s">
        <v>2564</v>
      </c>
      <c r="Q563" s="18" t="s">
        <v>134</v>
      </c>
      <c r="R563" s="18" t="s">
        <v>2565</v>
      </c>
      <c r="S563" s="18" t="s">
        <v>112</v>
      </c>
      <c r="T563" s="18" t="s">
        <v>1351</v>
      </c>
      <c r="U563" s="18" t="s">
        <v>2566</v>
      </c>
      <c r="V563" s="19" t="s">
        <v>29</v>
      </c>
      <c r="W563" s="19"/>
      <c r="X563" s="19"/>
      <c r="Y563" s="20"/>
      <c r="Z563" s="19"/>
      <c r="AA563" s="18" t="str">
        <f aca="false">IF(OR(V563="Aprobada"),R563,IF(AND(OR(V563="Aprobada con ajuste",V563="Rechazada"),W563&lt;&gt;""),W563,""))</f>
        <v/>
      </c>
    </row>
    <row r="564" customFormat="false" ht="22.35" hidden="false" customHeight="false" outlineLevel="0" collapsed="false">
      <c r="A564" s="18" t="s">
        <v>2567</v>
      </c>
      <c r="B564" s="18" t="s">
        <v>60</v>
      </c>
      <c r="C564" s="18" t="s">
        <v>61</v>
      </c>
      <c r="D564" s="18" t="s">
        <v>2550</v>
      </c>
      <c r="E564" s="18" t="n">
        <v>0</v>
      </c>
      <c r="F564" s="18" t="s">
        <v>1379</v>
      </c>
      <c r="G564" s="18" t="s">
        <v>265</v>
      </c>
      <c r="H564" s="18" t="s">
        <v>117</v>
      </c>
      <c r="I564" s="18"/>
      <c r="J564" s="18"/>
      <c r="K564" s="18"/>
      <c r="L564" s="18" t="s">
        <v>109</v>
      </c>
      <c r="M564" s="18" t="s">
        <v>109</v>
      </c>
      <c r="N564" s="18"/>
      <c r="O564" s="18"/>
      <c r="P564" s="18" t="s">
        <v>2568</v>
      </c>
      <c r="Q564" s="18" t="s">
        <v>110</v>
      </c>
      <c r="R564" s="18" t="s">
        <v>1381</v>
      </c>
      <c r="S564" s="18" t="s">
        <v>112</v>
      </c>
      <c r="T564" s="18" t="s">
        <v>113</v>
      </c>
      <c r="U564" s="18"/>
      <c r="V564" s="19" t="s">
        <v>29</v>
      </c>
      <c r="W564" s="19"/>
      <c r="X564" s="19"/>
      <c r="Y564" s="20"/>
      <c r="Z564" s="19"/>
      <c r="AA564" s="18" t="str">
        <f aca="false">IF(OR(V564="Aprobada"),R564,IF(AND(OR(V564="Aprobada con ajuste",V564="Rechazada"),W564&lt;&gt;""),W564,""))</f>
        <v/>
      </c>
    </row>
    <row r="565" customFormat="false" ht="137.3" hidden="false" customHeight="false" outlineLevel="0" collapsed="false">
      <c r="A565" s="18" t="s">
        <v>2569</v>
      </c>
      <c r="B565" s="18" t="s">
        <v>60</v>
      </c>
      <c r="C565" s="18" t="s">
        <v>61</v>
      </c>
      <c r="D565" s="18" t="s">
        <v>2570</v>
      </c>
      <c r="E565" s="18" t="n">
        <v>3</v>
      </c>
      <c r="F565" s="18" t="s">
        <v>2571</v>
      </c>
      <c r="G565" s="18" t="s">
        <v>249</v>
      </c>
      <c r="H565" s="18" t="s">
        <v>109</v>
      </c>
      <c r="I565" s="18"/>
      <c r="J565" s="18"/>
      <c r="K565" s="18"/>
      <c r="L565" s="18" t="s">
        <v>109</v>
      </c>
      <c r="M565" s="18" t="s">
        <v>109</v>
      </c>
      <c r="N565" s="18"/>
      <c r="O565" s="18" t="s">
        <v>2572</v>
      </c>
      <c r="P565" s="18" t="s">
        <v>2573</v>
      </c>
      <c r="Q565" s="18" t="s">
        <v>123</v>
      </c>
      <c r="R565" s="18" t="s">
        <v>2574</v>
      </c>
      <c r="S565" s="18" t="s">
        <v>125</v>
      </c>
      <c r="T565" s="18" t="s">
        <v>2575</v>
      </c>
      <c r="U565" s="18"/>
      <c r="V565" s="19" t="s">
        <v>29</v>
      </c>
      <c r="W565" s="19"/>
      <c r="X565" s="19"/>
      <c r="Y565" s="20"/>
      <c r="Z565" s="19"/>
      <c r="AA565" s="18" t="str">
        <f aca="false">IF(OR(V565="Aprobada"),R565,IF(AND(OR(V565="Aprobada con ajuste",V565="Rechazada"),W565&lt;&gt;""),W565,""))</f>
        <v/>
      </c>
    </row>
    <row r="566" customFormat="false" ht="158.2" hidden="false" customHeight="false" outlineLevel="0" collapsed="false">
      <c r="A566" s="18" t="s">
        <v>2576</v>
      </c>
      <c r="B566" s="18" t="s">
        <v>60</v>
      </c>
      <c r="C566" s="18" t="s">
        <v>61</v>
      </c>
      <c r="D566" s="18" t="s">
        <v>2570</v>
      </c>
      <c r="E566" s="18" t="n">
        <v>3</v>
      </c>
      <c r="F566" s="18" t="s">
        <v>129</v>
      </c>
      <c r="G566" s="18" t="s">
        <v>459</v>
      </c>
      <c r="H566" s="18" t="s">
        <v>109</v>
      </c>
      <c r="I566" s="18"/>
      <c r="J566" s="18"/>
      <c r="K566" s="18"/>
      <c r="L566" s="18" t="s">
        <v>109</v>
      </c>
      <c r="M566" s="18" t="s">
        <v>109</v>
      </c>
      <c r="N566" s="18"/>
      <c r="O566" s="18"/>
      <c r="P566" s="18" t="s">
        <v>2577</v>
      </c>
      <c r="Q566" s="18" t="s">
        <v>123</v>
      </c>
      <c r="R566" s="18" t="s">
        <v>2578</v>
      </c>
      <c r="S566" s="18" t="s">
        <v>125</v>
      </c>
      <c r="T566" s="18" t="s">
        <v>2579</v>
      </c>
      <c r="U566" s="18"/>
      <c r="V566" s="19" t="s">
        <v>29</v>
      </c>
      <c r="W566" s="19"/>
      <c r="X566" s="19"/>
      <c r="Y566" s="20"/>
      <c r="Z566" s="19"/>
      <c r="AA566" s="18" t="str">
        <f aca="false">IF(OR(V566="Aprobada"),R566,IF(AND(OR(V566="Aprobada con ajuste",V566="Rechazada"),W566&lt;&gt;""),W566,""))</f>
        <v/>
      </c>
    </row>
    <row r="567" customFormat="false" ht="64.15" hidden="false" customHeight="false" outlineLevel="0" collapsed="false">
      <c r="A567" s="18" t="s">
        <v>2580</v>
      </c>
      <c r="B567" s="18" t="s">
        <v>60</v>
      </c>
      <c r="C567" s="18" t="s">
        <v>61</v>
      </c>
      <c r="D567" s="18" t="s">
        <v>2570</v>
      </c>
      <c r="E567" s="18" t="n">
        <v>3</v>
      </c>
      <c r="F567" s="18" t="s">
        <v>243</v>
      </c>
      <c r="G567" s="18" t="s">
        <v>151</v>
      </c>
      <c r="H567" s="18" t="s">
        <v>109</v>
      </c>
      <c r="I567" s="18" t="s">
        <v>140</v>
      </c>
      <c r="J567" s="18" t="s">
        <v>2581</v>
      </c>
      <c r="K567" s="18"/>
      <c r="L567" s="18" t="s">
        <v>117</v>
      </c>
      <c r="M567" s="18" t="s">
        <v>109</v>
      </c>
      <c r="N567" s="18"/>
      <c r="O567" s="18" t="s">
        <v>2582</v>
      </c>
      <c r="P567" s="18" t="s">
        <v>2583</v>
      </c>
      <c r="Q567" s="18" t="s">
        <v>134</v>
      </c>
      <c r="R567" s="18" t="s">
        <v>2584</v>
      </c>
      <c r="S567" s="18" t="s">
        <v>125</v>
      </c>
      <c r="T567" s="18" t="s">
        <v>2585</v>
      </c>
      <c r="U567" s="18"/>
      <c r="V567" s="19" t="s">
        <v>29</v>
      </c>
      <c r="W567" s="19"/>
      <c r="X567" s="19"/>
      <c r="Y567" s="20"/>
      <c r="Z567" s="19"/>
      <c r="AA567" s="18" t="str">
        <f aca="false">IF(OR(V567="Aprobada"),R567,IF(AND(OR(V567="Aprobada con ajuste",V567="Rechazada"),W567&lt;&gt;""),W567,""))</f>
        <v/>
      </c>
    </row>
    <row r="568" customFormat="false" ht="85.05" hidden="false" customHeight="false" outlineLevel="0" collapsed="false">
      <c r="A568" s="18" t="s">
        <v>2586</v>
      </c>
      <c r="B568" s="18" t="s">
        <v>60</v>
      </c>
      <c r="C568" s="18" t="s">
        <v>61</v>
      </c>
      <c r="D568" s="18" t="s">
        <v>2236</v>
      </c>
      <c r="E568" s="18" t="n">
        <v>11</v>
      </c>
      <c r="F568" s="18" t="s">
        <v>129</v>
      </c>
      <c r="G568" s="18" t="s">
        <v>265</v>
      </c>
      <c r="H568" s="18" t="s">
        <v>109</v>
      </c>
      <c r="I568" s="18"/>
      <c r="J568" s="18"/>
      <c r="K568" s="18"/>
      <c r="L568" s="18" t="s">
        <v>117</v>
      </c>
      <c r="M568" s="18" t="s">
        <v>109</v>
      </c>
      <c r="N568" s="18"/>
      <c r="O568" s="18"/>
      <c r="P568" s="18" t="s">
        <v>2587</v>
      </c>
      <c r="Q568" s="18" t="s">
        <v>110</v>
      </c>
      <c r="R568" s="18" t="s">
        <v>2588</v>
      </c>
      <c r="S568" s="18" t="s">
        <v>112</v>
      </c>
      <c r="T568" s="18" t="s">
        <v>113</v>
      </c>
      <c r="U568" s="18"/>
      <c r="V568" s="19" t="s">
        <v>29</v>
      </c>
      <c r="W568" s="19"/>
      <c r="X568" s="19"/>
      <c r="Y568" s="20"/>
      <c r="Z568" s="19"/>
      <c r="AA568" s="18" t="str">
        <f aca="false">IF(OR(V568="Aprobada"),R568,IF(AND(OR(V568="Aprobada con ajuste",V568="Rechazada"),W568&lt;&gt;""),W568,""))</f>
        <v/>
      </c>
    </row>
    <row r="569" customFormat="false" ht="53.7" hidden="false" customHeight="false" outlineLevel="0" collapsed="false">
      <c r="A569" s="18" t="s">
        <v>2589</v>
      </c>
      <c r="B569" s="18" t="s">
        <v>60</v>
      </c>
      <c r="C569" s="18" t="s">
        <v>61</v>
      </c>
      <c r="D569" s="18" t="s">
        <v>2236</v>
      </c>
      <c r="E569" s="18" t="n">
        <v>11</v>
      </c>
      <c r="F569" s="18" t="s">
        <v>1030</v>
      </c>
      <c r="G569" s="18" t="s">
        <v>139</v>
      </c>
      <c r="H569" s="18" t="s">
        <v>109</v>
      </c>
      <c r="I569" s="18"/>
      <c r="J569" s="18"/>
      <c r="K569" s="18"/>
      <c r="L569" s="18" t="s">
        <v>117</v>
      </c>
      <c r="M569" s="18" t="s">
        <v>109</v>
      </c>
      <c r="N569" s="18"/>
      <c r="O569" s="18"/>
      <c r="P569" s="18" t="s">
        <v>2590</v>
      </c>
      <c r="Q569" s="18" t="s">
        <v>123</v>
      </c>
      <c r="R569" s="18" t="s">
        <v>2591</v>
      </c>
      <c r="S569" s="18" t="s">
        <v>125</v>
      </c>
      <c r="T569" s="18" t="s">
        <v>2592</v>
      </c>
      <c r="U569" s="18"/>
      <c r="V569" s="19" t="s">
        <v>29</v>
      </c>
      <c r="W569" s="19"/>
      <c r="X569" s="19"/>
      <c r="Y569" s="20"/>
      <c r="Z569" s="19"/>
      <c r="AA569" s="18" t="str">
        <f aca="false">IF(OR(V569="Aprobada"),R569,IF(AND(OR(V569="Aprobada con ajuste",V569="Rechazada"),W569&lt;&gt;""),W569,""))</f>
        <v/>
      </c>
    </row>
    <row r="570" customFormat="false" ht="53.7" hidden="false" customHeight="false" outlineLevel="0" collapsed="false">
      <c r="A570" s="18" t="s">
        <v>2593</v>
      </c>
      <c r="B570" s="18" t="s">
        <v>60</v>
      </c>
      <c r="C570" s="18" t="s">
        <v>61</v>
      </c>
      <c r="D570" s="18" t="s">
        <v>2236</v>
      </c>
      <c r="E570" s="18" t="n">
        <v>11</v>
      </c>
      <c r="F570" s="18" t="s">
        <v>1463</v>
      </c>
      <c r="G570" s="18" t="s">
        <v>145</v>
      </c>
      <c r="H570" s="18" t="s">
        <v>109</v>
      </c>
      <c r="I570" s="18"/>
      <c r="J570" s="18"/>
      <c r="K570" s="18"/>
      <c r="L570" s="18" t="s">
        <v>117</v>
      </c>
      <c r="M570" s="18" t="s">
        <v>109</v>
      </c>
      <c r="N570" s="18"/>
      <c r="O570" s="18"/>
      <c r="P570" s="18" t="s">
        <v>2594</v>
      </c>
      <c r="Q570" s="18" t="s">
        <v>123</v>
      </c>
      <c r="R570" s="18" t="s">
        <v>2595</v>
      </c>
      <c r="S570" s="18" t="s">
        <v>125</v>
      </c>
      <c r="T570" s="18" t="s">
        <v>2596</v>
      </c>
      <c r="U570" s="18"/>
      <c r="V570" s="19" t="s">
        <v>29</v>
      </c>
      <c r="W570" s="19"/>
      <c r="X570" s="19"/>
      <c r="Y570" s="20"/>
      <c r="Z570" s="19"/>
      <c r="AA570" s="18" t="str">
        <f aca="false">IF(OR(V570="Aprobada"),R570,IF(AND(OR(V570="Aprobada con ajuste",V570="Rechazada"),W570&lt;&gt;""),W570,""))</f>
        <v/>
      </c>
    </row>
    <row r="571" customFormat="false" ht="199.95" hidden="false" customHeight="false" outlineLevel="0" collapsed="false">
      <c r="A571" s="18" t="s">
        <v>2597</v>
      </c>
      <c r="B571" s="18" t="s">
        <v>60</v>
      </c>
      <c r="C571" s="18" t="s">
        <v>61</v>
      </c>
      <c r="D571" s="18" t="s">
        <v>2598</v>
      </c>
      <c r="E571" s="18" t="n">
        <v>0</v>
      </c>
      <c r="F571" s="18" t="s">
        <v>150</v>
      </c>
      <c r="G571" s="18" t="s">
        <v>108</v>
      </c>
      <c r="H571" s="18" t="s">
        <v>109</v>
      </c>
      <c r="I571" s="18" t="s">
        <v>140</v>
      </c>
      <c r="J571" s="18" t="s">
        <v>2599</v>
      </c>
      <c r="K571" s="18"/>
      <c r="L571" s="18" t="s">
        <v>117</v>
      </c>
      <c r="M571" s="18" t="s">
        <v>109</v>
      </c>
      <c r="N571" s="18"/>
      <c r="O571" s="18" t="s">
        <v>2600</v>
      </c>
      <c r="P571" s="18" t="s">
        <v>2601</v>
      </c>
      <c r="Q571" s="18" t="s">
        <v>123</v>
      </c>
      <c r="R571" s="18" t="s">
        <v>2602</v>
      </c>
      <c r="S571" s="18" t="s">
        <v>125</v>
      </c>
      <c r="T571" s="18" t="s">
        <v>2603</v>
      </c>
      <c r="U571" s="18"/>
      <c r="V571" s="19" t="s">
        <v>29</v>
      </c>
      <c r="W571" s="19"/>
      <c r="X571" s="19"/>
      <c r="Y571" s="20"/>
      <c r="Z571" s="19"/>
      <c r="AA571" s="18" t="str">
        <f aca="false">IF(OR(V571="Aprobada"),R571,IF(AND(OR(V571="Aprobada con ajuste",V571="Rechazada"),W571&lt;&gt;""),W571,""))</f>
        <v/>
      </c>
    </row>
    <row r="572" customFormat="false" ht="95.5" hidden="false" customHeight="false" outlineLevel="0" collapsed="false">
      <c r="A572" s="18" t="s">
        <v>2604</v>
      </c>
      <c r="B572" s="18" t="s">
        <v>60</v>
      </c>
      <c r="C572" s="18" t="s">
        <v>61</v>
      </c>
      <c r="D572" s="18" t="s">
        <v>2598</v>
      </c>
      <c r="E572" s="18" t="n">
        <v>0</v>
      </c>
      <c r="F572" s="18" t="s">
        <v>1553</v>
      </c>
      <c r="G572" s="18" t="s">
        <v>436</v>
      </c>
      <c r="H572" s="18" t="s">
        <v>117</v>
      </c>
      <c r="I572" s="18"/>
      <c r="J572" s="18"/>
      <c r="K572" s="18"/>
      <c r="L572" s="18" t="s">
        <v>109</v>
      </c>
      <c r="M572" s="18" t="s">
        <v>109</v>
      </c>
      <c r="N572" s="18"/>
      <c r="O572" s="18"/>
      <c r="P572" s="18" t="s">
        <v>2605</v>
      </c>
      <c r="Q572" s="18" t="s">
        <v>123</v>
      </c>
      <c r="R572" s="18" t="s">
        <v>2606</v>
      </c>
      <c r="S572" s="18" t="s">
        <v>125</v>
      </c>
      <c r="T572" s="18" t="s">
        <v>2607</v>
      </c>
      <c r="U572" s="18"/>
      <c r="V572" s="19" t="s">
        <v>29</v>
      </c>
      <c r="W572" s="19"/>
      <c r="X572" s="19"/>
      <c r="Y572" s="20"/>
      <c r="Z572" s="19"/>
      <c r="AA572" s="18" t="str">
        <f aca="false">IF(OR(V572="Aprobada"),R572,IF(AND(OR(V572="Aprobada con ajuste",V572="Rechazada"),W572&lt;&gt;""),W572,""))</f>
        <v/>
      </c>
    </row>
    <row r="573" customFormat="false" ht="43.25" hidden="false" customHeight="false" outlineLevel="0" collapsed="false">
      <c r="A573" s="18" t="s">
        <v>2608</v>
      </c>
      <c r="B573" s="18" t="s">
        <v>60</v>
      </c>
      <c r="C573" s="18" t="s">
        <v>61</v>
      </c>
      <c r="D573" s="18" t="s">
        <v>2598</v>
      </c>
      <c r="E573" s="18" t="n">
        <v>0</v>
      </c>
      <c r="F573" s="18" t="s">
        <v>2609</v>
      </c>
      <c r="G573" s="18" t="s">
        <v>394</v>
      </c>
      <c r="H573" s="18" t="s">
        <v>117</v>
      </c>
      <c r="I573" s="18" t="s">
        <v>140</v>
      </c>
      <c r="J573" s="18"/>
      <c r="K573" s="18"/>
      <c r="L573" s="18" t="s">
        <v>109</v>
      </c>
      <c r="M573" s="18" t="s">
        <v>109</v>
      </c>
      <c r="N573" s="18"/>
      <c r="O573" s="18"/>
      <c r="P573" s="18" t="s">
        <v>2610</v>
      </c>
      <c r="Q573" s="18" t="s">
        <v>110</v>
      </c>
      <c r="R573" s="18" t="s">
        <v>2611</v>
      </c>
      <c r="S573" s="18" t="s">
        <v>112</v>
      </c>
      <c r="T573" s="18" t="s">
        <v>113</v>
      </c>
      <c r="U573" s="18"/>
      <c r="V573" s="19" t="s">
        <v>29</v>
      </c>
      <c r="W573" s="19"/>
      <c r="X573" s="19"/>
      <c r="Y573" s="20"/>
      <c r="Z573" s="19"/>
      <c r="AA573" s="18" t="str">
        <f aca="false">IF(OR(V573="Aprobada"),R573,IF(AND(OR(V573="Aprobada con ajuste",V573="Rechazada"),W573&lt;&gt;""),W573,""))</f>
        <v/>
      </c>
    </row>
    <row r="574" customFormat="false" ht="64.15" hidden="false" customHeight="false" outlineLevel="0" collapsed="false">
      <c r="A574" s="18" t="s">
        <v>2612</v>
      </c>
      <c r="B574" s="18" t="s">
        <v>60</v>
      </c>
      <c r="C574" s="18" t="s">
        <v>61</v>
      </c>
      <c r="D574" s="18" t="s">
        <v>2598</v>
      </c>
      <c r="E574" s="18" t="n">
        <v>0</v>
      </c>
      <c r="F574" s="18" t="s">
        <v>1003</v>
      </c>
      <c r="G574" s="18" t="s">
        <v>116</v>
      </c>
      <c r="H574" s="18" t="s">
        <v>109</v>
      </c>
      <c r="I574" s="18"/>
      <c r="J574" s="18"/>
      <c r="K574" s="18"/>
      <c r="L574" s="18" t="s">
        <v>109</v>
      </c>
      <c r="M574" s="18" t="s">
        <v>109</v>
      </c>
      <c r="N574" s="18"/>
      <c r="O574" s="18"/>
      <c r="P574" s="18" t="s">
        <v>2613</v>
      </c>
      <c r="Q574" s="18" t="s">
        <v>123</v>
      </c>
      <c r="R574" s="18" t="s">
        <v>2614</v>
      </c>
      <c r="S574" s="18" t="s">
        <v>125</v>
      </c>
      <c r="T574" s="18" t="s">
        <v>2615</v>
      </c>
      <c r="U574" s="18"/>
      <c r="V574" s="19" t="s">
        <v>29</v>
      </c>
      <c r="W574" s="19"/>
      <c r="X574" s="19"/>
      <c r="Y574" s="20"/>
      <c r="Z574" s="19"/>
      <c r="AA574" s="18" t="str">
        <f aca="false">IF(OR(V574="Aprobada"),R574,IF(AND(OR(V574="Aprobada con ajuste",V574="Rechazada"),W574&lt;&gt;""),W574,""))</f>
        <v/>
      </c>
    </row>
    <row r="575" customFormat="false" ht="32.8" hidden="false" customHeight="false" outlineLevel="0" collapsed="false">
      <c r="A575" s="18" t="s">
        <v>2616</v>
      </c>
      <c r="B575" s="18" t="s">
        <v>60</v>
      </c>
      <c r="C575" s="18" t="s">
        <v>61</v>
      </c>
      <c r="D575" s="18" t="s">
        <v>2598</v>
      </c>
      <c r="E575" s="18" t="n">
        <v>0</v>
      </c>
      <c r="F575" s="18" t="s">
        <v>107</v>
      </c>
      <c r="G575" s="18" t="s">
        <v>151</v>
      </c>
      <c r="H575" s="18" t="s">
        <v>109</v>
      </c>
      <c r="I575" s="18" t="s">
        <v>140</v>
      </c>
      <c r="J575" s="18" t="s">
        <v>2617</v>
      </c>
      <c r="K575" s="18"/>
      <c r="L575" s="18" t="s">
        <v>117</v>
      </c>
      <c r="M575" s="18" t="s">
        <v>109</v>
      </c>
      <c r="N575" s="18"/>
      <c r="O575" s="18" t="s">
        <v>2618</v>
      </c>
      <c r="P575" s="18" t="s">
        <v>2619</v>
      </c>
      <c r="Q575" s="18" t="s">
        <v>123</v>
      </c>
      <c r="R575" s="18" t="s">
        <v>2620</v>
      </c>
      <c r="S575" s="18" t="s">
        <v>125</v>
      </c>
      <c r="T575" s="18" t="s">
        <v>2621</v>
      </c>
      <c r="U575" s="18"/>
      <c r="V575" s="19" t="s">
        <v>29</v>
      </c>
      <c r="W575" s="19"/>
      <c r="X575" s="19"/>
      <c r="Y575" s="20"/>
      <c r="Z575" s="19"/>
      <c r="AA575" s="18" t="str">
        <f aca="false">IF(OR(V575="Aprobada"),R575,IF(AND(OR(V575="Aprobada con ajuste",V575="Rechazada"),W575&lt;&gt;""),W575,""))</f>
        <v/>
      </c>
    </row>
    <row r="576" customFormat="false" ht="53.7" hidden="false" customHeight="false" outlineLevel="0" collapsed="false">
      <c r="A576" s="18" t="s">
        <v>2622</v>
      </c>
      <c r="B576" s="18" t="s">
        <v>60</v>
      </c>
      <c r="C576" s="18" t="s">
        <v>61</v>
      </c>
      <c r="D576" s="18" t="s">
        <v>2598</v>
      </c>
      <c r="E576" s="18" t="n">
        <v>0</v>
      </c>
      <c r="F576" s="18" t="s">
        <v>2623</v>
      </c>
      <c r="G576" s="18" t="s">
        <v>1509</v>
      </c>
      <c r="H576" s="18" t="s">
        <v>117</v>
      </c>
      <c r="I576" s="18" t="s">
        <v>140</v>
      </c>
      <c r="J576" s="18"/>
      <c r="K576" s="18"/>
      <c r="L576" s="18" t="s">
        <v>109</v>
      </c>
      <c r="M576" s="18" t="s">
        <v>109</v>
      </c>
      <c r="N576" s="18"/>
      <c r="O576" s="18"/>
      <c r="P576" s="18" t="s">
        <v>2624</v>
      </c>
      <c r="Q576" s="18" t="s">
        <v>123</v>
      </c>
      <c r="R576" s="18" t="s">
        <v>2625</v>
      </c>
      <c r="S576" s="18" t="s">
        <v>112</v>
      </c>
      <c r="T576" s="18" t="s">
        <v>2626</v>
      </c>
      <c r="U576" s="18" t="s">
        <v>2627</v>
      </c>
      <c r="V576" s="19" t="s">
        <v>29</v>
      </c>
      <c r="W576" s="19"/>
      <c r="X576" s="19"/>
      <c r="Y576" s="20"/>
      <c r="Z576" s="19"/>
      <c r="AA576" s="18" t="str">
        <f aca="false">IF(OR(V576="Aprobada"),R576,IF(AND(OR(V576="Aprobada con ajuste",V576="Rechazada"),W576&lt;&gt;""),W576,""))</f>
        <v/>
      </c>
    </row>
    <row r="577" customFormat="false" ht="95.5" hidden="false" customHeight="false" outlineLevel="0" collapsed="false">
      <c r="A577" s="18" t="s">
        <v>2628</v>
      </c>
      <c r="B577" s="18" t="s">
        <v>60</v>
      </c>
      <c r="C577" s="18" t="s">
        <v>61</v>
      </c>
      <c r="D577" s="18" t="s">
        <v>2598</v>
      </c>
      <c r="E577" s="18" t="n">
        <v>0</v>
      </c>
      <c r="F577" s="18" t="s">
        <v>2629</v>
      </c>
      <c r="G577" s="18" t="s">
        <v>1509</v>
      </c>
      <c r="H577" s="18" t="s">
        <v>117</v>
      </c>
      <c r="I577" s="18"/>
      <c r="J577" s="18"/>
      <c r="K577" s="18"/>
      <c r="L577" s="18" t="s">
        <v>109</v>
      </c>
      <c r="M577" s="18" t="s">
        <v>109</v>
      </c>
      <c r="N577" s="18"/>
      <c r="O577" s="18"/>
      <c r="P577" s="18" t="s">
        <v>2630</v>
      </c>
      <c r="Q577" s="18" t="s">
        <v>123</v>
      </c>
      <c r="R577" s="18" t="s">
        <v>2631</v>
      </c>
      <c r="S577" s="18" t="s">
        <v>125</v>
      </c>
      <c r="T577" s="18" t="s">
        <v>2632</v>
      </c>
      <c r="U577" s="18" t="s">
        <v>1646</v>
      </c>
      <c r="V577" s="19" t="s">
        <v>29</v>
      </c>
      <c r="W577" s="19"/>
      <c r="X577" s="19"/>
      <c r="Y577" s="20"/>
      <c r="Z577" s="19"/>
      <c r="AA577" s="18" t="str">
        <f aca="false">IF(OR(V577="Aprobada"),R577,IF(AND(OR(V577="Aprobada con ajuste",V577="Rechazada"),W577&lt;&gt;""),W577,""))</f>
        <v/>
      </c>
    </row>
    <row r="578" customFormat="false" ht="32.8" hidden="false" customHeight="false" outlineLevel="0" collapsed="false">
      <c r="A578" s="18" t="s">
        <v>2633</v>
      </c>
      <c r="B578" s="18" t="s">
        <v>60</v>
      </c>
      <c r="C578" s="18" t="s">
        <v>61</v>
      </c>
      <c r="D578" s="18" t="s">
        <v>2598</v>
      </c>
      <c r="E578" s="18" t="n">
        <v>0</v>
      </c>
      <c r="F578" s="18" t="s">
        <v>2634</v>
      </c>
      <c r="G578" s="18" t="s">
        <v>1509</v>
      </c>
      <c r="H578" s="18" t="s">
        <v>117</v>
      </c>
      <c r="I578" s="18"/>
      <c r="J578" s="18"/>
      <c r="K578" s="18"/>
      <c r="L578" s="18" t="s">
        <v>109</v>
      </c>
      <c r="M578" s="18" t="s">
        <v>109</v>
      </c>
      <c r="N578" s="18"/>
      <c r="O578" s="18"/>
      <c r="P578" s="18" t="s">
        <v>2635</v>
      </c>
      <c r="Q578" s="18" t="s">
        <v>123</v>
      </c>
      <c r="R578" s="18" t="s">
        <v>2636</v>
      </c>
      <c r="S578" s="18" t="s">
        <v>125</v>
      </c>
      <c r="T578" s="18" t="s">
        <v>2637</v>
      </c>
      <c r="U578" s="18"/>
      <c r="V578" s="19" t="s">
        <v>29</v>
      </c>
      <c r="W578" s="19"/>
      <c r="X578" s="19"/>
      <c r="Y578" s="20"/>
      <c r="Z578" s="19"/>
      <c r="AA578" s="18" t="str">
        <f aca="false">IF(OR(V578="Aprobada"),R578,IF(AND(OR(V578="Aprobada con ajuste",V578="Rechazada"),W578&lt;&gt;""),W578,""))</f>
        <v/>
      </c>
    </row>
    <row r="579" customFormat="false" ht="32.8" hidden="false" customHeight="false" outlineLevel="0" collapsed="false">
      <c r="A579" s="18" t="s">
        <v>2638</v>
      </c>
      <c r="B579" s="18" t="s">
        <v>60</v>
      </c>
      <c r="C579" s="18" t="s">
        <v>61</v>
      </c>
      <c r="D579" s="18" t="s">
        <v>2598</v>
      </c>
      <c r="E579" s="18" t="n">
        <v>0</v>
      </c>
      <c r="F579" s="18" t="s">
        <v>2639</v>
      </c>
      <c r="G579" s="18" t="s">
        <v>2640</v>
      </c>
      <c r="H579" s="18" t="s">
        <v>117</v>
      </c>
      <c r="I579" s="18"/>
      <c r="J579" s="18"/>
      <c r="K579" s="18"/>
      <c r="L579" s="18" t="s">
        <v>109</v>
      </c>
      <c r="M579" s="18" t="s">
        <v>109</v>
      </c>
      <c r="N579" s="18"/>
      <c r="O579" s="18"/>
      <c r="P579" s="18" t="s">
        <v>2641</v>
      </c>
      <c r="Q579" s="18" t="s">
        <v>123</v>
      </c>
      <c r="R579" s="18" t="s">
        <v>2642</v>
      </c>
      <c r="S579" s="18" t="s">
        <v>112</v>
      </c>
      <c r="T579" s="18" t="s">
        <v>2643</v>
      </c>
      <c r="U579" s="18" t="s">
        <v>2644</v>
      </c>
      <c r="V579" s="19" t="s">
        <v>29</v>
      </c>
      <c r="W579" s="19"/>
      <c r="X579" s="19"/>
      <c r="Y579" s="20"/>
      <c r="Z579" s="19"/>
      <c r="AA579" s="18" t="str">
        <f aca="false">IF(OR(V579="Aprobada"),R579,IF(AND(OR(V579="Aprobada con ajuste",V579="Rechazada"),W579&lt;&gt;""),W579,""))</f>
        <v/>
      </c>
    </row>
    <row r="580" customFormat="false" ht="22.35" hidden="false" customHeight="false" outlineLevel="0" collapsed="false">
      <c r="A580" s="18" t="s">
        <v>2645</v>
      </c>
      <c r="B580" s="18" t="s">
        <v>60</v>
      </c>
      <c r="C580" s="18" t="s">
        <v>61</v>
      </c>
      <c r="D580" s="18" t="s">
        <v>2598</v>
      </c>
      <c r="E580" s="18" t="n">
        <v>0</v>
      </c>
      <c r="F580" s="18" t="s">
        <v>2646</v>
      </c>
      <c r="G580" s="18" t="s">
        <v>459</v>
      </c>
      <c r="H580" s="18" t="s">
        <v>117</v>
      </c>
      <c r="I580" s="18"/>
      <c r="J580" s="18"/>
      <c r="K580" s="18"/>
      <c r="L580" s="18" t="s">
        <v>109</v>
      </c>
      <c r="M580" s="18" t="s">
        <v>109</v>
      </c>
      <c r="N580" s="18"/>
      <c r="O580" s="18"/>
      <c r="P580" s="18" t="s">
        <v>2647</v>
      </c>
      <c r="Q580" s="18" t="s">
        <v>123</v>
      </c>
      <c r="R580" s="18" t="s">
        <v>2648</v>
      </c>
      <c r="S580" s="18" t="s">
        <v>112</v>
      </c>
      <c r="T580" s="18" t="s">
        <v>2290</v>
      </c>
      <c r="U580" s="18" t="s">
        <v>1532</v>
      </c>
      <c r="V580" s="19" t="s">
        <v>29</v>
      </c>
      <c r="W580" s="19"/>
      <c r="X580" s="19"/>
      <c r="Y580" s="20"/>
      <c r="Z580" s="19"/>
      <c r="AA580" s="18" t="str">
        <f aca="false">IF(OR(V580="Aprobada"),R580,IF(AND(OR(V580="Aprobada con ajuste",V580="Rechazada"),W580&lt;&gt;""),W580,""))</f>
        <v/>
      </c>
    </row>
    <row r="581" customFormat="false" ht="22.35" hidden="false" customHeight="false" outlineLevel="0" collapsed="false">
      <c r="A581" s="18" t="s">
        <v>2649</v>
      </c>
      <c r="B581" s="18" t="s">
        <v>60</v>
      </c>
      <c r="C581" s="18" t="s">
        <v>61</v>
      </c>
      <c r="D581" s="18" t="s">
        <v>2598</v>
      </c>
      <c r="E581" s="18" t="n">
        <v>0</v>
      </c>
      <c r="F581" s="18" t="s">
        <v>2650</v>
      </c>
      <c r="G581" s="18" t="s">
        <v>459</v>
      </c>
      <c r="H581" s="18" t="s">
        <v>117</v>
      </c>
      <c r="I581" s="18"/>
      <c r="J581" s="18"/>
      <c r="K581" s="18"/>
      <c r="L581" s="18" t="s">
        <v>109</v>
      </c>
      <c r="M581" s="18" t="s">
        <v>109</v>
      </c>
      <c r="N581" s="18"/>
      <c r="O581" s="18"/>
      <c r="P581" s="18" t="s">
        <v>2651</v>
      </c>
      <c r="Q581" s="18" t="s">
        <v>123</v>
      </c>
      <c r="R581" s="18" t="s">
        <v>2652</v>
      </c>
      <c r="S581" s="18" t="s">
        <v>112</v>
      </c>
      <c r="T581" s="18" t="s">
        <v>2290</v>
      </c>
      <c r="U581" s="18" t="s">
        <v>1532</v>
      </c>
      <c r="V581" s="19" t="s">
        <v>29</v>
      </c>
      <c r="W581" s="19"/>
      <c r="X581" s="19"/>
      <c r="Y581" s="20"/>
      <c r="Z581" s="19"/>
      <c r="AA581" s="18" t="str">
        <f aca="false">IF(OR(V581="Aprobada"),R581,IF(AND(OR(V581="Aprobada con ajuste",V581="Rechazada"),W581&lt;&gt;""),W581,""))</f>
        <v/>
      </c>
    </row>
    <row r="582" customFormat="false" ht="22.35" hidden="false" customHeight="false" outlineLevel="0" collapsed="false">
      <c r="A582" s="18" t="s">
        <v>2653</v>
      </c>
      <c r="B582" s="18" t="s">
        <v>60</v>
      </c>
      <c r="C582" s="18" t="s">
        <v>61</v>
      </c>
      <c r="D582" s="18" t="s">
        <v>2598</v>
      </c>
      <c r="E582" s="18" t="n">
        <v>0</v>
      </c>
      <c r="F582" s="18" t="s">
        <v>2654</v>
      </c>
      <c r="G582" s="18" t="s">
        <v>184</v>
      </c>
      <c r="H582" s="18" t="s">
        <v>117</v>
      </c>
      <c r="I582" s="18" t="s">
        <v>140</v>
      </c>
      <c r="J582" s="18"/>
      <c r="K582" s="18"/>
      <c r="L582" s="18" t="s">
        <v>109</v>
      </c>
      <c r="M582" s="18" t="s">
        <v>109</v>
      </c>
      <c r="N582" s="18"/>
      <c r="O582" s="18"/>
      <c r="P582" s="18" t="s">
        <v>2655</v>
      </c>
      <c r="Q582" s="18" t="s">
        <v>123</v>
      </c>
      <c r="R582" s="18" t="s">
        <v>2656</v>
      </c>
      <c r="S582" s="18" t="s">
        <v>125</v>
      </c>
      <c r="T582" s="18" t="s">
        <v>2290</v>
      </c>
      <c r="U582" s="18"/>
      <c r="V582" s="19" t="s">
        <v>29</v>
      </c>
      <c r="W582" s="19"/>
      <c r="X582" s="19"/>
      <c r="Y582" s="20"/>
      <c r="Z582" s="19"/>
      <c r="AA582" s="18" t="str">
        <f aca="false">IF(OR(V582="Aprobada"),R582,IF(AND(OR(V582="Aprobada con ajuste",V582="Rechazada"),W582&lt;&gt;""),W582,""))</f>
        <v/>
      </c>
    </row>
    <row r="583" customFormat="false" ht="22.35" hidden="false" customHeight="false" outlineLevel="0" collapsed="false">
      <c r="A583" s="18" t="s">
        <v>2657</v>
      </c>
      <c r="B583" s="18" t="s">
        <v>60</v>
      </c>
      <c r="C583" s="18" t="s">
        <v>61</v>
      </c>
      <c r="D583" s="18" t="s">
        <v>2598</v>
      </c>
      <c r="E583" s="18" t="n">
        <v>0</v>
      </c>
      <c r="F583" s="18" t="s">
        <v>2137</v>
      </c>
      <c r="G583" s="18" t="s">
        <v>184</v>
      </c>
      <c r="H583" s="18" t="s">
        <v>117</v>
      </c>
      <c r="I583" s="18" t="s">
        <v>140</v>
      </c>
      <c r="J583" s="18"/>
      <c r="K583" s="18"/>
      <c r="L583" s="18" t="s">
        <v>109</v>
      </c>
      <c r="M583" s="18" t="s">
        <v>109</v>
      </c>
      <c r="N583" s="18"/>
      <c r="O583" s="18"/>
      <c r="P583" s="18" t="s">
        <v>2658</v>
      </c>
      <c r="Q583" s="18" t="s">
        <v>123</v>
      </c>
      <c r="R583" s="18" t="s">
        <v>2659</v>
      </c>
      <c r="S583" s="18" t="s">
        <v>125</v>
      </c>
      <c r="T583" s="18" t="s">
        <v>2290</v>
      </c>
      <c r="U583" s="18"/>
      <c r="V583" s="19" t="s">
        <v>29</v>
      </c>
      <c r="W583" s="19"/>
      <c r="X583" s="19"/>
      <c r="Y583" s="20"/>
      <c r="Z583" s="19"/>
      <c r="AA583" s="18" t="str">
        <f aca="false">IF(OR(V583="Aprobada"),R583,IF(AND(OR(V583="Aprobada con ajuste",V583="Rechazada"),W583&lt;&gt;""),W583,""))</f>
        <v/>
      </c>
    </row>
    <row r="584" customFormat="false" ht="22.35" hidden="false" customHeight="false" outlineLevel="0" collapsed="false">
      <c r="A584" s="18" t="s">
        <v>2660</v>
      </c>
      <c r="B584" s="18" t="s">
        <v>60</v>
      </c>
      <c r="C584" s="18" t="s">
        <v>61</v>
      </c>
      <c r="D584" s="18" t="s">
        <v>2598</v>
      </c>
      <c r="E584" s="18" t="n">
        <v>0</v>
      </c>
      <c r="F584" s="18" t="s">
        <v>2142</v>
      </c>
      <c r="G584" s="18" t="s">
        <v>459</v>
      </c>
      <c r="H584" s="18" t="s">
        <v>117</v>
      </c>
      <c r="I584" s="18"/>
      <c r="J584" s="18"/>
      <c r="K584" s="18"/>
      <c r="L584" s="18" t="s">
        <v>109</v>
      </c>
      <c r="M584" s="18" t="s">
        <v>109</v>
      </c>
      <c r="N584" s="18"/>
      <c r="O584" s="18"/>
      <c r="P584" s="18" t="s">
        <v>2661</v>
      </c>
      <c r="Q584" s="18" t="s">
        <v>123</v>
      </c>
      <c r="R584" s="18" t="s">
        <v>2662</v>
      </c>
      <c r="S584" s="18" t="s">
        <v>112</v>
      </c>
      <c r="T584" s="18" t="s">
        <v>2290</v>
      </c>
      <c r="U584" s="18" t="s">
        <v>1532</v>
      </c>
      <c r="V584" s="19" t="s">
        <v>29</v>
      </c>
      <c r="W584" s="19"/>
      <c r="X584" s="19"/>
      <c r="Y584" s="20"/>
      <c r="Z584" s="19"/>
      <c r="AA584" s="18" t="str">
        <f aca="false">IF(OR(V584="Aprobada"),R584,IF(AND(OR(V584="Aprobada con ajuste",V584="Rechazada"),W584&lt;&gt;""),W584,""))</f>
        <v/>
      </c>
    </row>
    <row r="585" customFormat="false" ht="22.35" hidden="false" customHeight="false" outlineLevel="0" collapsed="false">
      <c r="A585" s="18" t="s">
        <v>2663</v>
      </c>
      <c r="B585" s="18" t="s">
        <v>60</v>
      </c>
      <c r="C585" s="18" t="s">
        <v>61</v>
      </c>
      <c r="D585" s="18" t="s">
        <v>2598</v>
      </c>
      <c r="E585" s="18" t="n">
        <v>0</v>
      </c>
      <c r="F585" s="18" t="s">
        <v>1548</v>
      </c>
      <c r="G585" s="18" t="s">
        <v>116</v>
      </c>
      <c r="H585" s="18" t="s">
        <v>117</v>
      </c>
      <c r="I585" s="18" t="s">
        <v>140</v>
      </c>
      <c r="J585" s="18"/>
      <c r="K585" s="18"/>
      <c r="L585" s="18" t="s">
        <v>109</v>
      </c>
      <c r="M585" s="18" t="s">
        <v>109</v>
      </c>
      <c r="N585" s="18"/>
      <c r="O585" s="18"/>
      <c r="P585" s="18" t="s">
        <v>2664</v>
      </c>
      <c r="Q585" s="18" t="s">
        <v>123</v>
      </c>
      <c r="R585" s="18" t="s">
        <v>2665</v>
      </c>
      <c r="S585" s="18" t="s">
        <v>125</v>
      </c>
      <c r="T585" s="18" t="s">
        <v>2290</v>
      </c>
      <c r="U585" s="18"/>
      <c r="V585" s="19" t="s">
        <v>29</v>
      </c>
      <c r="W585" s="19"/>
      <c r="X585" s="19"/>
      <c r="Y585" s="20"/>
      <c r="Z585" s="19"/>
      <c r="AA585" s="18" t="str">
        <f aca="false">IF(OR(V585="Aprobada"),R585,IF(AND(OR(V585="Aprobada con ajuste",V585="Rechazada"),W585&lt;&gt;""),W585,""))</f>
        <v/>
      </c>
    </row>
    <row r="586" customFormat="false" ht="53.7" hidden="false" customHeight="false" outlineLevel="0" collapsed="false">
      <c r="A586" s="18" t="s">
        <v>2666</v>
      </c>
      <c r="B586" s="18" t="s">
        <v>60</v>
      </c>
      <c r="C586" s="18" t="s">
        <v>61</v>
      </c>
      <c r="D586" s="18" t="s">
        <v>2598</v>
      </c>
      <c r="E586" s="18" t="n">
        <v>0</v>
      </c>
      <c r="F586" s="18" t="s">
        <v>2667</v>
      </c>
      <c r="G586" s="18" t="s">
        <v>139</v>
      </c>
      <c r="H586" s="18" t="s">
        <v>117</v>
      </c>
      <c r="I586" s="18"/>
      <c r="J586" s="18"/>
      <c r="K586" s="18"/>
      <c r="L586" s="18" t="s">
        <v>109</v>
      </c>
      <c r="M586" s="18" t="s">
        <v>109</v>
      </c>
      <c r="N586" s="18"/>
      <c r="O586" s="18"/>
      <c r="P586" s="18" t="s">
        <v>2668</v>
      </c>
      <c r="Q586" s="18" t="s">
        <v>123</v>
      </c>
      <c r="R586" s="18" t="s">
        <v>2669</v>
      </c>
      <c r="S586" s="18" t="s">
        <v>125</v>
      </c>
      <c r="T586" s="18" t="s">
        <v>2670</v>
      </c>
      <c r="U586" s="18" t="s">
        <v>2671</v>
      </c>
      <c r="V586" s="19" t="s">
        <v>29</v>
      </c>
      <c r="W586" s="19"/>
      <c r="X586" s="19"/>
      <c r="Y586" s="20"/>
      <c r="Z586" s="19"/>
      <c r="AA586" s="18" t="str">
        <f aca="false">IF(OR(V586="Aprobada"),R586,IF(AND(OR(V586="Aprobada con ajuste",V586="Rechazada"),W586&lt;&gt;""),W586,""))</f>
        <v/>
      </c>
    </row>
    <row r="587" customFormat="false" ht="22.35" hidden="false" customHeight="false" outlineLevel="0" collapsed="false">
      <c r="A587" s="18" t="s">
        <v>2672</v>
      </c>
      <c r="B587" s="18" t="s">
        <v>60</v>
      </c>
      <c r="C587" s="18" t="s">
        <v>61</v>
      </c>
      <c r="D587" s="18" t="s">
        <v>2598</v>
      </c>
      <c r="E587" s="18" t="n">
        <v>0</v>
      </c>
      <c r="F587" s="18" t="s">
        <v>2673</v>
      </c>
      <c r="G587" s="18" t="s">
        <v>139</v>
      </c>
      <c r="H587" s="18" t="s">
        <v>117</v>
      </c>
      <c r="I587" s="18"/>
      <c r="J587" s="18"/>
      <c r="K587" s="18"/>
      <c r="L587" s="18" t="s">
        <v>109</v>
      </c>
      <c r="M587" s="18" t="s">
        <v>109</v>
      </c>
      <c r="N587" s="18"/>
      <c r="O587" s="18"/>
      <c r="P587" s="18" t="s">
        <v>2674</v>
      </c>
      <c r="Q587" s="18" t="s">
        <v>123</v>
      </c>
      <c r="R587" s="18" t="s">
        <v>2675</v>
      </c>
      <c r="S587" s="18" t="s">
        <v>112</v>
      </c>
      <c r="T587" s="18" t="s">
        <v>2676</v>
      </c>
      <c r="U587" s="18" t="s">
        <v>2677</v>
      </c>
      <c r="V587" s="19" t="s">
        <v>29</v>
      </c>
      <c r="W587" s="19"/>
      <c r="X587" s="19"/>
      <c r="Y587" s="20"/>
      <c r="Z587" s="19"/>
      <c r="AA587" s="18" t="str">
        <f aca="false">IF(OR(V587="Aprobada"),R587,IF(AND(OR(V587="Aprobada con ajuste",V587="Rechazada"),W587&lt;&gt;""),W587,""))</f>
        <v/>
      </c>
    </row>
    <row r="588" customFormat="false" ht="43.25" hidden="false" customHeight="false" outlineLevel="0" collapsed="false">
      <c r="A588" s="18" t="s">
        <v>2678</v>
      </c>
      <c r="B588" s="18" t="s">
        <v>60</v>
      </c>
      <c r="C588" s="18" t="s">
        <v>61</v>
      </c>
      <c r="D588" s="18" t="s">
        <v>2598</v>
      </c>
      <c r="E588" s="18" t="n">
        <v>0</v>
      </c>
      <c r="F588" s="18" t="s">
        <v>2679</v>
      </c>
      <c r="G588" s="18" t="s">
        <v>394</v>
      </c>
      <c r="H588" s="18" t="s">
        <v>117</v>
      </c>
      <c r="I588" s="18" t="s">
        <v>140</v>
      </c>
      <c r="J588" s="18"/>
      <c r="K588" s="18"/>
      <c r="L588" s="18" t="s">
        <v>109</v>
      </c>
      <c r="M588" s="18" t="s">
        <v>109</v>
      </c>
      <c r="N588" s="18"/>
      <c r="O588" s="18"/>
      <c r="P588" s="18" t="s">
        <v>2680</v>
      </c>
      <c r="Q588" s="18" t="s">
        <v>123</v>
      </c>
      <c r="R588" s="18" t="s">
        <v>2681</v>
      </c>
      <c r="S588" s="18" t="s">
        <v>125</v>
      </c>
      <c r="T588" s="18" t="s">
        <v>2682</v>
      </c>
      <c r="U588" s="18"/>
      <c r="V588" s="19" t="s">
        <v>29</v>
      </c>
      <c r="W588" s="19"/>
      <c r="X588" s="19"/>
      <c r="Y588" s="20"/>
      <c r="Z588" s="19"/>
      <c r="AA588" s="18" t="str">
        <f aca="false">IF(OR(V588="Aprobada"),R588,IF(AND(OR(V588="Aprobada con ajuste",V588="Rechazada"),W588&lt;&gt;""),W588,""))</f>
        <v/>
      </c>
    </row>
    <row r="589" customFormat="false" ht="43.25" hidden="false" customHeight="false" outlineLevel="0" collapsed="false">
      <c r="A589" s="18" t="s">
        <v>2683</v>
      </c>
      <c r="B589" s="18" t="s">
        <v>60</v>
      </c>
      <c r="C589" s="18" t="s">
        <v>61</v>
      </c>
      <c r="D589" s="18" t="s">
        <v>2598</v>
      </c>
      <c r="E589" s="18" t="n">
        <v>0</v>
      </c>
      <c r="F589" s="18" t="s">
        <v>2684</v>
      </c>
      <c r="G589" s="18" t="s">
        <v>394</v>
      </c>
      <c r="H589" s="18" t="s">
        <v>117</v>
      </c>
      <c r="I589" s="18" t="s">
        <v>140</v>
      </c>
      <c r="J589" s="18"/>
      <c r="K589" s="18"/>
      <c r="L589" s="18" t="s">
        <v>109</v>
      </c>
      <c r="M589" s="18" t="s">
        <v>109</v>
      </c>
      <c r="N589" s="18"/>
      <c r="O589" s="18"/>
      <c r="P589" s="18" t="s">
        <v>2685</v>
      </c>
      <c r="Q589" s="18" t="s">
        <v>123</v>
      </c>
      <c r="R589" s="18" t="s">
        <v>2686</v>
      </c>
      <c r="S589" s="18" t="s">
        <v>125</v>
      </c>
      <c r="T589" s="18" t="s">
        <v>2687</v>
      </c>
      <c r="U589" s="18" t="s">
        <v>2688</v>
      </c>
      <c r="V589" s="19" t="s">
        <v>29</v>
      </c>
      <c r="W589" s="19"/>
      <c r="X589" s="19"/>
      <c r="Y589" s="20"/>
      <c r="Z589" s="19"/>
      <c r="AA589" s="18" t="str">
        <f aca="false">IF(OR(V589="Aprobada"),R589,IF(AND(OR(V589="Aprobada con ajuste",V589="Rechazada"),W589&lt;&gt;""),W589,""))</f>
        <v/>
      </c>
    </row>
    <row r="590" customFormat="false" ht="43.25" hidden="false" customHeight="false" outlineLevel="0" collapsed="false">
      <c r="A590" s="18" t="s">
        <v>2689</v>
      </c>
      <c r="B590" s="18" t="s">
        <v>60</v>
      </c>
      <c r="C590" s="18" t="s">
        <v>61</v>
      </c>
      <c r="D590" s="18" t="s">
        <v>2598</v>
      </c>
      <c r="E590" s="18" t="n">
        <v>0</v>
      </c>
      <c r="F590" s="18" t="s">
        <v>2690</v>
      </c>
      <c r="G590" s="18" t="s">
        <v>394</v>
      </c>
      <c r="H590" s="18" t="s">
        <v>117</v>
      </c>
      <c r="I590" s="18" t="s">
        <v>140</v>
      </c>
      <c r="J590" s="18"/>
      <c r="K590" s="18"/>
      <c r="L590" s="18" t="s">
        <v>109</v>
      </c>
      <c r="M590" s="18" t="s">
        <v>109</v>
      </c>
      <c r="N590" s="18"/>
      <c r="O590" s="18"/>
      <c r="P590" s="18" t="s">
        <v>2691</v>
      </c>
      <c r="Q590" s="18" t="s">
        <v>123</v>
      </c>
      <c r="R590" s="18" t="s">
        <v>2692</v>
      </c>
      <c r="S590" s="18" t="s">
        <v>125</v>
      </c>
      <c r="T590" s="18" t="s">
        <v>2693</v>
      </c>
      <c r="U590" s="18" t="s">
        <v>2694</v>
      </c>
      <c r="V590" s="19" t="s">
        <v>29</v>
      </c>
      <c r="W590" s="19"/>
      <c r="X590" s="19"/>
      <c r="Y590" s="20"/>
      <c r="Z590" s="19"/>
      <c r="AA590" s="18" t="str">
        <f aca="false">IF(OR(V590="Aprobada"),R590,IF(AND(OR(V590="Aprobada con ajuste",V590="Rechazada"),W590&lt;&gt;""),W590,""))</f>
        <v/>
      </c>
    </row>
    <row r="591" customFormat="false" ht="32.8" hidden="false" customHeight="false" outlineLevel="0" collapsed="false">
      <c r="A591" s="18" t="s">
        <v>2695</v>
      </c>
      <c r="B591" s="18" t="s">
        <v>60</v>
      </c>
      <c r="C591" s="18" t="s">
        <v>61</v>
      </c>
      <c r="D591" s="18" t="s">
        <v>2598</v>
      </c>
      <c r="E591" s="18" t="n">
        <v>0</v>
      </c>
      <c r="F591" s="18" t="s">
        <v>2696</v>
      </c>
      <c r="G591" s="18" t="s">
        <v>133</v>
      </c>
      <c r="H591" s="18" t="s">
        <v>117</v>
      </c>
      <c r="I591" s="18"/>
      <c r="J591" s="18"/>
      <c r="K591" s="18"/>
      <c r="L591" s="18" t="s">
        <v>109</v>
      </c>
      <c r="M591" s="18" t="s">
        <v>109</v>
      </c>
      <c r="N591" s="18"/>
      <c r="O591" s="18"/>
      <c r="P591" s="18" t="s">
        <v>2697</v>
      </c>
      <c r="Q591" s="18" t="s">
        <v>123</v>
      </c>
      <c r="R591" s="18" t="s">
        <v>2698</v>
      </c>
      <c r="S591" s="18" t="s">
        <v>125</v>
      </c>
      <c r="T591" s="18" t="s">
        <v>2699</v>
      </c>
      <c r="U591" s="18"/>
      <c r="V591" s="19" t="s">
        <v>29</v>
      </c>
      <c r="W591" s="19"/>
      <c r="X591" s="19"/>
      <c r="Y591" s="20"/>
      <c r="Z591" s="19"/>
      <c r="AA591" s="18" t="str">
        <f aca="false">IF(OR(V591="Aprobada"),R591,IF(AND(OR(V591="Aprobada con ajuste",V591="Rechazada"),W591&lt;&gt;""),W591,""))</f>
        <v/>
      </c>
    </row>
    <row r="592" customFormat="false" ht="22.35" hidden="false" customHeight="false" outlineLevel="0" collapsed="false">
      <c r="A592" s="18" t="s">
        <v>2700</v>
      </c>
      <c r="B592" s="18" t="s">
        <v>60</v>
      </c>
      <c r="C592" s="18" t="s">
        <v>61</v>
      </c>
      <c r="D592" s="18" t="s">
        <v>2598</v>
      </c>
      <c r="E592" s="18" t="n">
        <v>0</v>
      </c>
      <c r="F592" s="18" t="s">
        <v>2701</v>
      </c>
      <c r="G592" s="18" t="s">
        <v>1802</v>
      </c>
      <c r="H592" s="18" t="s">
        <v>117</v>
      </c>
      <c r="I592" s="18"/>
      <c r="J592" s="18"/>
      <c r="K592" s="18"/>
      <c r="L592" s="18" t="s">
        <v>109</v>
      </c>
      <c r="M592" s="18" t="s">
        <v>109</v>
      </c>
      <c r="N592" s="18"/>
      <c r="O592" s="18"/>
      <c r="P592" s="18" t="s">
        <v>2702</v>
      </c>
      <c r="Q592" s="18" t="s">
        <v>123</v>
      </c>
      <c r="R592" s="18" t="s">
        <v>2703</v>
      </c>
      <c r="S592" s="18" t="s">
        <v>125</v>
      </c>
      <c r="T592" s="18" t="s">
        <v>2300</v>
      </c>
      <c r="U592" s="18"/>
      <c r="V592" s="19" t="s">
        <v>29</v>
      </c>
      <c r="W592" s="19"/>
      <c r="X592" s="19"/>
      <c r="Y592" s="20"/>
      <c r="Z592" s="19"/>
      <c r="AA592" s="18" t="str">
        <f aca="false">IF(OR(V592="Aprobada"),R592,IF(AND(OR(V592="Aprobada con ajuste",V592="Rechazada"),W592&lt;&gt;""),W592,""))</f>
        <v/>
      </c>
    </row>
    <row r="593" customFormat="false" ht="74.6" hidden="false" customHeight="false" outlineLevel="0" collapsed="false">
      <c r="A593" s="18" t="s">
        <v>2704</v>
      </c>
      <c r="B593" s="18" t="s">
        <v>60</v>
      </c>
      <c r="C593" s="18" t="s">
        <v>61</v>
      </c>
      <c r="D593" s="18" t="s">
        <v>2598</v>
      </c>
      <c r="E593" s="18" t="n">
        <v>0</v>
      </c>
      <c r="F593" s="18" t="s">
        <v>2705</v>
      </c>
      <c r="G593" s="18" t="s">
        <v>151</v>
      </c>
      <c r="H593" s="18" t="s">
        <v>117</v>
      </c>
      <c r="I593" s="18"/>
      <c r="J593" s="18"/>
      <c r="K593" s="18"/>
      <c r="L593" s="18" t="s">
        <v>109</v>
      </c>
      <c r="M593" s="18" t="s">
        <v>109</v>
      </c>
      <c r="N593" s="18"/>
      <c r="O593" s="18"/>
      <c r="P593" s="18" t="s">
        <v>2706</v>
      </c>
      <c r="Q593" s="18" t="s">
        <v>123</v>
      </c>
      <c r="R593" s="18" t="s">
        <v>2707</v>
      </c>
      <c r="S593" s="18" t="s">
        <v>125</v>
      </c>
      <c r="T593" s="18" t="s">
        <v>2708</v>
      </c>
      <c r="U593" s="18" t="s">
        <v>2709</v>
      </c>
      <c r="V593" s="19" t="s">
        <v>29</v>
      </c>
      <c r="W593" s="19"/>
      <c r="X593" s="19"/>
      <c r="Y593" s="20"/>
      <c r="Z593" s="19"/>
      <c r="AA593" s="18" t="str">
        <f aca="false">IF(OR(V593="Aprobada"),R593,IF(AND(OR(V593="Aprobada con ajuste",V593="Rechazada"),W593&lt;&gt;""),W593,""))</f>
        <v/>
      </c>
    </row>
    <row r="594" customFormat="false" ht="43.25" hidden="false" customHeight="false" outlineLevel="0" collapsed="false">
      <c r="A594" s="18" t="s">
        <v>2710</v>
      </c>
      <c r="B594" s="18" t="s">
        <v>60</v>
      </c>
      <c r="C594" s="18" t="s">
        <v>61</v>
      </c>
      <c r="D594" s="18" t="s">
        <v>2598</v>
      </c>
      <c r="E594" s="18" t="n">
        <v>0</v>
      </c>
      <c r="F594" s="18" t="s">
        <v>2711</v>
      </c>
      <c r="G594" s="18" t="s">
        <v>133</v>
      </c>
      <c r="H594" s="18" t="s">
        <v>117</v>
      </c>
      <c r="I594" s="18" t="s">
        <v>140</v>
      </c>
      <c r="J594" s="18"/>
      <c r="K594" s="18"/>
      <c r="L594" s="18" t="s">
        <v>109</v>
      </c>
      <c r="M594" s="18" t="s">
        <v>109</v>
      </c>
      <c r="N594" s="18"/>
      <c r="O594" s="18"/>
      <c r="P594" s="18" t="s">
        <v>2712</v>
      </c>
      <c r="Q594" s="18" t="s">
        <v>123</v>
      </c>
      <c r="R594" s="18" t="s">
        <v>2713</v>
      </c>
      <c r="S594" s="18" t="s">
        <v>125</v>
      </c>
      <c r="T594" s="18" t="s">
        <v>2714</v>
      </c>
      <c r="U594" s="18"/>
      <c r="V594" s="19" t="s">
        <v>29</v>
      </c>
      <c r="W594" s="19"/>
      <c r="X594" s="19"/>
      <c r="Y594" s="20"/>
      <c r="Z594" s="19"/>
      <c r="AA594" s="18" t="str">
        <f aca="false">IF(OR(V594="Aprobada"),R594,IF(AND(OR(V594="Aprobada con ajuste",V594="Rechazada"),W594&lt;&gt;""),W594,""))</f>
        <v/>
      </c>
    </row>
    <row r="595" customFormat="false" ht="43.25" hidden="false" customHeight="false" outlineLevel="0" collapsed="false">
      <c r="A595" s="18" t="s">
        <v>2715</v>
      </c>
      <c r="B595" s="18" t="s">
        <v>60</v>
      </c>
      <c r="C595" s="18" t="s">
        <v>61</v>
      </c>
      <c r="D595" s="18" t="s">
        <v>2598</v>
      </c>
      <c r="E595" s="18" t="n">
        <v>0</v>
      </c>
      <c r="F595" s="18" t="s">
        <v>2716</v>
      </c>
      <c r="G595" s="18" t="s">
        <v>1802</v>
      </c>
      <c r="H595" s="18" t="s">
        <v>117</v>
      </c>
      <c r="I595" s="18" t="s">
        <v>140</v>
      </c>
      <c r="J595" s="18"/>
      <c r="K595" s="18"/>
      <c r="L595" s="18" t="s">
        <v>109</v>
      </c>
      <c r="M595" s="18" t="s">
        <v>109</v>
      </c>
      <c r="N595" s="18"/>
      <c r="O595" s="18"/>
      <c r="P595" s="18" t="s">
        <v>2717</v>
      </c>
      <c r="Q595" s="18" t="s">
        <v>123</v>
      </c>
      <c r="R595" s="18" t="s">
        <v>2718</v>
      </c>
      <c r="S595" s="18" t="s">
        <v>125</v>
      </c>
      <c r="T595" s="18" t="s">
        <v>2714</v>
      </c>
      <c r="U595" s="18"/>
      <c r="V595" s="19" t="s">
        <v>29</v>
      </c>
      <c r="W595" s="19"/>
      <c r="X595" s="19"/>
      <c r="Y595" s="20"/>
      <c r="Z595" s="19"/>
      <c r="AA595" s="18" t="str">
        <f aca="false">IF(OR(V595="Aprobada"),R595,IF(AND(OR(V595="Aprobada con ajuste",V595="Rechazada"),W595&lt;&gt;""),W595,""))</f>
        <v/>
      </c>
    </row>
    <row r="596" customFormat="false" ht="53.7" hidden="false" customHeight="false" outlineLevel="0" collapsed="false">
      <c r="A596" s="18" t="s">
        <v>2719</v>
      </c>
      <c r="B596" s="18" t="s">
        <v>60</v>
      </c>
      <c r="C596" s="18" t="s">
        <v>61</v>
      </c>
      <c r="D596" s="18" t="s">
        <v>2598</v>
      </c>
      <c r="E596" s="18" t="n">
        <v>0</v>
      </c>
      <c r="F596" s="18" t="s">
        <v>2720</v>
      </c>
      <c r="G596" s="18" t="s">
        <v>151</v>
      </c>
      <c r="H596" s="18" t="s">
        <v>117</v>
      </c>
      <c r="I596" s="18" t="s">
        <v>140</v>
      </c>
      <c r="J596" s="18" t="s">
        <v>2043</v>
      </c>
      <c r="K596" s="18"/>
      <c r="L596" s="18" t="s">
        <v>117</v>
      </c>
      <c r="M596" s="18" t="s">
        <v>109</v>
      </c>
      <c r="N596" s="18"/>
      <c r="O596" s="18"/>
      <c r="P596" s="18" t="s">
        <v>2721</v>
      </c>
      <c r="Q596" s="18" t="s">
        <v>123</v>
      </c>
      <c r="R596" s="18" t="s">
        <v>2722</v>
      </c>
      <c r="S596" s="18" t="s">
        <v>125</v>
      </c>
      <c r="T596" s="18" t="s">
        <v>2723</v>
      </c>
      <c r="U596" s="18"/>
      <c r="V596" s="19" t="s">
        <v>29</v>
      </c>
      <c r="W596" s="19"/>
      <c r="X596" s="19"/>
      <c r="Y596" s="20"/>
      <c r="Z596" s="19"/>
      <c r="AA596" s="18" t="str">
        <f aca="false">IF(OR(V596="Aprobada"),R596,IF(AND(OR(V596="Aprobada con ajuste",V596="Rechazada"),W596&lt;&gt;""),W596,""))</f>
        <v/>
      </c>
    </row>
    <row r="597" customFormat="false" ht="53.7" hidden="false" customHeight="false" outlineLevel="0" collapsed="false">
      <c r="A597" s="18" t="s">
        <v>2724</v>
      </c>
      <c r="B597" s="18" t="s">
        <v>60</v>
      </c>
      <c r="C597" s="18" t="s">
        <v>61</v>
      </c>
      <c r="D597" s="18" t="s">
        <v>2598</v>
      </c>
      <c r="E597" s="18" t="n">
        <v>0</v>
      </c>
      <c r="F597" s="18" t="s">
        <v>2725</v>
      </c>
      <c r="G597" s="18" t="s">
        <v>394</v>
      </c>
      <c r="H597" s="18" t="s">
        <v>117</v>
      </c>
      <c r="I597" s="18" t="s">
        <v>140</v>
      </c>
      <c r="J597" s="18"/>
      <c r="K597" s="18"/>
      <c r="L597" s="18" t="s">
        <v>109</v>
      </c>
      <c r="M597" s="18" t="s">
        <v>109</v>
      </c>
      <c r="N597" s="18"/>
      <c r="O597" s="18"/>
      <c r="P597" s="18" t="s">
        <v>2726</v>
      </c>
      <c r="Q597" s="18" t="s">
        <v>123</v>
      </c>
      <c r="R597" s="18" t="s">
        <v>2727</v>
      </c>
      <c r="S597" s="18" t="s">
        <v>125</v>
      </c>
      <c r="T597" s="18" t="s">
        <v>2728</v>
      </c>
      <c r="U597" s="18" t="s">
        <v>2729</v>
      </c>
      <c r="V597" s="19" t="s">
        <v>29</v>
      </c>
      <c r="W597" s="19"/>
      <c r="X597" s="19"/>
      <c r="Y597" s="20"/>
      <c r="Z597" s="19"/>
      <c r="AA597" s="18" t="str">
        <f aca="false">IF(OR(V597="Aprobada"),R597,IF(AND(OR(V597="Aprobada con ajuste",V597="Rechazada"),W597&lt;&gt;""),W597,""))</f>
        <v/>
      </c>
    </row>
    <row r="598" customFormat="false" ht="64.15" hidden="false" customHeight="false" outlineLevel="0" collapsed="false">
      <c r="A598" s="18" t="s">
        <v>2730</v>
      </c>
      <c r="B598" s="18" t="s">
        <v>60</v>
      </c>
      <c r="C598" s="18" t="s">
        <v>61</v>
      </c>
      <c r="D598" s="18" t="s">
        <v>2598</v>
      </c>
      <c r="E598" s="18" t="n">
        <v>0</v>
      </c>
      <c r="F598" s="18" t="s">
        <v>2731</v>
      </c>
      <c r="G598" s="18" t="s">
        <v>151</v>
      </c>
      <c r="H598" s="18" t="s">
        <v>117</v>
      </c>
      <c r="I598" s="18"/>
      <c r="J598" s="18"/>
      <c r="K598" s="18"/>
      <c r="L598" s="18" t="s">
        <v>109</v>
      </c>
      <c r="M598" s="18" t="s">
        <v>109</v>
      </c>
      <c r="N598" s="18"/>
      <c r="O598" s="18"/>
      <c r="P598" s="18" t="s">
        <v>2732</v>
      </c>
      <c r="Q598" s="18" t="s">
        <v>123</v>
      </c>
      <c r="R598" s="18" t="s">
        <v>2733</v>
      </c>
      <c r="S598" s="18" t="s">
        <v>125</v>
      </c>
      <c r="T598" s="18" t="s">
        <v>2734</v>
      </c>
      <c r="U598" s="18" t="s">
        <v>2735</v>
      </c>
      <c r="V598" s="19" t="s">
        <v>29</v>
      </c>
      <c r="W598" s="19"/>
      <c r="X598" s="19"/>
      <c r="Y598" s="20"/>
      <c r="Z598" s="19"/>
      <c r="AA598" s="18" t="str">
        <f aca="false">IF(OR(V598="Aprobada"),R598,IF(AND(OR(V598="Aprobada con ajuste",V598="Rechazada"),W598&lt;&gt;""),W598,""))</f>
        <v/>
      </c>
    </row>
    <row r="599" customFormat="false" ht="53.7" hidden="false" customHeight="false" outlineLevel="0" collapsed="false">
      <c r="A599" s="18" t="s">
        <v>2736</v>
      </c>
      <c r="B599" s="18" t="s">
        <v>60</v>
      </c>
      <c r="C599" s="18" t="s">
        <v>61</v>
      </c>
      <c r="D599" s="18" t="s">
        <v>2737</v>
      </c>
      <c r="E599" s="18" t="n">
        <v>4</v>
      </c>
      <c r="F599" s="18" t="s">
        <v>2738</v>
      </c>
      <c r="G599" s="18" t="s">
        <v>459</v>
      </c>
      <c r="H599" s="18" t="s">
        <v>109</v>
      </c>
      <c r="I599" s="18"/>
      <c r="J599" s="18"/>
      <c r="K599" s="18"/>
      <c r="L599" s="18" t="s">
        <v>109</v>
      </c>
      <c r="M599" s="18" t="s">
        <v>109</v>
      </c>
      <c r="N599" s="18"/>
      <c r="O599" s="18"/>
      <c r="P599" s="18" t="s">
        <v>2739</v>
      </c>
      <c r="Q599" s="18" t="s">
        <v>134</v>
      </c>
      <c r="R599" s="18" t="s">
        <v>2740</v>
      </c>
      <c r="S599" s="18" t="s">
        <v>125</v>
      </c>
      <c r="T599" s="18" t="s">
        <v>2741</v>
      </c>
      <c r="U599" s="18"/>
      <c r="V599" s="19" t="s">
        <v>29</v>
      </c>
      <c r="W599" s="19"/>
      <c r="X599" s="19"/>
      <c r="Y599" s="20"/>
      <c r="Z599" s="19"/>
      <c r="AA599" s="18" t="str">
        <f aca="false">IF(OR(V599="Aprobada"),R599,IF(AND(OR(V599="Aprobada con ajuste",V599="Rechazada"),W599&lt;&gt;""),W599,""))</f>
        <v/>
      </c>
    </row>
    <row r="600" customFormat="false" ht="95.5" hidden="false" customHeight="false" outlineLevel="0" collapsed="false">
      <c r="A600" s="18" t="s">
        <v>2742</v>
      </c>
      <c r="B600" s="18" t="s">
        <v>60</v>
      </c>
      <c r="C600" s="18" t="s">
        <v>61</v>
      </c>
      <c r="D600" s="18" t="s">
        <v>2737</v>
      </c>
      <c r="E600" s="18" t="n">
        <v>4</v>
      </c>
      <c r="F600" s="18" t="s">
        <v>2554</v>
      </c>
      <c r="G600" s="18" t="s">
        <v>167</v>
      </c>
      <c r="H600" s="18" t="s">
        <v>117</v>
      </c>
      <c r="I600" s="18"/>
      <c r="J600" s="18"/>
      <c r="K600" s="18"/>
      <c r="L600" s="18" t="s">
        <v>109</v>
      </c>
      <c r="M600" s="18" t="s">
        <v>109</v>
      </c>
      <c r="N600" s="18"/>
      <c r="O600" s="18"/>
      <c r="P600" s="18" t="s">
        <v>2743</v>
      </c>
      <c r="Q600" s="18" t="s">
        <v>123</v>
      </c>
      <c r="R600" s="18" t="s">
        <v>2744</v>
      </c>
      <c r="S600" s="18" t="s">
        <v>125</v>
      </c>
      <c r="T600" s="18" t="s">
        <v>2745</v>
      </c>
      <c r="U600" s="18"/>
      <c r="V600" s="19" t="s">
        <v>29</v>
      </c>
      <c r="W600" s="19"/>
      <c r="X600" s="19"/>
      <c r="Y600" s="20"/>
      <c r="Z600" s="19"/>
      <c r="AA600" s="18" t="str">
        <f aca="false">IF(OR(V600="Aprobada"),R600,IF(AND(OR(V600="Aprobada con ajuste",V600="Rechazada"),W600&lt;&gt;""),W600,""))</f>
        <v/>
      </c>
    </row>
    <row r="601" customFormat="false" ht="95.5" hidden="false" customHeight="false" outlineLevel="0" collapsed="false">
      <c r="A601" s="18" t="s">
        <v>2746</v>
      </c>
      <c r="B601" s="18" t="s">
        <v>60</v>
      </c>
      <c r="C601" s="18" t="s">
        <v>61</v>
      </c>
      <c r="D601" s="18" t="s">
        <v>2737</v>
      </c>
      <c r="E601" s="18" t="n">
        <v>4</v>
      </c>
      <c r="F601" s="18" t="s">
        <v>2560</v>
      </c>
      <c r="G601" s="18" t="s">
        <v>394</v>
      </c>
      <c r="H601" s="18" t="s">
        <v>109</v>
      </c>
      <c r="I601" s="18"/>
      <c r="J601" s="18"/>
      <c r="K601" s="18"/>
      <c r="L601" s="18" t="s">
        <v>109</v>
      </c>
      <c r="M601" s="18" t="s">
        <v>109</v>
      </c>
      <c r="N601" s="18"/>
      <c r="O601" s="18"/>
      <c r="P601" s="18" t="s">
        <v>2747</v>
      </c>
      <c r="Q601" s="18" t="s">
        <v>123</v>
      </c>
      <c r="R601" s="18" t="s">
        <v>2748</v>
      </c>
      <c r="S601" s="18" t="s">
        <v>125</v>
      </c>
      <c r="T601" s="18" t="s">
        <v>2749</v>
      </c>
      <c r="U601" s="18"/>
      <c r="V601" s="19" t="s">
        <v>29</v>
      </c>
      <c r="W601" s="19"/>
      <c r="X601" s="19"/>
      <c r="Y601" s="20"/>
      <c r="Z601" s="19"/>
      <c r="AA601" s="18" t="str">
        <f aca="false">IF(OR(V601="Aprobada"),R601,IF(AND(OR(V601="Aprobada con ajuste",V601="Rechazada"),W601&lt;&gt;""),W601,""))</f>
        <v/>
      </c>
    </row>
    <row r="602" customFormat="false" ht="53.7" hidden="false" customHeight="false" outlineLevel="0" collapsed="false">
      <c r="A602" s="18" t="s">
        <v>2750</v>
      </c>
      <c r="B602" s="18" t="s">
        <v>60</v>
      </c>
      <c r="C602" s="18" t="s">
        <v>61</v>
      </c>
      <c r="D602" s="18" t="s">
        <v>2737</v>
      </c>
      <c r="E602" s="18" t="n">
        <v>4</v>
      </c>
      <c r="F602" s="18" t="s">
        <v>2751</v>
      </c>
      <c r="G602" s="18" t="s">
        <v>1802</v>
      </c>
      <c r="H602" s="18" t="s">
        <v>109</v>
      </c>
      <c r="I602" s="18"/>
      <c r="J602" s="18"/>
      <c r="K602" s="18"/>
      <c r="L602" s="18" t="s">
        <v>109</v>
      </c>
      <c r="M602" s="18" t="s">
        <v>109</v>
      </c>
      <c r="N602" s="18"/>
      <c r="O602" s="18"/>
      <c r="P602" s="18" t="s">
        <v>2752</v>
      </c>
      <c r="Q602" s="18" t="s">
        <v>134</v>
      </c>
      <c r="R602" s="18" t="s">
        <v>2753</v>
      </c>
      <c r="S602" s="18" t="s">
        <v>125</v>
      </c>
      <c r="T602" s="18" t="s">
        <v>1805</v>
      </c>
      <c r="U602" s="18"/>
      <c r="V602" s="19" t="s">
        <v>29</v>
      </c>
      <c r="W602" s="19"/>
      <c r="X602" s="19"/>
      <c r="Y602" s="20"/>
      <c r="Z602" s="19"/>
      <c r="AA602" s="18" t="str">
        <f aca="false">IF(OR(V602="Aprobada"),R602,IF(AND(OR(V602="Aprobada con ajuste",V602="Rechazada"),W602&lt;&gt;""),W602,""))</f>
        <v/>
      </c>
    </row>
    <row r="603" customFormat="false" ht="64.15" hidden="false" customHeight="false" outlineLevel="0" collapsed="false">
      <c r="A603" s="18" t="s">
        <v>2754</v>
      </c>
      <c r="B603" s="18" t="s">
        <v>60</v>
      </c>
      <c r="C603" s="18" t="s">
        <v>61</v>
      </c>
      <c r="D603" s="18" t="s">
        <v>2737</v>
      </c>
      <c r="E603" s="18" t="n">
        <v>4</v>
      </c>
      <c r="F603" s="18" t="s">
        <v>996</v>
      </c>
      <c r="G603" s="18" t="s">
        <v>116</v>
      </c>
      <c r="H603" s="18" t="s">
        <v>109</v>
      </c>
      <c r="I603" s="18"/>
      <c r="J603" s="18"/>
      <c r="K603" s="18"/>
      <c r="L603" s="18" t="s">
        <v>109</v>
      </c>
      <c r="M603" s="18" t="s">
        <v>109</v>
      </c>
      <c r="N603" s="18"/>
      <c r="O603" s="18"/>
      <c r="P603" s="18" t="s">
        <v>2755</v>
      </c>
      <c r="Q603" s="18" t="s">
        <v>134</v>
      </c>
      <c r="R603" s="18" t="s">
        <v>2756</v>
      </c>
      <c r="S603" s="18" t="s">
        <v>125</v>
      </c>
      <c r="T603" s="18" t="s">
        <v>2757</v>
      </c>
      <c r="U603" s="18"/>
      <c r="V603" s="19" t="s">
        <v>29</v>
      </c>
      <c r="W603" s="19"/>
      <c r="X603" s="19"/>
      <c r="Y603" s="20"/>
      <c r="Z603" s="19"/>
      <c r="AA603" s="18" t="str">
        <f aca="false">IF(OR(V603="Aprobada"),R603,IF(AND(OR(V603="Aprobada con ajuste",V603="Rechazada"),W603&lt;&gt;""),W603,""))</f>
        <v/>
      </c>
    </row>
    <row r="604" customFormat="false" ht="43.25" hidden="false" customHeight="false" outlineLevel="0" collapsed="false">
      <c r="A604" s="18" t="s">
        <v>2758</v>
      </c>
      <c r="B604" s="18" t="s">
        <v>60</v>
      </c>
      <c r="C604" s="18" t="s">
        <v>61</v>
      </c>
      <c r="D604" s="18" t="s">
        <v>2737</v>
      </c>
      <c r="E604" s="18" t="n">
        <v>4</v>
      </c>
      <c r="F604" s="18" t="s">
        <v>2535</v>
      </c>
      <c r="G604" s="18" t="s">
        <v>249</v>
      </c>
      <c r="H604" s="18" t="s">
        <v>117</v>
      </c>
      <c r="I604" s="18"/>
      <c r="J604" s="18"/>
      <c r="K604" s="18"/>
      <c r="L604" s="18" t="s">
        <v>109</v>
      </c>
      <c r="M604" s="18" t="s">
        <v>109</v>
      </c>
      <c r="N604" s="18"/>
      <c r="O604" s="18"/>
      <c r="P604" s="18" t="s">
        <v>2759</v>
      </c>
      <c r="Q604" s="18" t="s">
        <v>123</v>
      </c>
      <c r="R604" s="18" t="s">
        <v>2760</v>
      </c>
      <c r="S604" s="18" t="s">
        <v>125</v>
      </c>
      <c r="T604" s="18" t="s">
        <v>2761</v>
      </c>
      <c r="U604" s="18"/>
      <c r="V604" s="19" t="s">
        <v>29</v>
      </c>
      <c r="W604" s="19"/>
      <c r="X604" s="19"/>
      <c r="Y604" s="20"/>
      <c r="Z604" s="19"/>
      <c r="AA604" s="18" t="str">
        <f aca="false">IF(OR(V604="Aprobada"),R604,IF(AND(OR(V604="Aprobada con ajuste",V604="Rechazada"),W604&lt;&gt;""),W604,""))</f>
        <v/>
      </c>
    </row>
    <row r="605" customFormat="false" ht="22.35" hidden="false" customHeight="false" outlineLevel="0" collapsed="false">
      <c r="A605" s="18" t="s">
        <v>2762</v>
      </c>
      <c r="B605" s="18" t="s">
        <v>60</v>
      </c>
      <c r="C605" s="18" t="s">
        <v>61</v>
      </c>
      <c r="D605" s="18" t="s">
        <v>2737</v>
      </c>
      <c r="E605" s="18" t="n">
        <v>4</v>
      </c>
      <c r="F605" s="18" t="s">
        <v>1379</v>
      </c>
      <c r="G605" s="18" t="s">
        <v>265</v>
      </c>
      <c r="H605" s="18" t="s">
        <v>117</v>
      </c>
      <c r="I605" s="18"/>
      <c r="J605" s="18"/>
      <c r="K605" s="18"/>
      <c r="L605" s="18" t="s">
        <v>109</v>
      </c>
      <c r="M605" s="18" t="s">
        <v>109</v>
      </c>
      <c r="N605" s="18"/>
      <c r="O605" s="18"/>
      <c r="P605" s="18" t="s">
        <v>2763</v>
      </c>
      <c r="Q605" s="18" t="s">
        <v>110</v>
      </c>
      <c r="R605" s="18" t="s">
        <v>1381</v>
      </c>
      <c r="S605" s="18" t="s">
        <v>112</v>
      </c>
      <c r="T605" s="18" t="s">
        <v>113</v>
      </c>
      <c r="U605" s="18"/>
      <c r="V605" s="19" t="s">
        <v>29</v>
      </c>
      <c r="W605" s="19"/>
      <c r="X605" s="19"/>
      <c r="Y605" s="20"/>
      <c r="Z605" s="19"/>
      <c r="AA605" s="18" t="str">
        <f aca="false">IF(OR(V605="Aprobada"),R605,IF(AND(OR(V605="Aprobada con ajuste",V605="Rechazada"),W605&lt;&gt;""),W605,""))</f>
        <v/>
      </c>
    </row>
    <row r="606" customFormat="false" ht="64.15" hidden="false" customHeight="false" outlineLevel="0" collapsed="false">
      <c r="A606" s="18" t="s">
        <v>2764</v>
      </c>
      <c r="B606" s="18" t="s">
        <v>60</v>
      </c>
      <c r="C606" s="18" t="s">
        <v>61</v>
      </c>
      <c r="D606" s="18" t="s">
        <v>2737</v>
      </c>
      <c r="E606" s="18" t="n">
        <v>4</v>
      </c>
      <c r="F606" s="18" t="s">
        <v>2765</v>
      </c>
      <c r="G606" s="18" t="s">
        <v>116</v>
      </c>
      <c r="H606" s="18" t="s">
        <v>117</v>
      </c>
      <c r="I606" s="18" t="s">
        <v>140</v>
      </c>
      <c r="J606" s="18"/>
      <c r="K606" s="18"/>
      <c r="L606" s="18" t="s">
        <v>109</v>
      </c>
      <c r="M606" s="18" t="s">
        <v>109</v>
      </c>
      <c r="N606" s="18"/>
      <c r="O606" s="18"/>
      <c r="P606" s="18" t="s">
        <v>2766</v>
      </c>
      <c r="Q606" s="18" t="s">
        <v>123</v>
      </c>
      <c r="R606" s="18" t="s">
        <v>2767</v>
      </c>
      <c r="S606" s="18" t="s">
        <v>112</v>
      </c>
      <c r="T606" s="18" t="s">
        <v>2768</v>
      </c>
      <c r="U606" s="18"/>
      <c r="V606" s="19" t="s">
        <v>29</v>
      </c>
      <c r="W606" s="19"/>
      <c r="X606" s="19"/>
      <c r="Y606" s="20"/>
      <c r="Z606" s="19"/>
      <c r="AA606" s="18" t="str">
        <f aca="false">IF(OR(V606="Aprobada"),R606,IF(AND(OR(V606="Aprobada con ajuste",V606="Rechazada"),W606&lt;&gt;""),W606,""))</f>
        <v/>
      </c>
    </row>
    <row r="607" customFormat="false" ht="22.35" hidden="false" customHeight="false" outlineLevel="0" collapsed="false">
      <c r="A607" s="18" t="s">
        <v>2769</v>
      </c>
      <c r="B607" s="18" t="s">
        <v>60</v>
      </c>
      <c r="C607" s="18" t="s">
        <v>61</v>
      </c>
      <c r="D607" s="18" t="s">
        <v>2737</v>
      </c>
      <c r="E607" s="18" t="n">
        <v>4</v>
      </c>
      <c r="F607" s="18" t="s">
        <v>2770</v>
      </c>
      <c r="G607" s="18" t="s">
        <v>265</v>
      </c>
      <c r="H607" s="18" t="s">
        <v>117</v>
      </c>
      <c r="I607" s="18"/>
      <c r="J607" s="18"/>
      <c r="K607" s="18"/>
      <c r="L607" s="18" t="s">
        <v>109</v>
      </c>
      <c r="M607" s="18" t="s">
        <v>109</v>
      </c>
      <c r="N607" s="18"/>
      <c r="O607" s="18"/>
      <c r="P607" s="18" t="s">
        <v>2771</v>
      </c>
      <c r="Q607" s="18" t="s">
        <v>134</v>
      </c>
      <c r="R607" s="18" t="s">
        <v>2772</v>
      </c>
      <c r="S607" s="18" t="s">
        <v>112</v>
      </c>
      <c r="T607" s="18" t="s">
        <v>2773</v>
      </c>
      <c r="U607" s="18" t="s">
        <v>2774</v>
      </c>
      <c r="V607" s="19" t="s">
        <v>29</v>
      </c>
      <c r="W607" s="19"/>
      <c r="X607" s="19"/>
      <c r="Y607" s="20"/>
      <c r="Z607" s="19"/>
      <c r="AA607" s="18" t="str">
        <f aca="false">IF(OR(V607="Aprobada"),R607,IF(AND(OR(V607="Aprobada con ajuste",V607="Rechazada"),W607&lt;&gt;""),W607,""))</f>
        <v/>
      </c>
    </row>
    <row r="608" customFormat="false" ht="22.35" hidden="false" customHeight="false" outlineLevel="0" collapsed="false">
      <c r="A608" s="18" t="s">
        <v>2775</v>
      </c>
      <c r="B608" s="18" t="s">
        <v>60</v>
      </c>
      <c r="C608" s="18" t="s">
        <v>61</v>
      </c>
      <c r="D608" s="18" t="s">
        <v>2737</v>
      </c>
      <c r="E608" s="18" t="n">
        <v>4</v>
      </c>
      <c r="F608" s="18" t="s">
        <v>2776</v>
      </c>
      <c r="G608" s="18" t="s">
        <v>184</v>
      </c>
      <c r="H608" s="18" t="s">
        <v>117</v>
      </c>
      <c r="I608" s="18" t="s">
        <v>140</v>
      </c>
      <c r="J608" s="18"/>
      <c r="K608" s="18"/>
      <c r="L608" s="18" t="s">
        <v>109</v>
      </c>
      <c r="M608" s="18" t="s">
        <v>109</v>
      </c>
      <c r="N608" s="18"/>
      <c r="O608" s="18"/>
      <c r="P608" s="18" t="s">
        <v>2777</v>
      </c>
      <c r="Q608" s="18" t="s">
        <v>134</v>
      </c>
      <c r="R608" s="18" t="s">
        <v>2778</v>
      </c>
      <c r="S608" s="18" t="s">
        <v>125</v>
      </c>
      <c r="T608" s="18" t="s">
        <v>2779</v>
      </c>
      <c r="U608" s="18"/>
      <c r="V608" s="19" t="s">
        <v>29</v>
      </c>
      <c r="W608" s="19"/>
      <c r="X608" s="19"/>
      <c r="Y608" s="20"/>
      <c r="Z608" s="19"/>
      <c r="AA608" s="18" t="str">
        <f aca="false">IF(OR(V608="Aprobada"),R608,IF(AND(OR(V608="Aprobada con ajuste",V608="Rechazada"),W608&lt;&gt;""),W608,""))</f>
        <v/>
      </c>
    </row>
    <row r="609" customFormat="false" ht="85.05" hidden="false" customHeight="false" outlineLevel="0" collapsed="false">
      <c r="A609" s="18" t="s">
        <v>2780</v>
      </c>
      <c r="B609" s="18" t="s">
        <v>60</v>
      </c>
      <c r="C609" s="18" t="s">
        <v>61</v>
      </c>
      <c r="D609" s="18" t="s">
        <v>2737</v>
      </c>
      <c r="E609" s="18" t="n">
        <v>4</v>
      </c>
      <c r="F609" s="18" t="s">
        <v>2781</v>
      </c>
      <c r="G609" s="18" t="s">
        <v>145</v>
      </c>
      <c r="H609" s="18" t="s">
        <v>117</v>
      </c>
      <c r="I609" s="18" t="s">
        <v>140</v>
      </c>
      <c r="J609" s="18"/>
      <c r="K609" s="18"/>
      <c r="L609" s="18" t="s">
        <v>109</v>
      </c>
      <c r="M609" s="18" t="s">
        <v>109</v>
      </c>
      <c r="N609" s="18"/>
      <c r="O609" s="18"/>
      <c r="P609" s="18" t="s">
        <v>2782</v>
      </c>
      <c r="Q609" s="18" t="s">
        <v>123</v>
      </c>
      <c r="R609" s="18" t="s">
        <v>2783</v>
      </c>
      <c r="S609" s="18" t="s">
        <v>125</v>
      </c>
      <c r="T609" s="18" t="s">
        <v>2784</v>
      </c>
      <c r="U609" s="18"/>
      <c r="V609" s="19" t="s">
        <v>29</v>
      </c>
      <c r="W609" s="19"/>
      <c r="X609" s="19"/>
      <c r="Y609" s="20"/>
      <c r="Z609" s="19"/>
      <c r="AA609" s="18" t="str">
        <f aca="false">IF(OR(V609="Aprobada"),R609,IF(AND(OR(V609="Aprobada con ajuste",V609="Rechazada"),W609&lt;&gt;""),W609,""))</f>
        <v/>
      </c>
    </row>
    <row r="610" customFormat="false" ht="126.85" hidden="false" customHeight="false" outlineLevel="0" collapsed="false">
      <c r="A610" s="18" t="s">
        <v>2785</v>
      </c>
      <c r="B610" s="18" t="s">
        <v>60</v>
      </c>
      <c r="C610" s="18" t="s">
        <v>61</v>
      </c>
      <c r="D610" s="18" t="s">
        <v>2786</v>
      </c>
      <c r="E610" s="18" t="n">
        <v>4</v>
      </c>
      <c r="F610" s="18" t="s">
        <v>1553</v>
      </c>
      <c r="G610" s="18" t="s">
        <v>139</v>
      </c>
      <c r="H610" s="18" t="s">
        <v>109</v>
      </c>
      <c r="I610" s="18"/>
      <c r="J610" s="18"/>
      <c r="K610" s="18"/>
      <c r="L610" s="18" t="s">
        <v>109</v>
      </c>
      <c r="M610" s="18" t="s">
        <v>109</v>
      </c>
      <c r="N610" s="18"/>
      <c r="O610" s="18" t="s">
        <v>2787</v>
      </c>
      <c r="P610" s="18" t="s">
        <v>2788</v>
      </c>
      <c r="Q610" s="18" t="s">
        <v>123</v>
      </c>
      <c r="R610" s="18" t="s">
        <v>2789</v>
      </c>
      <c r="S610" s="18" t="s">
        <v>125</v>
      </c>
      <c r="T610" s="18" t="s">
        <v>2790</v>
      </c>
      <c r="U610" s="18"/>
      <c r="V610" s="19" t="s">
        <v>29</v>
      </c>
      <c r="W610" s="19"/>
      <c r="X610" s="19"/>
      <c r="Y610" s="20"/>
      <c r="Z610" s="19"/>
      <c r="AA610" s="18" t="str">
        <f aca="false">IF(OR(V610="Aprobada"),R610,IF(AND(OR(V610="Aprobada con ajuste",V610="Rechazada"),W610&lt;&gt;""),W610,""))</f>
        <v/>
      </c>
    </row>
    <row r="611" customFormat="false" ht="85.05" hidden="false" customHeight="false" outlineLevel="0" collapsed="false">
      <c r="A611" s="18" t="s">
        <v>2791</v>
      </c>
      <c r="B611" s="18" t="s">
        <v>60</v>
      </c>
      <c r="C611" s="18" t="s">
        <v>61</v>
      </c>
      <c r="D611" s="18" t="s">
        <v>2786</v>
      </c>
      <c r="E611" s="18" t="n">
        <v>4</v>
      </c>
      <c r="F611" s="18" t="s">
        <v>129</v>
      </c>
      <c r="G611" s="18" t="s">
        <v>459</v>
      </c>
      <c r="H611" s="18" t="s">
        <v>109</v>
      </c>
      <c r="I611" s="18"/>
      <c r="J611" s="18"/>
      <c r="K611" s="18"/>
      <c r="L611" s="18" t="s">
        <v>109</v>
      </c>
      <c r="M611" s="18" t="s">
        <v>109</v>
      </c>
      <c r="N611" s="18"/>
      <c r="O611" s="18"/>
      <c r="P611" s="18" t="s">
        <v>2792</v>
      </c>
      <c r="Q611" s="18" t="s">
        <v>110</v>
      </c>
      <c r="R611" s="18" t="s">
        <v>2793</v>
      </c>
      <c r="S611" s="18" t="s">
        <v>112</v>
      </c>
      <c r="T611" s="18" t="s">
        <v>113</v>
      </c>
      <c r="U611" s="18"/>
      <c r="V611" s="19" t="s">
        <v>29</v>
      </c>
      <c r="W611" s="19"/>
      <c r="X611" s="19"/>
      <c r="Y611" s="20"/>
      <c r="Z611" s="19"/>
      <c r="AA611" s="18" t="str">
        <f aca="false">IF(OR(V611="Aprobada"),R611,IF(AND(OR(V611="Aprobada con ajuste",V611="Rechazada"),W611&lt;&gt;""),W611,""))</f>
        <v/>
      </c>
    </row>
    <row r="612" customFormat="false" ht="53.7" hidden="false" customHeight="false" outlineLevel="0" collapsed="false">
      <c r="A612" s="18" t="s">
        <v>2794</v>
      </c>
      <c r="B612" s="18" t="s">
        <v>60</v>
      </c>
      <c r="C612" s="18" t="s">
        <v>61</v>
      </c>
      <c r="D612" s="18" t="s">
        <v>2786</v>
      </c>
      <c r="E612" s="18" t="n">
        <v>4</v>
      </c>
      <c r="F612" s="18" t="s">
        <v>2554</v>
      </c>
      <c r="G612" s="18" t="s">
        <v>133</v>
      </c>
      <c r="H612" s="18" t="s">
        <v>109</v>
      </c>
      <c r="I612" s="18"/>
      <c r="J612" s="18"/>
      <c r="K612" s="18"/>
      <c r="L612" s="18" t="s">
        <v>109</v>
      </c>
      <c r="M612" s="18" t="s">
        <v>109</v>
      </c>
      <c r="N612" s="18"/>
      <c r="O612" s="18" t="s">
        <v>2795</v>
      </c>
      <c r="P612" s="18" t="s">
        <v>2796</v>
      </c>
      <c r="Q612" s="18" t="s">
        <v>110</v>
      </c>
      <c r="R612" s="18" t="s">
        <v>2797</v>
      </c>
      <c r="S612" s="18" t="s">
        <v>112</v>
      </c>
      <c r="T612" s="18" t="s">
        <v>113</v>
      </c>
      <c r="U612" s="18"/>
      <c r="V612" s="19" t="s">
        <v>29</v>
      </c>
      <c r="W612" s="19"/>
      <c r="X612" s="19"/>
      <c r="Y612" s="20"/>
      <c r="Z612" s="19"/>
      <c r="AA612" s="18" t="str">
        <f aca="false">IF(OR(V612="Aprobada"),R612,IF(AND(OR(V612="Aprobada con ajuste",V612="Rechazada"),W612&lt;&gt;""),W612,""))</f>
        <v/>
      </c>
    </row>
    <row r="613" customFormat="false" ht="22.35" hidden="false" customHeight="false" outlineLevel="0" collapsed="false">
      <c r="A613" s="18" t="s">
        <v>2798</v>
      </c>
      <c r="B613" s="18" t="s">
        <v>60</v>
      </c>
      <c r="C613" s="18" t="s">
        <v>61</v>
      </c>
      <c r="D613" s="18" t="s">
        <v>2786</v>
      </c>
      <c r="E613" s="18" t="n">
        <v>4</v>
      </c>
      <c r="F613" s="18" t="s">
        <v>1379</v>
      </c>
      <c r="G613" s="18" t="s">
        <v>459</v>
      </c>
      <c r="H613" s="18" t="s">
        <v>117</v>
      </c>
      <c r="I613" s="18"/>
      <c r="J613" s="18"/>
      <c r="K613" s="18"/>
      <c r="L613" s="18" t="s">
        <v>109</v>
      </c>
      <c r="M613" s="18" t="s">
        <v>109</v>
      </c>
      <c r="N613" s="18"/>
      <c r="O613" s="18"/>
      <c r="P613" s="18" t="s">
        <v>2799</v>
      </c>
      <c r="Q613" s="18" t="s">
        <v>110</v>
      </c>
      <c r="R613" s="18" t="s">
        <v>1381</v>
      </c>
      <c r="S613" s="18" t="s">
        <v>112</v>
      </c>
      <c r="T613" s="18" t="s">
        <v>113</v>
      </c>
      <c r="U613" s="18"/>
      <c r="V613" s="19" t="s">
        <v>29</v>
      </c>
      <c r="W613" s="19"/>
      <c r="X613" s="19"/>
      <c r="Y613" s="20"/>
      <c r="Z613" s="19"/>
      <c r="AA613" s="18" t="str">
        <f aca="false">IF(OR(V613="Aprobada"),R613,IF(AND(OR(V613="Aprobada con ajuste",V613="Rechazada"),W613&lt;&gt;""),W613,""))</f>
        <v/>
      </c>
    </row>
    <row r="614" customFormat="false" ht="126.85" hidden="false" customHeight="false" outlineLevel="0" collapsed="false">
      <c r="A614" s="18" t="s">
        <v>2800</v>
      </c>
      <c r="B614" s="18" t="s">
        <v>60</v>
      </c>
      <c r="C614" s="18" t="s">
        <v>61</v>
      </c>
      <c r="D614" s="18" t="s">
        <v>2801</v>
      </c>
      <c r="E614" s="18" t="n">
        <v>2</v>
      </c>
      <c r="F614" s="18" t="s">
        <v>1553</v>
      </c>
      <c r="G614" s="18" t="s">
        <v>139</v>
      </c>
      <c r="H614" s="18" t="s">
        <v>109</v>
      </c>
      <c r="I614" s="18"/>
      <c r="J614" s="18"/>
      <c r="K614" s="18"/>
      <c r="L614" s="18" t="s">
        <v>109</v>
      </c>
      <c r="M614" s="18" t="s">
        <v>109</v>
      </c>
      <c r="N614" s="18"/>
      <c r="O614" s="18" t="s">
        <v>2802</v>
      </c>
      <c r="P614" s="18" t="s">
        <v>2803</v>
      </c>
      <c r="Q614" s="18" t="s">
        <v>123</v>
      </c>
      <c r="R614" s="18" t="s">
        <v>2804</v>
      </c>
      <c r="S614" s="18" t="s">
        <v>125</v>
      </c>
      <c r="T614" s="18" t="s">
        <v>2805</v>
      </c>
      <c r="U614" s="18"/>
      <c r="V614" s="19" t="s">
        <v>29</v>
      </c>
      <c r="W614" s="19"/>
      <c r="X614" s="19"/>
      <c r="Y614" s="20"/>
      <c r="Z614" s="19"/>
      <c r="AA614" s="18" t="str">
        <f aca="false">IF(OR(V614="Aprobada"),R614,IF(AND(OR(V614="Aprobada con ajuste",V614="Rechazada"),W614&lt;&gt;""),W614,""))</f>
        <v/>
      </c>
    </row>
    <row r="615" customFormat="false" ht="85.05" hidden="false" customHeight="false" outlineLevel="0" collapsed="false">
      <c r="A615" s="18" t="s">
        <v>2806</v>
      </c>
      <c r="B615" s="18" t="s">
        <v>60</v>
      </c>
      <c r="C615" s="18" t="s">
        <v>61</v>
      </c>
      <c r="D615" s="18" t="s">
        <v>2801</v>
      </c>
      <c r="E615" s="18" t="n">
        <v>2</v>
      </c>
      <c r="F615" s="18" t="s">
        <v>2807</v>
      </c>
      <c r="G615" s="18" t="s">
        <v>394</v>
      </c>
      <c r="H615" s="18" t="s">
        <v>109</v>
      </c>
      <c r="I615" s="18" t="s">
        <v>140</v>
      </c>
      <c r="J615" s="18"/>
      <c r="K615" s="18"/>
      <c r="L615" s="18" t="s">
        <v>109</v>
      </c>
      <c r="M615" s="18" t="s">
        <v>109</v>
      </c>
      <c r="N615" s="18"/>
      <c r="O615" s="18"/>
      <c r="P615" s="18" t="s">
        <v>2808</v>
      </c>
      <c r="Q615" s="18" t="s">
        <v>123</v>
      </c>
      <c r="R615" s="18" t="s">
        <v>2809</v>
      </c>
      <c r="S615" s="18" t="s">
        <v>125</v>
      </c>
      <c r="T615" s="18" t="s">
        <v>2810</v>
      </c>
      <c r="U615" s="18"/>
      <c r="V615" s="19" t="s">
        <v>29</v>
      </c>
      <c r="W615" s="19"/>
      <c r="X615" s="19"/>
      <c r="Y615" s="20"/>
      <c r="Z615" s="19"/>
      <c r="AA615" s="18" t="str">
        <f aca="false">IF(OR(V615="Aprobada"),R615,IF(AND(OR(V615="Aprobada con ajuste",V615="Rechazada"),W615&lt;&gt;""),W615,""))</f>
        <v/>
      </c>
    </row>
    <row r="616" customFormat="false" ht="43.25" hidden="false" customHeight="false" outlineLevel="0" collapsed="false">
      <c r="A616" s="18" t="s">
        <v>2811</v>
      </c>
      <c r="B616" s="18" t="s">
        <v>60</v>
      </c>
      <c r="C616" s="18" t="s">
        <v>61</v>
      </c>
      <c r="D616" s="18" t="s">
        <v>2801</v>
      </c>
      <c r="E616" s="18" t="n">
        <v>2</v>
      </c>
      <c r="F616" s="18" t="s">
        <v>2812</v>
      </c>
      <c r="G616" s="18" t="s">
        <v>394</v>
      </c>
      <c r="H616" s="18" t="s">
        <v>109</v>
      </c>
      <c r="I616" s="18" t="s">
        <v>140</v>
      </c>
      <c r="J616" s="18"/>
      <c r="K616" s="18"/>
      <c r="L616" s="18" t="s">
        <v>109</v>
      </c>
      <c r="M616" s="18" t="s">
        <v>109</v>
      </c>
      <c r="N616" s="18"/>
      <c r="O616" s="18"/>
      <c r="P616" s="18" t="s">
        <v>2813</v>
      </c>
      <c r="Q616" s="18" t="s">
        <v>134</v>
      </c>
      <c r="R616" s="18" t="s">
        <v>2814</v>
      </c>
      <c r="S616" s="18" t="s">
        <v>125</v>
      </c>
      <c r="T616" s="18" t="s">
        <v>2815</v>
      </c>
      <c r="U616" s="18"/>
      <c r="V616" s="19" t="s">
        <v>29</v>
      </c>
      <c r="W616" s="19"/>
      <c r="X616" s="19"/>
      <c r="Y616" s="20"/>
      <c r="Z616" s="19"/>
      <c r="AA616" s="18" t="str">
        <f aca="false">IF(OR(V616="Aprobada"),R616,IF(AND(OR(V616="Aprobada con ajuste",V616="Rechazada"),W616&lt;&gt;""),W616,""))</f>
        <v/>
      </c>
    </row>
    <row r="617" customFormat="false" ht="105.95" hidden="false" customHeight="false" outlineLevel="0" collapsed="false">
      <c r="A617" s="18" t="s">
        <v>2816</v>
      </c>
      <c r="B617" s="18" t="s">
        <v>60</v>
      </c>
      <c r="C617" s="18" t="s">
        <v>61</v>
      </c>
      <c r="D617" s="18" t="s">
        <v>2801</v>
      </c>
      <c r="E617" s="18" t="n">
        <v>2</v>
      </c>
      <c r="F617" s="18" t="s">
        <v>1102</v>
      </c>
      <c r="G617" s="18" t="s">
        <v>1509</v>
      </c>
      <c r="H617" s="18" t="s">
        <v>109</v>
      </c>
      <c r="I617" s="18" t="s">
        <v>140</v>
      </c>
      <c r="J617" s="18"/>
      <c r="K617" s="18"/>
      <c r="L617" s="18" t="s">
        <v>109</v>
      </c>
      <c r="M617" s="18" t="s">
        <v>109</v>
      </c>
      <c r="N617" s="18"/>
      <c r="O617" s="18"/>
      <c r="P617" s="18" t="s">
        <v>2817</v>
      </c>
      <c r="Q617" s="18" t="s">
        <v>123</v>
      </c>
      <c r="R617" s="18" t="s">
        <v>2818</v>
      </c>
      <c r="S617" s="18" t="s">
        <v>112</v>
      </c>
      <c r="T617" s="18" t="s">
        <v>2819</v>
      </c>
      <c r="U617" s="18" t="s">
        <v>1646</v>
      </c>
      <c r="V617" s="19" t="s">
        <v>29</v>
      </c>
      <c r="W617" s="19"/>
      <c r="X617" s="19"/>
      <c r="Y617" s="20"/>
      <c r="Z617" s="19"/>
      <c r="AA617" s="18" t="str">
        <f aca="false">IF(OR(V617="Aprobada"),R617,IF(AND(OR(V617="Aprobada con ajuste",V617="Rechazada"),W617&lt;&gt;""),W617,""))</f>
        <v/>
      </c>
    </row>
    <row r="618" customFormat="false" ht="32.8" hidden="false" customHeight="false" outlineLevel="0" collapsed="false">
      <c r="A618" s="18" t="s">
        <v>2820</v>
      </c>
      <c r="B618" s="18" t="s">
        <v>60</v>
      </c>
      <c r="C618" s="18" t="s">
        <v>61</v>
      </c>
      <c r="D618" s="18" t="s">
        <v>2801</v>
      </c>
      <c r="E618" s="18" t="n">
        <v>2</v>
      </c>
      <c r="F618" s="18" t="s">
        <v>107</v>
      </c>
      <c r="G618" s="18" t="s">
        <v>151</v>
      </c>
      <c r="H618" s="18" t="s">
        <v>109</v>
      </c>
      <c r="I618" s="18" t="s">
        <v>140</v>
      </c>
      <c r="J618" s="18" t="s">
        <v>2821</v>
      </c>
      <c r="K618" s="18"/>
      <c r="L618" s="18" t="s">
        <v>117</v>
      </c>
      <c r="M618" s="18" t="s">
        <v>109</v>
      </c>
      <c r="N618" s="18"/>
      <c r="O618" s="18" t="s">
        <v>2822</v>
      </c>
      <c r="P618" s="18" t="s">
        <v>2823</v>
      </c>
      <c r="Q618" s="18" t="s">
        <v>110</v>
      </c>
      <c r="R618" s="18" t="s">
        <v>2824</v>
      </c>
      <c r="S618" s="18" t="s">
        <v>112</v>
      </c>
      <c r="T618" s="18" t="s">
        <v>113</v>
      </c>
      <c r="U618" s="18"/>
      <c r="V618" s="19" t="s">
        <v>29</v>
      </c>
      <c r="W618" s="19"/>
      <c r="X618" s="19"/>
      <c r="Y618" s="20"/>
      <c r="Z618" s="19"/>
      <c r="AA618" s="18" t="str">
        <f aca="false">IF(OR(V618="Aprobada"),R618,IF(AND(OR(V618="Aprobada con ajuste",V618="Rechazada"),W618&lt;&gt;""),W618,""))</f>
        <v/>
      </c>
    </row>
    <row r="619" customFormat="false" ht="22.35" hidden="false" customHeight="false" outlineLevel="0" collapsed="false">
      <c r="A619" s="18" t="s">
        <v>2825</v>
      </c>
      <c r="B619" s="18" t="s">
        <v>60</v>
      </c>
      <c r="C619" s="18" t="s">
        <v>61</v>
      </c>
      <c r="D619" s="18" t="s">
        <v>2801</v>
      </c>
      <c r="E619" s="18" t="n">
        <v>2</v>
      </c>
      <c r="F619" s="18" t="s">
        <v>2826</v>
      </c>
      <c r="G619" s="18" t="s">
        <v>184</v>
      </c>
      <c r="H619" s="18" t="s">
        <v>109</v>
      </c>
      <c r="I619" s="18"/>
      <c r="J619" s="18"/>
      <c r="K619" s="18"/>
      <c r="L619" s="18" t="s">
        <v>109</v>
      </c>
      <c r="M619" s="18" t="s">
        <v>109</v>
      </c>
      <c r="N619" s="18"/>
      <c r="O619" s="18"/>
      <c r="P619" s="18" t="s">
        <v>2827</v>
      </c>
      <c r="Q619" s="18" t="s">
        <v>110</v>
      </c>
      <c r="R619" s="18" t="s">
        <v>2828</v>
      </c>
      <c r="S619" s="18" t="s">
        <v>112</v>
      </c>
      <c r="T619" s="18" t="s">
        <v>113</v>
      </c>
      <c r="U619" s="18"/>
      <c r="V619" s="19" t="s">
        <v>29</v>
      </c>
      <c r="W619" s="19"/>
      <c r="X619" s="19"/>
      <c r="Y619" s="20"/>
      <c r="Z619" s="19"/>
      <c r="AA619" s="18" t="str">
        <f aca="false">IF(OR(V619="Aprobada"),R619,IF(AND(OR(V619="Aprobada con ajuste",V619="Rechazada"),W619&lt;&gt;""),W619,""))</f>
        <v/>
      </c>
    </row>
    <row r="620" customFormat="false" ht="22.35" hidden="false" customHeight="false" outlineLevel="0" collapsed="false">
      <c r="A620" s="18" t="s">
        <v>2829</v>
      </c>
      <c r="B620" s="18" t="s">
        <v>60</v>
      </c>
      <c r="C620" s="18" t="s">
        <v>61</v>
      </c>
      <c r="D620" s="18" t="s">
        <v>2801</v>
      </c>
      <c r="E620" s="18" t="n">
        <v>2</v>
      </c>
      <c r="F620" s="18" t="s">
        <v>2830</v>
      </c>
      <c r="G620" s="18" t="s">
        <v>459</v>
      </c>
      <c r="H620" s="18" t="s">
        <v>117</v>
      </c>
      <c r="I620" s="18"/>
      <c r="J620" s="18"/>
      <c r="K620" s="18"/>
      <c r="L620" s="18" t="s">
        <v>109</v>
      </c>
      <c r="M620" s="18" t="s">
        <v>109</v>
      </c>
      <c r="N620" s="18"/>
      <c r="O620" s="18"/>
      <c r="P620" s="18" t="s">
        <v>2831</v>
      </c>
      <c r="Q620" s="18" t="s">
        <v>110</v>
      </c>
      <c r="R620" s="18" t="s">
        <v>2832</v>
      </c>
      <c r="S620" s="18" t="s">
        <v>112</v>
      </c>
      <c r="T620" s="18" t="s">
        <v>113</v>
      </c>
      <c r="U620" s="18"/>
      <c r="V620" s="19" t="s">
        <v>29</v>
      </c>
      <c r="W620" s="19"/>
      <c r="X620" s="19"/>
      <c r="Y620" s="20"/>
      <c r="Z620" s="19"/>
      <c r="AA620" s="18" t="str">
        <f aca="false">IF(OR(V620="Aprobada"),R620,IF(AND(OR(V620="Aprobada con ajuste",V620="Rechazada"),W620&lt;&gt;""),W620,""))</f>
        <v/>
      </c>
    </row>
    <row r="621" customFormat="false" ht="64.15" hidden="false" customHeight="false" outlineLevel="0" collapsed="false">
      <c r="A621" s="18" t="s">
        <v>2833</v>
      </c>
      <c r="B621" s="18" t="s">
        <v>60</v>
      </c>
      <c r="C621" s="18" t="s">
        <v>61</v>
      </c>
      <c r="D621" s="18" t="s">
        <v>2801</v>
      </c>
      <c r="E621" s="18" t="n">
        <v>2</v>
      </c>
      <c r="F621" s="18" t="s">
        <v>2834</v>
      </c>
      <c r="G621" s="18" t="s">
        <v>184</v>
      </c>
      <c r="H621" s="18" t="s">
        <v>117</v>
      </c>
      <c r="I621" s="18" t="s">
        <v>140</v>
      </c>
      <c r="J621" s="18"/>
      <c r="K621" s="18"/>
      <c r="L621" s="18" t="s">
        <v>109</v>
      </c>
      <c r="M621" s="18" t="s">
        <v>109</v>
      </c>
      <c r="N621" s="18"/>
      <c r="O621" s="18"/>
      <c r="P621" s="18" t="s">
        <v>2835</v>
      </c>
      <c r="Q621" s="18" t="s">
        <v>123</v>
      </c>
      <c r="R621" s="18" t="s">
        <v>2836</v>
      </c>
      <c r="S621" s="18" t="s">
        <v>125</v>
      </c>
      <c r="T621" s="18" t="s">
        <v>2837</v>
      </c>
      <c r="U621" s="18" t="s">
        <v>2838</v>
      </c>
      <c r="V621" s="19" t="s">
        <v>29</v>
      </c>
      <c r="W621" s="19"/>
      <c r="X621" s="19"/>
      <c r="Y621" s="20"/>
      <c r="Z621" s="19"/>
      <c r="AA621" s="18" t="str">
        <f aca="false">IF(OR(V621="Aprobada"),R621,IF(AND(OR(V621="Aprobada con ajuste",V621="Rechazada"),W621&lt;&gt;""),W621,""))</f>
        <v/>
      </c>
    </row>
    <row r="622" customFormat="false" ht="32.8" hidden="false" customHeight="false" outlineLevel="0" collapsed="false">
      <c r="A622" s="18" t="s">
        <v>2839</v>
      </c>
      <c r="B622" s="18" t="s">
        <v>60</v>
      </c>
      <c r="C622" s="18" t="s">
        <v>61</v>
      </c>
      <c r="D622" s="18" t="s">
        <v>2801</v>
      </c>
      <c r="E622" s="18" t="n">
        <v>2</v>
      </c>
      <c r="F622" s="18" t="s">
        <v>2840</v>
      </c>
      <c r="G622" s="18" t="s">
        <v>459</v>
      </c>
      <c r="H622" s="18" t="s">
        <v>117</v>
      </c>
      <c r="I622" s="18"/>
      <c r="J622" s="18"/>
      <c r="K622" s="18"/>
      <c r="L622" s="18" t="s">
        <v>109</v>
      </c>
      <c r="M622" s="18" t="s">
        <v>109</v>
      </c>
      <c r="N622" s="18"/>
      <c r="O622" s="18"/>
      <c r="P622" s="18" t="s">
        <v>2841</v>
      </c>
      <c r="Q622" s="18" t="s">
        <v>134</v>
      </c>
      <c r="R622" s="18" t="s">
        <v>2842</v>
      </c>
      <c r="S622" s="18" t="s">
        <v>112</v>
      </c>
      <c r="T622" s="18" t="s">
        <v>2843</v>
      </c>
      <c r="U622" s="18" t="s">
        <v>2844</v>
      </c>
      <c r="V622" s="19" t="s">
        <v>29</v>
      </c>
      <c r="W622" s="19"/>
      <c r="X622" s="19"/>
      <c r="Y622" s="20"/>
      <c r="Z622" s="19"/>
      <c r="AA622" s="18" t="str">
        <f aca="false">IF(OR(V622="Aprobada"),R622,IF(AND(OR(V622="Aprobada con ajuste",V622="Rechazada"),W622&lt;&gt;""),W622,""))</f>
        <v/>
      </c>
    </row>
    <row r="623" customFormat="false" ht="22.35" hidden="false" customHeight="false" outlineLevel="0" collapsed="false">
      <c r="A623" s="18" t="s">
        <v>2845</v>
      </c>
      <c r="B623" s="18" t="s">
        <v>60</v>
      </c>
      <c r="C623" s="18" t="s">
        <v>61</v>
      </c>
      <c r="D623" s="18" t="s">
        <v>2801</v>
      </c>
      <c r="E623" s="18" t="n">
        <v>2</v>
      </c>
      <c r="F623" s="18" t="s">
        <v>2846</v>
      </c>
      <c r="G623" s="18" t="s">
        <v>116</v>
      </c>
      <c r="H623" s="18" t="s">
        <v>117</v>
      </c>
      <c r="I623" s="18"/>
      <c r="J623" s="18"/>
      <c r="K623" s="18"/>
      <c r="L623" s="18" t="s">
        <v>109</v>
      </c>
      <c r="M623" s="18" t="s">
        <v>109</v>
      </c>
      <c r="N623" s="18"/>
      <c r="O623" s="18"/>
      <c r="P623" s="18" t="s">
        <v>2847</v>
      </c>
      <c r="Q623" s="18" t="s">
        <v>134</v>
      </c>
      <c r="R623" s="18" t="s">
        <v>2848</v>
      </c>
      <c r="S623" s="18" t="s">
        <v>125</v>
      </c>
      <c r="T623" s="18" t="s">
        <v>2849</v>
      </c>
      <c r="U623" s="18"/>
      <c r="V623" s="19" t="s">
        <v>29</v>
      </c>
      <c r="W623" s="19"/>
      <c r="X623" s="19"/>
      <c r="Y623" s="20"/>
      <c r="Z623" s="19"/>
      <c r="AA623" s="18" t="str">
        <f aca="false">IF(OR(V623="Aprobada"),R623,IF(AND(OR(V623="Aprobada con ajuste",V623="Rechazada"),W623&lt;&gt;""),W623,""))</f>
        <v/>
      </c>
    </row>
    <row r="624" customFormat="false" ht="22.35" hidden="false" customHeight="false" outlineLevel="0" collapsed="false">
      <c r="A624" s="18" t="s">
        <v>2850</v>
      </c>
      <c r="B624" s="18" t="s">
        <v>60</v>
      </c>
      <c r="C624" s="18" t="s">
        <v>61</v>
      </c>
      <c r="D624" s="18" t="s">
        <v>2801</v>
      </c>
      <c r="E624" s="18" t="n">
        <v>2</v>
      </c>
      <c r="F624" s="18" t="s">
        <v>2851</v>
      </c>
      <c r="G624" s="18" t="s">
        <v>184</v>
      </c>
      <c r="H624" s="18" t="s">
        <v>117</v>
      </c>
      <c r="I624" s="18" t="s">
        <v>140</v>
      </c>
      <c r="J624" s="18"/>
      <c r="K624" s="18"/>
      <c r="L624" s="18" t="s">
        <v>109</v>
      </c>
      <c r="M624" s="18" t="s">
        <v>109</v>
      </c>
      <c r="N624" s="18"/>
      <c r="O624" s="18"/>
      <c r="P624" s="18" t="s">
        <v>2852</v>
      </c>
      <c r="Q624" s="18" t="s">
        <v>134</v>
      </c>
      <c r="R624" s="18" t="s">
        <v>2853</v>
      </c>
      <c r="S624" s="18" t="s">
        <v>125</v>
      </c>
      <c r="T624" s="18" t="s">
        <v>2854</v>
      </c>
      <c r="U624" s="18"/>
      <c r="V624" s="19" t="s">
        <v>29</v>
      </c>
      <c r="W624" s="19"/>
      <c r="X624" s="19"/>
      <c r="Y624" s="20"/>
      <c r="Z624" s="19"/>
      <c r="AA624" s="18" t="str">
        <f aca="false">IF(OR(V624="Aprobada"),R624,IF(AND(OR(V624="Aprobada con ajuste",V624="Rechazada"),W624&lt;&gt;""),W624,""))</f>
        <v/>
      </c>
    </row>
    <row r="625" customFormat="false" ht="22.35" hidden="false" customHeight="false" outlineLevel="0" collapsed="false">
      <c r="A625" s="18" t="s">
        <v>2855</v>
      </c>
      <c r="B625" s="18" t="s">
        <v>60</v>
      </c>
      <c r="C625" s="18" t="s">
        <v>61</v>
      </c>
      <c r="D625" s="18" t="s">
        <v>2801</v>
      </c>
      <c r="E625" s="18" t="n">
        <v>2</v>
      </c>
      <c r="F625" s="18" t="s">
        <v>2856</v>
      </c>
      <c r="G625" s="18" t="s">
        <v>459</v>
      </c>
      <c r="H625" s="18" t="s">
        <v>117</v>
      </c>
      <c r="I625" s="18"/>
      <c r="J625" s="18"/>
      <c r="K625" s="18"/>
      <c r="L625" s="18" t="s">
        <v>109</v>
      </c>
      <c r="M625" s="18" t="s">
        <v>109</v>
      </c>
      <c r="N625" s="18"/>
      <c r="O625" s="18"/>
      <c r="P625" s="18" t="s">
        <v>2857</v>
      </c>
      <c r="Q625" s="18" t="s">
        <v>134</v>
      </c>
      <c r="R625" s="18" t="s">
        <v>2858</v>
      </c>
      <c r="S625" s="18" t="s">
        <v>112</v>
      </c>
      <c r="T625" s="18" t="s">
        <v>2859</v>
      </c>
      <c r="U625" s="18" t="s">
        <v>2774</v>
      </c>
      <c r="V625" s="19" t="s">
        <v>29</v>
      </c>
      <c r="W625" s="19"/>
      <c r="X625" s="19"/>
      <c r="Y625" s="20"/>
      <c r="Z625" s="19"/>
      <c r="AA625" s="18" t="str">
        <f aca="false">IF(OR(V625="Aprobada"),R625,IF(AND(OR(V625="Aprobada con ajuste",V625="Rechazada"),W625&lt;&gt;""),W625,""))</f>
        <v/>
      </c>
    </row>
    <row r="626" customFormat="false" ht="22.35" hidden="false" customHeight="false" outlineLevel="0" collapsed="false">
      <c r="A626" s="18" t="s">
        <v>2860</v>
      </c>
      <c r="B626" s="18" t="s">
        <v>60</v>
      </c>
      <c r="C626" s="18" t="s">
        <v>61</v>
      </c>
      <c r="D626" s="18" t="s">
        <v>2801</v>
      </c>
      <c r="E626" s="18" t="n">
        <v>2</v>
      </c>
      <c r="F626" s="18" t="s">
        <v>2861</v>
      </c>
      <c r="G626" s="18" t="s">
        <v>116</v>
      </c>
      <c r="H626" s="18" t="s">
        <v>117</v>
      </c>
      <c r="I626" s="18" t="s">
        <v>140</v>
      </c>
      <c r="J626" s="18"/>
      <c r="K626" s="18"/>
      <c r="L626" s="18" t="s">
        <v>109</v>
      </c>
      <c r="M626" s="18" t="s">
        <v>109</v>
      </c>
      <c r="N626" s="18"/>
      <c r="O626" s="18"/>
      <c r="P626" s="18" t="s">
        <v>2862</v>
      </c>
      <c r="Q626" s="18" t="s">
        <v>110</v>
      </c>
      <c r="R626" s="18" t="s">
        <v>2863</v>
      </c>
      <c r="S626" s="18" t="s">
        <v>112</v>
      </c>
      <c r="T626" s="18" t="s">
        <v>113</v>
      </c>
      <c r="U626" s="18"/>
      <c r="V626" s="19" t="s">
        <v>29</v>
      </c>
      <c r="W626" s="19"/>
      <c r="X626" s="19"/>
      <c r="Y626" s="20"/>
      <c r="Z626" s="19"/>
      <c r="AA626" s="18" t="str">
        <f aca="false">IF(OR(V626="Aprobada"),R626,IF(AND(OR(V626="Aprobada con ajuste",V626="Rechazada"),W626&lt;&gt;""),W626,""))</f>
        <v/>
      </c>
    </row>
    <row r="627" customFormat="false" ht="43.25" hidden="false" customHeight="false" outlineLevel="0" collapsed="false">
      <c r="A627" s="18" t="s">
        <v>2864</v>
      </c>
      <c r="B627" s="18" t="s">
        <v>60</v>
      </c>
      <c r="C627" s="18" t="s">
        <v>61</v>
      </c>
      <c r="D627" s="18" t="s">
        <v>2801</v>
      </c>
      <c r="E627" s="18" t="n">
        <v>2</v>
      </c>
      <c r="F627" s="18" t="s">
        <v>2865</v>
      </c>
      <c r="G627" s="18" t="s">
        <v>184</v>
      </c>
      <c r="H627" s="18" t="s">
        <v>117</v>
      </c>
      <c r="I627" s="18" t="s">
        <v>140</v>
      </c>
      <c r="J627" s="18"/>
      <c r="K627" s="18"/>
      <c r="L627" s="18" t="s">
        <v>109</v>
      </c>
      <c r="M627" s="18" t="s">
        <v>109</v>
      </c>
      <c r="N627" s="18"/>
      <c r="O627" s="18"/>
      <c r="P627" s="18" t="s">
        <v>2866</v>
      </c>
      <c r="Q627" s="18" t="s">
        <v>123</v>
      </c>
      <c r="R627" s="18" t="s">
        <v>2867</v>
      </c>
      <c r="S627" s="18" t="s">
        <v>112</v>
      </c>
      <c r="T627" s="18" t="s">
        <v>2868</v>
      </c>
      <c r="U627" s="18" t="s">
        <v>2838</v>
      </c>
      <c r="V627" s="19" t="s">
        <v>29</v>
      </c>
      <c r="W627" s="19"/>
      <c r="X627" s="19"/>
      <c r="Y627" s="20"/>
      <c r="Z627" s="19"/>
      <c r="AA627" s="18" t="str">
        <f aca="false">IF(OR(V627="Aprobada"),R627,IF(AND(OR(V627="Aprobada con ajuste",V627="Rechazada"),W627&lt;&gt;""),W627,""))</f>
        <v/>
      </c>
    </row>
    <row r="628" customFormat="false" ht="22.35" hidden="false" customHeight="false" outlineLevel="0" collapsed="false">
      <c r="A628" s="18" t="s">
        <v>2869</v>
      </c>
      <c r="B628" s="18" t="s">
        <v>60</v>
      </c>
      <c r="C628" s="18" t="s">
        <v>61</v>
      </c>
      <c r="D628" s="18" t="s">
        <v>2801</v>
      </c>
      <c r="E628" s="18" t="n">
        <v>2</v>
      </c>
      <c r="F628" s="18" t="s">
        <v>2870</v>
      </c>
      <c r="G628" s="18" t="s">
        <v>459</v>
      </c>
      <c r="H628" s="18" t="s">
        <v>117</v>
      </c>
      <c r="I628" s="18"/>
      <c r="J628" s="18"/>
      <c r="K628" s="18"/>
      <c r="L628" s="18" t="s">
        <v>109</v>
      </c>
      <c r="M628" s="18" t="s">
        <v>109</v>
      </c>
      <c r="N628" s="18"/>
      <c r="O628" s="18"/>
      <c r="P628" s="18" t="s">
        <v>2871</v>
      </c>
      <c r="Q628" s="18" t="s">
        <v>134</v>
      </c>
      <c r="R628" s="18" t="s">
        <v>2872</v>
      </c>
      <c r="S628" s="18" t="s">
        <v>112</v>
      </c>
      <c r="T628" s="18" t="s">
        <v>2873</v>
      </c>
      <c r="U628" s="18" t="s">
        <v>2774</v>
      </c>
      <c r="V628" s="19" t="s">
        <v>29</v>
      </c>
      <c r="W628" s="19"/>
      <c r="X628" s="19"/>
      <c r="Y628" s="20"/>
      <c r="Z628" s="19"/>
      <c r="AA628" s="18" t="str">
        <f aca="false">IF(OR(V628="Aprobada"),R628,IF(AND(OR(V628="Aprobada con ajuste",V628="Rechazada"),W628&lt;&gt;""),W628,""))</f>
        <v/>
      </c>
    </row>
    <row r="629" customFormat="false" ht="43.25" hidden="false" customHeight="false" outlineLevel="0" collapsed="false">
      <c r="A629" s="18" t="s">
        <v>2874</v>
      </c>
      <c r="B629" s="18" t="s">
        <v>60</v>
      </c>
      <c r="C629" s="18" t="s">
        <v>61</v>
      </c>
      <c r="D629" s="18" t="s">
        <v>2801</v>
      </c>
      <c r="E629" s="18" t="n">
        <v>2</v>
      </c>
      <c r="F629" s="18" t="s">
        <v>2875</v>
      </c>
      <c r="G629" s="18" t="s">
        <v>121</v>
      </c>
      <c r="H629" s="18" t="s">
        <v>117</v>
      </c>
      <c r="I629" s="18"/>
      <c r="J629" s="18"/>
      <c r="K629" s="18"/>
      <c r="L629" s="18" t="s">
        <v>109</v>
      </c>
      <c r="M629" s="18" t="s">
        <v>109</v>
      </c>
      <c r="N629" s="18"/>
      <c r="O629" s="18"/>
      <c r="P629" s="18" t="s">
        <v>2876</v>
      </c>
      <c r="Q629" s="18" t="s">
        <v>123</v>
      </c>
      <c r="R629" s="18" t="s">
        <v>2877</v>
      </c>
      <c r="S629" s="18" t="s">
        <v>125</v>
      </c>
      <c r="T629" s="18" t="s">
        <v>2878</v>
      </c>
      <c r="U629" s="18"/>
      <c r="V629" s="19" t="s">
        <v>29</v>
      </c>
      <c r="W629" s="19"/>
      <c r="X629" s="19"/>
      <c r="Y629" s="20"/>
      <c r="Z629" s="19"/>
      <c r="AA629" s="18" t="str">
        <f aca="false">IF(OR(V629="Aprobada"),R629,IF(AND(OR(V629="Aprobada con ajuste",V629="Rechazada"),W629&lt;&gt;""),W629,""))</f>
        <v/>
      </c>
    </row>
    <row r="630" customFormat="false" ht="22.35" hidden="false" customHeight="false" outlineLevel="0" collapsed="false">
      <c r="A630" s="18" t="s">
        <v>2879</v>
      </c>
      <c r="B630" s="18" t="s">
        <v>60</v>
      </c>
      <c r="C630" s="18" t="s">
        <v>61</v>
      </c>
      <c r="D630" s="18" t="s">
        <v>2801</v>
      </c>
      <c r="E630" s="18" t="n">
        <v>2</v>
      </c>
      <c r="F630" s="18" t="s">
        <v>1437</v>
      </c>
      <c r="G630" s="18" t="s">
        <v>184</v>
      </c>
      <c r="H630" s="18" t="s">
        <v>117</v>
      </c>
      <c r="I630" s="18" t="s">
        <v>140</v>
      </c>
      <c r="J630" s="18"/>
      <c r="K630" s="18"/>
      <c r="L630" s="18" t="s">
        <v>109</v>
      </c>
      <c r="M630" s="18" t="s">
        <v>109</v>
      </c>
      <c r="N630" s="18"/>
      <c r="O630" s="18"/>
      <c r="P630" s="18" t="s">
        <v>2880</v>
      </c>
      <c r="Q630" s="18" t="s">
        <v>110</v>
      </c>
      <c r="R630" s="18" t="s">
        <v>1439</v>
      </c>
      <c r="S630" s="18" t="s">
        <v>112</v>
      </c>
      <c r="T630" s="18" t="s">
        <v>113</v>
      </c>
      <c r="U630" s="18"/>
      <c r="V630" s="19" t="s">
        <v>29</v>
      </c>
      <c r="W630" s="19"/>
      <c r="X630" s="19"/>
      <c r="Y630" s="20"/>
      <c r="Z630" s="19"/>
      <c r="AA630" s="18" t="str">
        <f aca="false">IF(OR(V630="Aprobada"),R630,IF(AND(OR(V630="Aprobada con ajuste",V630="Rechazada"),W630&lt;&gt;""),W630,""))</f>
        <v/>
      </c>
    </row>
    <row r="631" customFormat="false" ht="22.35" hidden="false" customHeight="false" outlineLevel="0" collapsed="false">
      <c r="A631" s="18" t="s">
        <v>2881</v>
      </c>
      <c r="B631" s="18" t="s">
        <v>60</v>
      </c>
      <c r="C631" s="18" t="s">
        <v>61</v>
      </c>
      <c r="D631" s="18" t="s">
        <v>2801</v>
      </c>
      <c r="E631" s="18" t="n">
        <v>2</v>
      </c>
      <c r="F631" s="18" t="s">
        <v>1441</v>
      </c>
      <c r="G631" s="18" t="s">
        <v>459</v>
      </c>
      <c r="H631" s="18" t="s">
        <v>117</v>
      </c>
      <c r="I631" s="18"/>
      <c r="J631" s="18"/>
      <c r="K631" s="18"/>
      <c r="L631" s="18" t="s">
        <v>109</v>
      </c>
      <c r="M631" s="18" t="s">
        <v>109</v>
      </c>
      <c r="N631" s="18"/>
      <c r="O631" s="18"/>
      <c r="P631" s="18" t="s">
        <v>2882</v>
      </c>
      <c r="Q631" s="18" t="s">
        <v>110</v>
      </c>
      <c r="R631" s="18" t="s">
        <v>1443</v>
      </c>
      <c r="S631" s="18" t="s">
        <v>112</v>
      </c>
      <c r="T631" s="18" t="s">
        <v>113</v>
      </c>
      <c r="U631" s="18"/>
      <c r="V631" s="19" t="s">
        <v>29</v>
      </c>
      <c r="W631" s="19"/>
      <c r="X631" s="19"/>
      <c r="Y631" s="20"/>
      <c r="Z631" s="19"/>
      <c r="AA631" s="18" t="str">
        <f aca="false">IF(OR(V631="Aprobada"),R631,IF(AND(OR(V631="Aprobada con ajuste",V631="Rechazada"),W631&lt;&gt;""),W631,""))</f>
        <v/>
      </c>
    </row>
    <row r="632" customFormat="false" ht="22.35" hidden="false" customHeight="false" outlineLevel="0" collapsed="false">
      <c r="A632" s="18" t="s">
        <v>2883</v>
      </c>
      <c r="B632" s="18" t="s">
        <v>60</v>
      </c>
      <c r="C632" s="18" t="s">
        <v>61</v>
      </c>
      <c r="D632" s="18" t="s">
        <v>2801</v>
      </c>
      <c r="E632" s="18" t="n">
        <v>2</v>
      </c>
      <c r="F632" s="18" t="s">
        <v>1445</v>
      </c>
      <c r="G632" s="18" t="s">
        <v>116</v>
      </c>
      <c r="H632" s="18" t="s">
        <v>117</v>
      </c>
      <c r="I632" s="18" t="s">
        <v>140</v>
      </c>
      <c r="J632" s="18"/>
      <c r="K632" s="18"/>
      <c r="L632" s="18" t="s">
        <v>109</v>
      </c>
      <c r="M632" s="18" t="s">
        <v>109</v>
      </c>
      <c r="N632" s="18"/>
      <c r="O632" s="18"/>
      <c r="P632" s="18" t="s">
        <v>2884</v>
      </c>
      <c r="Q632" s="18" t="s">
        <v>110</v>
      </c>
      <c r="R632" s="18" t="s">
        <v>1447</v>
      </c>
      <c r="S632" s="18" t="s">
        <v>112</v>
      </c>
      <c r="T632" s="18" t="s">
        <v>113</v>
      </c>
      <c r="U632" s="18"/>
      <c r="V632" s="19" t="s">
        <v>29</v>
      </c>
      <c r="W632" s="19"/>
      <c r="X632" s="19"/>
      <c r="Y632" s="20"/>
      <c r="Z632" s="19"/>
      <c r="AA632" s="18" t="str">
        <f aca="false">IF(OR(V632="Aprobada"),R632,IF(AND(OR(V632="Aprobada con ajuste",V632="Rechazada"),W632&lt;&gt;""),W632,""))</f>
        <v/>
      </c>
    </row>
    <row r="633" customFormat="false" ht="22.35" hidden="false" customHeight="false" outlineLevel="0" collapsed="false">
      <c r="A633" s="18" t="s">
        <v>2885</v>
      </c>
      <c r="B633" s="18" t="s">
        <v>60</v>
      </c>
      <c r="C633" s="18" t="s">
        <v>61</v>
      </c>
      <c r="D633" s="18" t="s">
        <v>2886</v>
      </c>
      <c r="E633" s="18" t="n">
        <v>6</v>
      </c>
      <c r="F633" s="18" t="s">
        <v>1102</v>
      </c>
      <c r="G633" s="18" t="s">
        <v>139</v>
      </c>
      <c r="H633" s="18" t="s">
        <v>109</v>
      </c>
      <c r="I633" s="18" t="s">
        <v>140</v>
      </c>
      <c r="J633" s="18"/>
      <c r="K633" s="18"/>
      <c r="L633" s="18" t="s">
        <v>117</v>
      </c>
      <c r="M633" s="18" t="s">
        <v>109</v>
      </c>
      <c r="N633" s="18"/>
      <c r="O633" s="18"/>
      <c r="P633" s="18"/>
      <c r="Q633" s="18" t="s">
        <v>134</v>
      </c>
      <c r="R633" s="18" t="s">
        <v>2887</v>
      </c>
      <c r="S633" s="18" t="s">
        <v>112</v>
      </c>
      <c r="T633" s="18" t="s">
        <v>2888</v>
      </c>
      <c r="U633" s="18" t="s">
        <v>2889</v>
      </c>
      <c r="V633" s="19" t="s">
        <v>29</v>
      </c>
      <c r="W633" s="19"/>
      <c r="X633" s="19"/>
      <c r="Y633" s="20"/>
      <c r="Z633" s="19"/>
      <c r="AA633" s="18" t="str">
        <f aca="false">IF(OR(V633="Aprobada"),R633,IF(AND(OR(V633="Aprobada con ajuste",V633="Rechazada"),W633&lt;&gt;""),W633,""))</f>
        <v/>
      </c>
    </row>
    <row r="634" customFormat="false" ht="32.8" hidden="false" customHeight="false" outlineLevel="0" collapsed="false">
      <c r="A634" s="18" t="s">
        <v>2890</v>
      </c>
      <c r="B634" s="18" t="s">
        <v>60</v>
      </c>
      <c r="C634" s="18" t="s">
        <v>61</v>
      </c>
      <c r="D634" s="18" t="s">
        <v>2886</v>
      </c>
      <c r="E634" s="18" t="n">
        <v>6</v>
      </c>
      <c r="F634" s="18" t="s">
        <v>2891</v>
      </c>
      <c r="G634" s="18" t="s">
        <v>139</v>
      </c>
      <c r="H634" s="18" t="s">
        <v>109</v>
      </c>
      <c r="I634" s="18" t="s">
        <v>140</v>
      </c>
      <c r="J634" s="18"/>
      <c r="K634" s="18"/>
      <c r="L634" s="18" t="s">
        <v>117</v>
      </c>
      <c r="M634" s="18" t="s">
        <v>109</v>
      </c>
      <c r="N634" s="18"/>
      <c r="O634" s="18"/>
      <c r="P634" s="18" t="s">
        <v>2892</v>
      </c>
      <c r="Q634" s="18" t="s">
        <v>123</v>
      </c>
      <c r="R634" s="18" t="s">
        <v>2893</v>
      </c>
      <c r="S634" s="18" t="s">
        <v>125</v>
      </c>
      <c r="T634" s="18" t="s">
        <v>2894</v>
      </c>
      <c r="U634" s="18"/>
      <c r="V634" s="19" t="s">
        <v>29</v>
      </c>
      <c r="W634" s="19"/>
      <c r="X634" s="19"/>
      <c r="Y634" s="20"/>
      <c r="Z634" s="19"/>
      <c r="AA634" s="18" t="str">
        <f aca="false">IF(OR(V634="Aprobada"),R634,IF(AND(OR(V634="Aprobada con ajuste",V634="Rechazada"),W634&lt;&gt;""),W634,""))</f>
        <v/>
      </c>
    </row>
    <row r="635" customFormat="false" ht="22.35" hidden="false" customHeight="false" outlineLevel="0" collapsed="false">
      <c r="A635" s="18" t="s">
        <v>2895</v>
      </c>
      <c r="B635" s="18" t="s">
        <v>60</v>
      </c>
      <c r="C635" s="18" t="s">
        <v>61</v>
      </c>
      <c r="D635" s="18" t="s">
        <v>2886</v>
      </c>
      <c r="E635" s="18" t="n">
        <v>6</v>
      </c>
      <c r="F635" s="18" t="s">
        <v>2896</v>
      </c>
      <c r="G635" s="18" t="s">
        <v>139</v>
      </c>
      <c r="H635" s="18" t="s">
        <v>109</v>
      </c>
      <c r="I635" s="18" t="s">
        <v>140</v>
      </c>
      <c r="J635" s="18"/>
      <c r="K635" s="18"/>
      <c r="L635" s="18" t="s">
        <v>117</v>
      </c>
      <c r="M635" s="18" t="s">
        <v>109</v>
      </c>
      <c r="N635" s="18"/>
      <c r="O635" s="18"/>
      <c r="P635" s="18"/>
      <c r="Q635" s="18" t="s">
        <v>134</v>
      </c>
      <c r="R635" s="18" t="s">
        <v>2897</v>
      </c>
      <c r="S635" s="18" t="s">
        <v>125</v>
      </c>
      <c r="T635" s="18" t="s">
        <v>2898</v>
      </c>
      <c r="U635" s="18"/>
      <c r="V635" s="19" t="s">
        <v>29</v>
      </c>
      <c r="W635" s="19"/>
      <c r="X635" s="19"/>
      <c r="Y635" s="20"/>
      <c r="Z635" s="19"/>
      <c r="AA635" s="18" t="str">
        <f aca="false">IF(OR(V635="Aprobada"),R635,IF(AND(OR(V635="Aprobada con ajuste",V635="Rechazada"),W635&lt;&gt;""),W635,""))</f>
        <v/>
      </c>
    </row>
    <row r="636" customFormat="false" ht="22.35" hidden="false" customHeight="false" outlineLevel="0" collapsed="false">
      <c r="A636" s="18" t="s">
        <v>2899</v>
      </c>
      <c r="B636" s="18" t="s">
        <v>60</v>
      </c>
      <c r="C636" s="18" t="s">
        <v>61</v>
      </c>
      <c r="D636" s="18" t="s">
        <v>2886</v>
      </c>
      <c r="E636" s="18" t="n">
        <v>6</v>
      </c>
      <c r="F636" s="18" t="s">
        <v>1018</v>
      </c>
      <c r="G636" s="18" t="s">
        <v>116</v>
      </c>
      <c r="H636" s="18" t="s">
        <v>109</v>
      </c>
      <c r="I636" s="18"/>
      <c r="J636" s="18"/>
      <c r="K636" s="18"/>
      <c r="L636" s="18" t="s">
        <v>117</v>
      </c>
      <c r="M636" s="18" t="s">
        <v>109</v>
      </c>
      <c r="N636" s="18"/>
      <c r="O636" s="18"/>
      <c r="P636" s="18"/>
      <c r="Q636" s="18" t="s">
        <v>110</v>
      </c>
      <c r="R636" s="18" t="s">
        <v>2900</v>
      </c>
      <c r="S636" s="18" t="s">
        <v>112</v>
      </c>
      <c r="T636" s="18" t="s">
        <v>113</v>
      </c>
      <c r="U636" s="18"/>
      <c r="V636" s="19" t="s">
        <v>29</v>
      </c>
      <c r="W636" s="19"/>
      <c r="X636" s="19"/>
      <c r="Y636" s="20"/>
      <c r="Z636" s="19"/>
      <c r="AA636" s="18" t="str">
        <f aca="false">IF(OR(V636="Aprobada"),R636,IF(AND(OR(V636="Aprobada con ajuste",V636="Rechazada"),W636&lt;&gt;""),W636,""))</f>
        <v/>
      </c>
    </row>
    <row r="637" customFormat="false" ht="95.5" hidden="false" customHeight="false" outlineLevel="0" collapsed="false">
      <c r="A637" s="18" t="s">
        <v>2901</v>
      </c>
      <c r="B637" s="18" t="s">
        <v>60</v>
      </c>
      <c r="C637" s="18" t="s">
        <v>61</v>
      </c>
      <c r="D637" s="18" t="s">
        <v>2902</v>
      </c>
      <c r="E637" s="18" t="n">
        <v>2</v>
      </c>
      <c r="F637" s="18" t="s">
        <v>1102</v>
      </c>
      <c r="G637" s="18" t="s">
        <v>1509</v>
      </c>
      <c r="H637" s="18" t="s">
        <v>109</v>
      </c>
      <c r="I637" s="18" t="s">
        <v>140</v>
      </c>
      <c r="J637" s="18"/>
      <c r="K637" s="18"/>
      <c r="L637" s="18" t="s">
        <v>117</v>
      </c>
      <c r="M637" s="18" t="s">
        <v>109</v>
      </c>
      <c r="N637" s="18"/>
      <c r="O637" s="18"/>
      <c r="P637" s="18" t="s">
        <v>2903</v>
      </c>
      <c r="Q637" s="18" t="s">
        <v>134</v>
      </c>
      <c r="R637" s="18" t="s">
        <v>2904</v>
      </c>
      <c r="S637" s="18" t="s">
        <v>125</v>
      </c>
      <c r="T637" s="18" t="s">
        <v>2905</v>
      </c>
      <c r="U637" s="18"/>
      <c r="V637" s="19" t="s">
        <v>29</v>
      </c>
      <c r="W637" s="19"/>
      <c r="X637" s="19"/>
      <c r="Y637" s="20"/>
      <c r="Z637" s="19"/>
      <c r="AA637" s="18" t="str">
        <f aca="false">IF(OR(V637="Aprobada"),R637,IF(AND(OR(V637="Aprobada con ajuste",V637="Rechazada"),W637&lt;&gt;""),W637,""))</f>
        <v/>
      </c>
    </row>
    <row r="638" customFormat="false" ht="64.15" hidden="false" customHeight="false" outlineLevel="0" collapsed="false">
      <c r="A638" s="18" t="s">
        <v>2906</v>
      </c>
      <c r="B638" s="18" t="s">
        <v>60</v>
      </c>
      <c r="C638" s="18" t="s">
        <v>61</v>
      </c>
      <c r="D638" s="18" t="s">
        <v>2902</v>
      </c>
      <c r="E638" s="18" t="n">
        <v>2</v>
      </c>
      <c r="F638" s="18" t="s">
        <v>2907</v>
      </c>
      <c r="G638" s="18" t="s">
        <v>195</v>
      </c>
      <c r="H638" s="18" t="s">
        <v>117</v>
      </c>
      <c r="I638" s="18" t="s">
        <v>140</v>
      </c>
      <c r="J638" s="18" t="s">
        <v>2908</v>
      </c>
      <c r="K638" s="18"/>
      <c r="L638" s="18" t="s">
        <v>117</v>
      </c>
      <c r="M638" s="18" t="s">
        <v>109</v>
      </c>
      <c r="N638" s="18"/>
      <c r="O638" s="18"/>
      <c r="P638" s="18" t="s">
        <v>2909</v>
      </c>
      <c r="Q638" s="18" t="s">
        <v>123</v>
      </c>
      <c r="R638" s="18" t="s">
        <v>2910</v>
      </c>
      <c r="S638" s="18" t="s">
        <v>125</v>
      </c>
      <c r="T638" s="18" t="s">
        <v>2911</v>
      </c>
      <c r="U638" s="18"/>
      <c r="V638" s="19" t="s">
        <v>29</v>
      </c>
      <c r="W638" s="19"/>
      <c r="X638" s="19"/>
      <c r="Y638" s="20"/>
      <c r="Z638" s="19"/>
      <c r="AA638" s="18" t="str">
        <f aca="false">IF(OR(V638="Aprobada"),R638,IF(AND(OR(V638="Aprobada con ajuste",V638="Rechazada"),W638&lt;&gt;""),W638,""))</f>
        <v/>
      </c>
    </row>
    <row r="639" customFormat="false" ht="74.6" hidden="false" customHeight="false" outlineLevel="0" collapsed="false">
      <c r="A639" s="18" t="s">
        <v>2912</v>
      </c>
      <c r="B639" s="18" t="s">
        <v>60</v>
      </c>
      <c r="C639" s="18" t="s">
        <v>61</v>
      </c>
      <c r="D639" s="18" t="s">
        <v>2902</v>
      </c>
      <c r="E639" s="18" t="n">
        <v>2</v>
      </c>
      <c r="F639" s="18" t="s">
        <v>1018</v>
      </c>
      <c r="G639" s="18" t="s">
        <v>459</v>
      </c>
      <c r="H639" s="18" t="s">
        <v>109</v>
      </c>
      <c r="I639" s="18"/>
      <c r="J639" s="18"/>
      <c r="K639" s="18"/>
      <c r="L639" s="18" t="s">
        <v>117</v>
      </c>
      <c r="M639" s="18" t="s">
        <v>109</v>
      </c>
      <c r="N639" s="18"/>
      <c r="O639" s="18"/>
      <c r="P639" s="18" t="s">
        <v>2913</v>
      </c>
      <c r="Q639" s="18" t="s">
        <v>110</v>
      </c>
      <c r="R639" s="18" t="s">
        <v>2914</v>
      </c>
      <c r="S639" s="18" t="s">
        <v>112</v>
      </c>
      <c r="T639" s="18" t="s">
        <v>113</v>
      </c>
      <c r="U639" s="18"/>
      <c r="V639" s="19" t="s">
        <v>29</v>
      </c>
      <c r="W639" s="19"/>
      <c r="X639" s="19"/>
      <c r="Y639" s="20"/>
      <c r="Z639" s="19"/>
      <c r="AA639" s="18" t="str">
        <f aca="false">IF(OR(V639="Aprobada"),R639,IF(AND(OR(V639="Aprobada con ajuste",V639="Rechazada"),W639&lt;&gt;""),W639,""))</f>
        <v/>
      </c>
    </row>
    <row r="640" customFormat="false" ht="43.25" hidden="false" customHeight="false" outlineLevel="0" collapsed="false">
      <c r="A640" s="18" t="s">
        <v>2915</v>
      </c>
      <c r="B640" s="18" t="s">
        <v>60</v>
      </c>
      <c r="C640" s="18" t="s">
        <v>61</v>
      </c>
      <c r="D640" s="18" t="s">
        <v>2902</v>
      </c>
      <c r="E640" s="18" t="n">
        <v>2</v>
      </c>
      <c r="F640" s="18" t="s">
        <v>1685</v>
      </c>
      <c r="G640" s="18" t="s">
        <v>116</v>
      </c>
      <c r="H640" s="18" t="s">
        <v>117</v>
      </c>
      <c r="I640" s="18"/>
      <c r="J640" s="18"/>
      <c r="K640" s="18"/>
      <c r="L640" s="18" t="s">
        <v>117</v>
      </c>
      <c r="M640" s="18" t="s">
        <v>109</v>
      </c>
      <c r="N640" s="18"/>
      <c r="O640" s="18"/>
      <c r="P640" s="18" t="s">
        <v>2916</v>
      </c>
      <c r="Q640" s="18" t="s">
        <v>123</v>
      </c>
      <c r="R640" s="18" t="s">
        <v>2917</v>
      </c>
      <c r="S640" s="18" t="s">
        <v>125</v>
      </c>
      <c r="T640" s="18" t="s">
        <v>2918</v>
      </c>
      <c r="U640" s="18"/>
      <c r="V640" s="19" t="s">
        <v>29</v>
      </c>
      <c r="W640" s="19"/>
      <c r="X640" s="19"/>
      <c r="Y640" s="20"/>
      <c r="Z640" s="19"/>
      <c r="AA640" s="18" t="str">
        <f aca="false">IF(OR(V640="Aprobada"),R640,IF(AND(OR(V640="Aprobada con ajuste",V640="Rechazada"),W640&lt;&gt;""),W640,""))</f>
        <v/>
      </c>
    </row>
    <row r="641" customFormat="false" ht="53.7" hidden="false" customHeight="false" outlineLevel="0" collapsed="false">
      <c r="A641" s="18" t="s">
        <v>2919</v>
      </c>
      <c r="B641" s="18" t="s">
        <v>60</v>
      </c>
      <c r="C641" s="18" t="s">
        <v>61</v>
      </c>
      <c r="D641" s="18" t="s">
        <v>2902</v>
      </c>
      <c r="E641" s="18" t="n">
        <v>2</v>
      </c>
      <c r="F641" s="18" t="s">
        <v>1637</v>
      </c>
      <c r="G641" s="18" t="s">
        <v>145</v>
      </c>
      <c r="H641" s="18" t="s">
        <v>109</v>
      </c>
      <c r="I641" s="18"/>
      <c r="J641" s="18"/>
      <c r="K641" s="18"/>
      <c r="L641" s="18" t="s">
        <v>117</v>
      </c>
      <c r="M641" s="18" t="s">
        <v>109</v>
      </c>
      <c r="N641" s="18"/>
      <c r="O641" s="18"/>
      <c r="P641" s="18" t="s">
        <v>2920</v>
      </c>
      <c r="Q641" s="18" t="s">
        <v>123</v>
      </c>
      <c r="R641" s="18" t="s">
        <v>2921</v>
      </c>
      <c r="S641" s="18" t="s">
        <v>125</v>
      </c>
      <c r="T641" s="18" t="s">
        <v>2922</v>
      </c>
      <c r="U641" s="18"/>
      <c r="V641" s="19" t="s">
        <v>29</v>
      </c>
      <c r="W641" s="19"/>
      <c r="X641" s="19"/>
      <c r="Y641" s="20"/>
      <c r="Z641" s="19"/>
      <c r="AA641" s="18" t="str">
        <f aca="false">IF(OR(V641="Aprobada"),R641,IF(AND(OR(V641="Aprobada con ajuste",V641="Rechazada"),W641&lt;&gt;""),W641,""))</f>
        <v/>
      </c>
    </row>
    <row r="642" customFormat="false" ht="43.25" hidden="false" customHeight="false" outlineLevel="0" collapsed="false">
      <c r="A642" s="18" t="s">
        <v>2923</v>
      </c>
      <c r="B642" s="18" t="s">
        <v>60</v>
      </c>
      <c r="C642" s="18" t="s">
        <v>61</v>
      </c>
      <c r="D642" s="18" t="s">
        <v>2924</v>
      </c>
      <c r="E642" s="18" t="n">
        <v>17</v>
      </c>
      <c r="F642" s="18" t="s">
        <v>2925</v>
      </c>
      <c r="G642" s="18" t="s">
        <v>151</v>
      </c>
      <c r="H642" s="18" t="s">
        <v>109</v>
      </c>
      <c r="I642" s="18" t="s">
        <v>140</v>
      </c>
      <c r="J642" s="18" t="s">
        <v>2926</v>
      </c>
      <c r="K642" s="18"/>
      <c r="L642" s="18" t="s">
        <v>117</v>
      </c>
      <c r="M642" s="18" t="s">
        <v>109</v>
      </c>
      <c r="N642" s="18"/>
      <c r="O642" s="18" t="s">
        <v>2927</v>
      </c>
      <c r="P642" s="18" t="s">
        <v>2928</v>
      </c>
      <c r="Q642" s="18" t="s">
        <v>134</v>
      </c>
      <c r="R642" s="18" t="s">
        <v>2929</v>
      </c>
      <c r="S642" s="18" t="s">
        <v>125</v>
      </c>
      <c r="T642" s="18" t="s">
        <v>2930</v>
      </c>
      <c r="U642" s="18"/>
      <c r="V642" s="19" t="s">
        <v>29</v>
      </c>
      <c r="W642" s="19"/>
      <c r="X642" s="19"/>
      <c r="Y642" s="20"/>
      <c r="Z642" s="19"/>
      <c r="AA642" s="18" t="str">
        <f aca="false">IF(OR(V642="Aprobada"),R642,IF(AND(OR(V642="Aprobada con ajuste",V642="Rechazada"),W642&lt;&gt;""),W642,""))</f>
        <v/>
      </c>
    </row>
    <row r="643" customFormat="false" ht="85.05" hidden="false" customHeight="false" outlineLevel="0" collapsed="false">
      <c r="A643" s="18" t="s">
        <v>2931</v>
      </c>
      <c r="B643" s="18" t="s">
        <v>60</v>
      </c>
      <c r="C643" s="18" t="s">
        <v>61</v>
      </c>
      <c r="D643" s="18" t="s">
        <v>2924</v>
      </c>
      <c r="E643" s="18" t="n">
        <v>17</v>
      </c>
      <c r="F643" s="18" t="s">
        <v>2932</v>
      </c>
      <c r="G643" s="18" t="s">
        <v>249</v>
      </c>
      <c r="H643" s="18" t="s">
        <v>117</v>
      </c>
      <c r="I643" s="18"/>
      <c r="J643" s="18"/>
      <c r="K643" s="18"/>
      <c r="L643" s="18" t="s">
        <v>109</v>
      </c>
      <c r="M643" s="18" t="s">
        <v>109</v>
      </c>
      <c r="N643" s="18"/>
      <c r="O643" s="18"/>
      <c r="P643" s="18" t="s">
        <v>2933</v>
      </c>
      <c r="Q643" s="18" t="s">
        <v>123</v>
      </c>
      <c r="R643" s="18" t="s">
        <v>2934</v>
      </c>
      <c r="S643" s="18" t="s">
        <v>125</v>
      </c>
      <c r="T643" s="18" t="s">
        <v>2935</v>
      </c>
      <c r="U643" s="18"/>
      <c r="V643" s="19" t="s">
        <v>29</v>
      </c>
      <c r="W643" s="19"/>
      <c r="X643" s="19"/>
      <c r="Y643" s="20"/>
      <c r="Z643" s="19"/>
      <c r="AA643" s="18" t="str">
        <f aca="false">IF(OR(V643="Aprobada"),R643,IF(AND(OR(V643="Aprobada con ajuste",V643="Rechazada"),W643&lt;&gt;""),W643,""))</f>
        <v/>
      </c>
    </row>
    <row r="644" customFormat="false" ht="116.4" hidden="false" customHeight="false" outlineLevel="0" collapsed="false">
      <c r="A644" s="18" t="s">
        <v>2936</v>
      </c>
      <c r="B644" s="18" t="s">
        <v>60</v>
      </c>
      <c r="C644" s="18" t="s">
        <v>61</v>
      </c>
      <c r="D644" s="18" t="s">
        <v>2924</v>
      </c>
      <c r="E644" s="18" t="n">
        <v>17</v>
      </c>
      <c r="F644" s="18" t="s">
        <v>2937</v>
      </c>
      <c r="G644" s="18" t="s">
        <v>121</v>
      </c>
      <c r="H644" s="18" t="s">
        <v>109</v>
      </c>
      <c r="I644" s="18"/>
      <c r="J644" s="18"/>
      <c r="K644" s="18"/>
      <c r="L644" s="18" t="s">
        <v>109</v>
      </c>
      <c r="M644" s="18" t="s">
        <v>109</v>
      </c>
      <c r="N644" s="18"/>
      <c r="O644" s="18"/>
      <c r="P644" s="18" t="s">
        <v>2938</v>
      </c>
      <c r="Q644" s="18" t="s">
        <v>123</v>
      </c>
      <c r="R644" s="18" t="s">
        <v>2939</v>
      </c>
      <c r="S644" s="18" t="s">
        <v>125</v>
      </c>
      <c r="T644" s="18" t="s">
        <v>2940</v>
      </c>
      <c r="U644" s="18"/>
      <c r="V644" s="19" t="s">
        <v>29</v>
      </c>
      <c r="W644" s="19"/>
      <c r="X644" s="19"/>
      <c r="Y644" s="20"/>
      <c r="Z644" s="19"/>
      <c r="AA644" s="18" t="str">
        <f aca="false">IF(OR(V644="Aprobada"),R644,IF(AND(OR(V644="Aprobada con ajuste",V644="Rechazada"),W644&lt;&gt;""),W644,""))</f>
        <v/>
      </c>
    </row>
    <row r="645" customFormat="false" ht="105.95" hidden="false" customHeight="false" outlineLevel="0" collapsed="false">
      <c r="A645" s="18" t="s">
        <v>2941</v>
      </c>
      <c r="B645" s="18" t="s">
        <v>60</v>
      </c>
      <c r="C645" s="18" t="s">
        <v>61</v>
      </c>
      <c r="D645" s="18" t="s">
        <v>2924</v>
      </c>
      <c r="E645" s="18" t="n">
        <v>17</v>
      </c>
      <c r="F645" s="18" t="s">
        <v>2571</v>
      </c>
      <c r="G645" s="18" t="s">
        <v>249</v>
      </c>
      <c r="H645" s="18" t="s">
        <v>117</v>
      </c>
      <c r="I645" s="18"/>
      <c r="J645" s="18"/>
      <c r="K645" s="18"/>
      <c r="L645" s="18" t="s">
        <v>109</v>
      </c>
      <c r="M645" s="18" t="s">
        <v>109</v>
      </c>
      <c r="N645" s="18"/>
      <c r="O645" s="18"/>
      <c r="P645" s="18" t="s">
        <v>2942</v>
      </c>
      <c r="Q645" s="18" t="s">
        <v>123</v>
      </c>
      <c r="R645" s="18" t="s">
        <v>2943</v>
      </c>
      <c r="S645" s="18" t="s">
        <v>125</v>
      </c>
      <c r="T645" s="18" t="s">
        <v>2944</v>
      </c>
      <c r="U645" s="18"/>
      <c r="V645" s="19" t="s">
        <v>29</v>
      </c>
      <c r="W645" s="19"/>
      <c r="X645" s="19"/>
      <c r="Y645" s="20"/>
      <c r="Z645" s="19"/>
      <c r="AA645" s="18" t="str">
        <f aca="false">IF(OR(V645="Aprobada"),R645,IF(AND(OR(V645="Aprobada con ajuste",V645="Rechazada"),W645&lt;&gt;""),W645,""))</f>
        <v/>
      </c>
    </row>
    <row r="646" customFormat="false" ht="116.4" hidden="false" customHeight="false" outlineLevel="0" collapsed="false">
      <c r="A646" s="18" t="s">
        <v>2945</v>
      </c>
      <c r="B646" s="18" t="s">
        <v>60</v>
      </c>
      <c r="C646" s="18" t="s">
        <v>61</v>
      </c>
      <c r="D646" s="18" t="s">
        <v>2924</v>
      </c>
      <c r="E646" s="18" t="n">
        <v>17</v>
      </c>
      <c r="F646" s="18" t="s">
        <v>129</v>
      </c>
      <c r="G646" s="18" t="s">
        <v>459</v>
      </c>
      <c r="H646" s="18" t="s">
        <v>109</v>
      </c>
      <c r="I646" s="18"/>
      <c r="J646" s="18"/>
      <c r="K646" s="18"/>
      <c r="L646" s="18" t="s">
        <v>109</v>
      </c>
      <c r="M646" s="18" t="s">
        <v>109</v>
      </c>
      <c r="N646" s="18"/>
      <c r="O646" s="18"/>
      <c r="P646" s="18" t="s">
        <v>2946</v>
      </c>
      <c r="Q646" s="18" t="s">
        <v>123</v>
      </c>
      <c r="R646" s="18" t="s">
        <v>2947</v>
      </c>
      <c r="S646" s="18" t="s">
        <v>125</v>
      </c>
      <c r="T646" s="18" t="s">
        <v>2948</v>
      </c>
      <c r="U646" s="18"/>
      <c r="V646" s="19" t="s">
        <v>29</v>
      </c>
      <c r="W646" s="19"/>
      <c r="X646" s="19"/>
      <c r="Y646" s="20"/>
      <c r="Z646" s="19"/>
      <c r="AA646" s="18" t="str">
        <f aca="false">IF(OR(V646="Aprobada"),R646,IF(AND(OR(V646="Aprobada con ajuste",V646="Rechazada"),W646&lt;&gt;""),W646,""))</f>
        <v/>
      </c>
    </row>
    <row r="647" customFormat="false" ht="32.8" hidden="false" customHeight="false" outlineLevel="0" collapsed="false">
      <c r="A647" s="18" t="s">
        <v>2949</v>
      </c>
      <c r="B647" s="18" t="s">
        <v>60</v>
      </c>
      <c r="C647" s="18" t="s">
        <v>61</v>
      </c>
      <c r="D647" s="18" t="s">
        <v>2924</v>
      </c>
      <c r="E647" s="18" t="n">
        <v>17</v>
      </c>
      <c r="F647" s="18" t="s">
        <v>2950</v>
      </c>
      <c r="G647" s="18" t="s">
        <v>459</v>
      </c>
      <c r="H647" s="18" t="s">
        <v>117</v>
      </c>
      <c r="I647" s="18"/>
      <c r="J647" s="18"/>
      <c r="K647" s="18"/>
      <c r="L647" s="18" t="s">
        <v>109</v>
      </c>
      <c r="M647" s="18" t="s">
        <v>109</v>
      </c>
      <c r="N647" s="18"/>
      <c r="O647" s="18"/>
      <c r="P647" s="18" t="s">
        <v>2951</v>
      </c>
      <c r="Q647" s="18" t="s">
        <v>134</v>
      </c>
      <c r="R647" s="18" t="s">
        <v>2952</v>
      </c>
      <c r="S647" s="18" t="s">
        <v>125</v>
      </c>
      <c r="T647" s="18" t="s">
        <v>1531</v>
      </c>
      <c r="U647" s="18"/>
      <c r="V647" s="19" t="s">
        <v>29</v>
      </c>
      <c r="W647" s="19"/>
      <c r="X647" s="19"/>
      <c r="Y647" s="20"/>
      <c r="Z647" s="19"/>
      <c r="AA647" s="18" t="str">
        <f aca="false">IF(OR(V647="Aprobada"),R647,IF(AND(OR(V647="Aprobada con ajuste",V647="Rechazada"),W647&lt;&gt;""),W647,""))</f>
        <v/>
      </c>
    </row>
    <row r="648" customFormat="false" ht="43.25" hidden="false" customHeight="false" outlineLevel="0" collapsed="false">
      <c r="A648" s="18" t="s">
        <v>2953</v>
      </c>
      <c r="B648" s="18" t="s">
        <v>60</v>
      </c>
      <c r="C648" s="18" t="s">
        <v>61</v>
      </c>
      <c r="D648" s="18" t="s">
        <v>2924</v>
      </c>
      <c r="E648" s="18" t="n">
        <v>17</v>
      </c>
      <c r="F648" s="18" t="s">
        <v>2954</v>
      </c>
      <c r="G648" s="18" t="s">
        <v>459</v>
      </c>
      <c r="H648" s="18" t="s">
        <v>117</v>
      </c>
      <c r="I648" s="18"/>
      <c r="J648" s="18"/>
      <c r="K648" s="18"/>
      <c r="L648" s="18" t="s">
        <v>109</v>
      </c>
      <c r="M648" s="18" t="s">
        <v>109</v>
      </c>
      <c r="N648" s="18"/>
      <c r="O648" s="18"/>
      <c r="P648" s="18" t="s">
        <v>2955</v>
      </c>
      <c r="Q648" s="18" t="s">
        <v>110</v>
      </c>
      <c r="R648" s="18" t="s">
        <v>2956</v>
      </c>
      <c r="S648" s="18" t="s">
        <v>112</v>
      </c>
      <c r="T648" s="18" t="s">
        <v>113</v>
      </c>
      <c r="U648" s="18"/>
      <c r="V648" s="19" t="s">
        <v>29</v>
      </c>
      <c r="W648" s="19"/>
      <c r="X648" s="19"/>
      <c r="Y648" s="20"/>
      <c r="Z648" s="19"/>
      <c r="AA648" s="18" t="str">
        <f aca="false">IF(OR(V648="Aprobada"),R648,IF(AND(OR(V648="Aprobada con ajuste",V648="Rechazada"),W648&lt;&gt;""),W648,""))</f>
        <v/>
      </c>
    </row>
    <row r="649" customFormat="false" ht="74.6" hidden="false" customHeight="false" outlineLevel="0" collapsed="false">
      <c r="A649" s="18" t="s">
        <v>2957</v>
      </c>
      <c r="B649" s="18" t="s">
        <v>60</v>
      </c>
      <c r="C649" s="18" t="s">
        <v>61</v>
      </c>
      <c r="D649" s="18" t="s">
        <v>2924</v>
      </c>
      <c r="E649" s="18" t="n">
        <v>17</v>
      </c>
      <c r="F649" s="18" t="s">
        <v>120</v>
      </c>
      <c r="G649" s="18" t="s">
        <v>459</v>
      </c>
      <c r="H649" s="18" t="s">
        <v>117</v>
      </c>
      <c r="I649" s="18"/>
      <c r="J649" s="18"/>
      <c r="K649" s="18"/>
      <c r="L649" s="18" t="s">
        <v>109</v>
      </c>
      <c r="M649" s="18" t="s">
        <v>109</v>
      </c>
      <c r="N649" s="18"/>
      <c r="O649" s="18"/>
      <c r="P649" s="18" t="s">
        <v>2958</v>
      </c>
      <c r="Q649" s="18" t="s">
        <v>123</v>
      </c>
      <c r="R649" s="18" t="s">
        <v>2959</v>
      </c>
      <c r="S649" s="18" t="s">
        <v>125</v>
      </c>
      <c r="T649" s="18" t="s">
        <v>2960</v>
      </c>
      <c r="U649" s="18"/>
      <c r="V649" s="19" t="s">
        <v>29</v>
      </c>
      <c r="W649" s="19"/>
      <c r="X649" s="19"/>
      <c r="Y649" s="20"/>
      <c r="Z649" s="19"/>
      <c r="AA649" s="18" t="str">
        <f aca="false">IF(OR(V649="Aprobada"),R649,IF(AND(OR(V649="Aprobada con ajuste",V649="Rechazada"),W649&lt;&gt;""),W649,""))</f>
        <v/>
      </c>
    </row>
    <row r="650" customFormat="false" ht="22.35" hidden="false" customHeight="false" outlineLevel="0" collapsed="false">
      <c r="A650" s="18" t="s">
        <v>2961</v>
      </c>
      <c r="B650" s="18" t="s">
        <v>60</v>
      </c>
      <c r="C650" s="18" t="s">
        <v>61</v>
      </c>
      <c r="D650" s="18" t="s">
        <v>2924</v>
      </c>
      <c r="E650" s="18" t="n">
        <v>17</v>
      </c>
      <c r="F650" s="18" t="s">
        <v>2962</v>
      </c>
      <c r="G650" s="18" t="s">
        <v>184</v>
      </c>
      <c r="H650" s="18" t="s">
        <v>109</v>
      </c>
      <c r="I650" s="18"/>
      <c r="J650" s="18"/>
      <c r="K650" s="18"/>
      <c r="L650" s="18" t="s">
        <v>109</v>
      </c>
      <c r="M650" s="18" t="s">
        <v>109</v>
      </c>
      <c r="N650" s="18"/>
      <c r="O650" s="18"/>
      <c r="P650" s="18" t="s">
        <v>2963</v>
      </c>
      <c r="Q650" s="18" t="s">
        <v>110</v>
      </c>
      <c r="R650" s="18" t="s">
        <v>405</v>
      </c>
      <c r="S650" s="18" t="s">
        <v>112</v>
      </c>
      <c r="T650" s="18" t="s">
        <v>113</v>
      </c>
      <c r="U650" s="18"/>
      <c r="V650" s="19" t="s">
        <v>29</v>
      </c>
      <c r="W650" s="19"/>
      <c r="X650" s="19"/>
      <c r="Y650" s="20"/>
      <c r="Z650" s="19"/>
      <c r="AA650" s="18" t="str">
        <f aca="false">IF(OR(V650="Aprobada"),R650,IF(AND(OR(V650="Aprobada con ajuste",V650="Rechazada"),W650&lt;&gt;""),W650,""))</f>
        <v/>
      </c>
    </row>
    <row r="651" customFormat="false" ht="22.35" hidden="false" customHeight="false" outlineLevel="0" collapsed="false">
      <c r="A651" s="18" t="s">
        <v>2964</v>
      </c>
      <c r="B651" s="18" t="s">
        <v>60</v>
      </c>
      <c r="C651" s="18" t="s">
        <v>61</v>
      </c>
      <c r="D651" s="18" t="s">
        <v>2924</v>
      </c>
      <c r="E651" s="18" t="n">
        <v>17</v>
      </c>
      <c r="F651" s="18" t="s">
        <v>107</v>
      </c>
      <c r="G651" s="18" t="s">
        <v>151</v>
      </c>
      <c r="H651" s="18" t="s">
        <v>109</v>
      </c>
      <c r="I651" s="18" t="s">
        <v>140</v>
      </c>
      <c r="J651" s="18" t="s">
        <v>2965</v>
      </c>
      <c r="K651" s="18"/>
      <c r="L651" s="18" t="s">
        <v>117</v>
      </c>
      <c r="M651" s="18" t="s">
        <v>109</v>
      </c>
      <c r="N651" s="18"/>
      <c r="O651" s="18"/>
      <c r="P651" s="18" t="s">
        <v>2966</v>
      </c>
      <c r="Q651" s="18" t="s">
        <v>110</v>
      </c>
      <c r="R651" s="18" t="s">
        <v>2967</v>
      </c>
      <c r="S651" s="18" t="s">
        <v>112</v>
      </c>
      <c r="T651" s="18" t="s">
        <v>113</v>
      </c>
      <c r="U651" s="18"/>
      <c r="V651" s="19" t="s">
        <v>29</v>
      </c>
      <c r="W651" s="19"/>
      <c r="X651" s="19"/>
      <c r="Y651" s="20"/>
      <c r="Z651" s="19"/>
      <c r="AA651" s="18" t="str">
        <f aca="false">IF(OR(V651="Aprobada"),R651,IF(AND(OR(V651="Aprobada con ajuste",V651="Rechazada"),W651&lt;&gt;""),W651,""))</f>
        <v/>
      </c>
    </row>
    <row r="652" customFormat="false" ht="22.35" hidden="false" customHeight="false" outlineLevel="0" collapsed="false">
      <c r="A652" s="18" t="s">
        <v>2968</v>
      </c>
      <c r="B652" s="18" t="s">
        <v>60</v>
      </c>
      <c r="C652" s="18" t="s">
        <v>61</v>
      </c>
      <c r="D652" s="18" t="s">
        <v>2924</v>
      </c>
      <c r="E652" s="18" t="n">
        <v>17</v>
      </c>
      <c r="F652" s="18" t="s">
        <v>2969</v>
      </c>
      <c r="G652" s="18" t="s">
        <v>184</v>
      </c>
      <c r="H652" s="18" t="s">
        <v>117</v>
      </c>
      <c r="I652" s="18" t="s">
        <v>140</v>
      </c>
      <c r="J652" s="18"/>
      <c r="K652" s="18"/>
      <c r="L652" s="18" t="s">
        <v>109</v>
      </c>
      <c r="M652" s="18" t="s">
        <v>109</v>
      </c>
      <c r="N652" s="18"/>
      <c r="O652" s="18"/>
      <c r="P652" s="18" t="s">
        <v>2970</v>
      </c>
      <c r="Q652" s="18" t="s">
        <v>134</v>
      </c>
      <c r="R652" s="18" t="s">
        <v>2971</v>
      </c>
      <c r="S652" s="18" t="s">
        <v>125</v>
      </c>
      <c r="T652" s="18" t="s">
        <v>2972</v>
      </c>
      <c r="U652" s="18"/>
      <c r="V652" s="19" t="s">
        <v>29</v>
      </c>
      <c r="W652" s="19"/>
      <c r="X652" s="19"/>
      <c r="Y652" s="20"/>
      <c r="Z652" s="19"/>
      <c r="AA652" s="18" t="str">
        <f aca="false">IF(OR(V652="Aprobada"),R652,IF(AND(OR(V652="Aprobada con ajuste",V652="Rechazada"),W652&lt;&gt;""),W652,""))</f>
        <v/>
      </c>
    </row>
    <row r="653" customFormat="false" ht="22.35" hidden="false" customHeight="false" outlineLevel="0" collapsed="false">
      <c r="A653" s="18" t="s">
        <v>2973</v>
      </c>
      <c r="B653" s="18" t="s">
        <v>60</v>
      </c>
      <c r="C653" s="18" t="s">
        <v>61</v>
      </c>
      <c r="D653" s="18" t="s">
        <v>2924</v>
      </c>
      <c r="E653" s="18" t="n">
        <v>17</v>
      </c>
      <c r="F653" s="18" t="s">
        <v>2974</v>
      </c>
      <c r="G653" s="18" t="s">
        <v>459</v>
      </c>
      <c r="H653" s="18" t="s">
        <v>117</v>
      </c>
      <c r="I653" s="18"/>
      <c r="J653" s="18"/>
      <c r="K653" s="18"/>
      <c r="L653" s="18" t="s">
        <v>109</v>
      </c>
      <c r="M653" s="18" t="s">
        <v>109</v>
      </c>
      <c r="N653" s="18"/>
      <c r="O653" s="18"/>
      <c r="P653" s="18" t="s">
        <v>2975</v>
      </c>
      <c r="Q653" s="18" t="s">
        <v>134</v>
      </c>
      <c r="R653" s="18" t="s">
        <v>2976</v>
      </c>
      <c r="S653" s="18" t="s">
        <v>112</v>
      </c>
      <c r="T653" s="18" t="s">
        <v>2977</v>
      </c>
      <c r="U653" s="18" t="s">
        <v>2774</v>
      </c>
      <c r="V653" s="19" t="s">
        <v>29</v>
      </c>
      <c r="W653" s="19"/>
      <c r="X653" s="19"/>
      <c r="Y653" s="20"/>
      <c r="Z653" s="19"/>
      <c r="AA653" s="18" t="str">
        <f aca="false">IF(OR(V653="Aprobada"),R653,IF(AND(OR(V653="Aprobada con ajuste",V653="Rechazada"),W653&lt;&gt;""),W653,""))</f>
        <v/>
      </c>
    </row>
    <row r="654" customFormat="false" ht="22.35" hidden="false" customHeight="false" outlineLevel="0" collapsed="false">
      <c r="A654" s="18" t="s">
        <v>2978</v>
      </c>
      <c r="B654" s="18" t="s">
        <v>60</v>
      </c>
      <c r="C654" s="18" t="s">
        <v>61</v>
      </c>
      <c r="D654" s="18" t="s">
        <v>2924</v>
      </c>
      <c r="E654" s="18" t="n">
        <v>17</v>
      </c>
      <c r="F654" s="18" t="s">
        <v>2979</v>
      </c>
      <c r="G654" s="18" t="s">
        <v>116</v>
      </c>
      <c r="H654" s="18" t="s">
        <v>117</v>
      </c>
      <c r="I654" s="18" t="s">
        <v>140</v>
      </c>
      <c r="J654" s="18"/>
      <c r="K654" s="18"/>
      <c r="L654" s="18" t="s">
        <v>109</v>
      </c>
      <c r="M654" s="18" t="s">
        <v>109</v>
      </c>
      <c r="N654" s="18"/>
      <c r="O654" s="18"/>
      <c r="P654" s="18" t="s">
        <v>2980</v>
      </c>
      <c r="Q654" s="18" t="s">
        <v>110</v>
      </c>
      <c r="R654" s="18" t="s">
        <v>2981</v>
      </c>
      <c r="S654" s="18" t="s">
        <v>112</v>
      </c>
      <c r="T654" s="18" t="s">
        <v>113</v>
      </c>
      <c r="U654" s="18"/>
      <c r="V654" s="19" t="s">
        <v>29</v>
      </c>
      <c r="W654" s="19"/>
      <c r="X654" s="19"/>
      <c r="Y654" s="20"/>
      <c r="Z654" s="19"/>
      <c r="AA654" s="18" t="str">
        <f aca="false">IF(OR(V654="Aprobada"),R654,IF(AND(OR(V654="Aprobada con ajuste",V654="Rechazada"),W654&lt;&gt;""),W654,""))</f>
        <v/>
      </c>
    </row>
    <row r="655" customFormat="false" ht="189.55" hidden="false" customHeight="false" outlineLevel="0" collapsed="false">
      <c r="A655" s="18" t="s">
        <v>2982</v>
      </c>
      <c r="B655" s="18" t="s">
        <v>60</v>
      </c>
      <c r="C655" s="18" t="s">
        <v>61</v>
      </c>
      <c r="D655" s="18" t="s">
        <v>2983</v>
      </c>
      <c r="E655" s="18" t="n">
        <v>0</v>
      </c>
      <c r="F655" s="18" t="s">
        <v>150</v>
      </c>
      <c r="G655" s="18" t="s">
        <v>151</v>
      </c>
      <c r="H655" s="18" t="s">
        <v>109</v>
      </c>
      <c r="I655" s="18" t="s">
        <v>140</v>
      </c>
      <c r="J655" s="18" t="s">
        <v>2984</v>
      </c>
      <c r="K655" s="18"/>
      <c r="L655" s="18" t="s">
        <v>117</v>
      </c>
      <c r="M655" s="18" t="s">
        <v>109</v>
      </c>
      <c r="N655" s="18"/>
      <c r="O655" s="18"/>
      <c r="P655" s="18" t="s">
        <v>2985</v>
      </c>
      <c r="Q655" s="18" t="s">
        <v>123</v>
      </c>
      <c r="R655" s="18" t="s">
        <v>2986</v>
      </c>
      <c r="S655" s="18" t="s">
        <v>125</v>
      </c>
      <c r="T655" s="18" t="s">
        <v>2987</v>
      </c>
      <c r="U655" s="18"/>
      <c r="V655" s="19" t="s">
        <v>29</v>
      </c>
      <c r="W655" s="19"/>
      <c r="X655" s="19"/>
      <c r="Y655" s="20"/>
      <c r="Z655" s="19"/>
      <c r="AA655" s="18" t="str">
        <f aca="false">IF(OR(V655="Aprobada"),R655,IF(AND(OR(V655="Aprobada con ajuste",V655="Rechazada"),W655&lt;&gt;""),W655,""))</f>
        <v/>
      </c>
    </row>
    <row r="656" customFormat="false" ht="74.6" hidden="false" customHeight="false" outlineLevel="0" collapsed="false">
      <c r="A656" s="18" t="s">
        <v>2988</v>
      </c>
      <c r="B656" s="18" t="s">
        <v>60</v>
      </c>
      <c r="C656" s="18" t="s">
        <v>61</v>
      </c>
      <c r="D656" s="18" t="s">
        <v>2983</v>
      </c>
      <c r="E656" s="18" t="n">
        <v>0</v>
      </c>
      <c r="F656" s="18" t="s">
        <v>1018</v>
      </c>
      <c r="G656" s="18" t="s">
        <v>1802</v>
      </c>
      <c r="H656" s="18" t="s">
        <v>109</v>
      </c>
      <c r="I656" s="18"/>
      <c r="J656" s="18"/>
      <c r="K656" s="18"/>
      <c r="L656" s="18" t="s">
        <v>109</v>
      </c>
      <c r="M656" s="18" t="s">
        <v>109</v>
      </c>
      <c r="N656" s="18"/>
      <c r="O656" s="18"/>
      <c r="P656" s="18" t="s">
        <v>2989</v>
      </c>
      <c r="Q656" s="18" t="s">
        <v>110</v>
      </c>
      <c r="R656" s="18" t="s">
        <v>2990</v>
      </c>
      <c r="S656" s="18" t="s">
        <v>112</v>
      </c>
      <c r="T656" s="18" t="s">
        <v>113</v>
      </c>
      <c r="U656" s="18"/>
      <c r="V656" s="19" t="s">
        <v>29</v>
      </c>
      <c r="W656" s="19"/>
      <c r="X656" s="19"/>
      <c r="Y656" s="20"/>
      <c r="Z656" s="19"/>
      <c r="AA656" s="18" t="str">
        <f aca="false">IF(OR(V656="Aprobada"),R656,IF(AND(OR(V656="Aprobada con ajuste",V656="Rechazada"),W656&lt;&gt;""),W656,""))</f>
        <v/>
      </c>
    </row>
    <row r="657" customFormat="false" ht="22.35" hidden="false" customHeight="false" outlineLevel="0" collapsed="false">
      <c r="A657" s="18" t="s">
        <v>2991</v>
      </c>
      <c r="B657" s="18" t="s">
        <v>60</v>
      </c>
      <c r="C657" s="18" t="s">
        <v>61</v>
      </c>
      <c r="D657" s="18" t="s">
        <v>2983</v>
      </c>
      <c r="E657" s="18" t="n">
        <v>0</v>
      </c>
      <c r="F657" s="18" t="s">
        <v>2265</v>
      </c>
      <c r="G657" s="18" t="s">
        <v>459</v>
      </c>
      <c r="H657" s="18" t="s">
        <v>117</v>
      </c>
      <c r="I657" s="18"/>
      <c r="J657" s="18"/>
      <c r="K657" s="18"/>
      <c r="L657" s="18" t="s">
        <v>109</v>
      </c>
      <c r="M657" s="18" t="s">
        <v>109</v>
      </c>
      <c r="N657" s="18"/>
      <c r="O657" s="18"/>
      <c r="P657" s="18" t="s">
        <v>2992</v>
      </c>
      <c r="Q657" s="18" t="s">
        <v>110</v>
      </c>
      <c r="R657" s="18" t="s">
        <v>2199</v>
      </c>
      <c r="S657" s="18" t="s">
        <v>112</v>
      </c>
      <c r="T657" s="18" t="s">
        <v>113</v>
      </c>
      <c r="U657" s="18"/>
      <c r="V657" s="19" t="s">
        <v>29</v>
      </c>
      <c r="W657" s="19"/>
      <c r="X657" s="19"/>
      <c r="Y657" s="20"/>
      <c r="Z657" s="19"/>
      <c r="AA657" s="18" t="str">
        <f aca="false">IF(OR(V657="Aprobada"),R657,IF(AND(OR(V657="Aprobada con ajuste",V657="Rechazada"),W657&lt;&gt;""),W657,""))</f>
        <v/>
      </c>
    </row>
    <row r="658" customFormat="false" ht="64.15" hidden="false" customHeight="false" outlineLevel="0" collapsed="false">
      <c r="A658" s="18" t="s">
        <v>2993</v>
      </c>
      <c r="B658" s="18" t="s">
        <v>60</v>
      </c>
      <c r="C658" s="18" t="s">
        <v>61</v>
      </c>
      <c r="D658" s="18" t="s">
        <v>2994</v>
      </c>
      <c r="E658" s="18" t="n">
        <v>10</v>
      </c>
      <c r="F658" s="18" t="s">
        <v>408</v>
      </c>
      <c r="G658" s="18" t="s">
        <v>133</v>
      </c>
      <c r="H658" s="18" t="s">
        <v>109</v>
      </c>
      <c r="I658" s="18"/>
      <c r="J658" s="18"/>
      <c r="K658" s="18"/>
      <c r="L658" s="18" t="s">
        <v>109</v>
      </c>
      <c r="M658" s="18" t="s">
        <v>109</v>
      </c>
      <c r="N658" s="18"/>
      <c r="O658" s="18" t="s">
        <v>2995</v>
      </c>
      <c r="P658" s="18" t="s">
        <v>2996</v>
      </c>
      <c r="Q658" s="18" t="s">
        <v>123</v>
      </c>
      <c r="R658" s="18" t="s">
        <v>2997</v>
      </c>
      <c r="S658" s="18" t="s">
        <v>125</v>
      </c>
      <c r="T658" s="18" t="s">
        <v>2998</v>
      </c>
      <c r="U658" s="18"/>
      <c r="V658" s="19" t="s">
        <v>29</v>
      </c>
      <c r="W658" s="19"/>
      <c r="X658" s="19"/>
      <c r="Y658" s="20"/>
      <c r="Z658" s="19"/>
      <c r="AA658" s="18" t="str">
        <f aca="false">IF(OR(V658="Aprobada"),R658,IF(AND(OR(V658="Aprobada con ajuste",V658="Rechazada"),W658&lt;&gt;""),W658,""))</f>
        <v/>
      </c>
    </row>
    <row r="659" customFormat="false" ht="85.05" hidden="false" customHeight="false" outlineLevel="0" collapsed="false">
      <c r="A659" s="18" t="s">
        <v>2999</v>
      </c>
      <c r="B659" s="18" t="s">
        <v>60</v>
      </c>
      <c r="C659" s="18" t="s">
        <v>61</v>
      </c>
      <c r="D659" s="18" t="s">
        <v>2994</v>
      </c>
      <c r="E659" s="18" t="n">
        <v>10</v>
      </c>
      <c r="F659" s="18" t="s">
        <v>129</v>
      </c>
      <c r="G659" s="18" t="s">
        <v>3000</v>
      </c>
      <c r="H659" s="18" t="s">
        <v>109</v>
      </c>
      <c r="I659" s="18"/>
      <c r="J659" s="18"/>
      <c r="K659" s="18"/>
      <c r="L659" s="18" t="s">
        <v>109</v>
      </c>
      <c r="M659" s="18" t="s">
        <v>109</v>
      </c>
      <c r="N659" s="18"/>
      <c r="O659" s="18"/>
      <c r="P659" s="18" t="s">
        <v>3001</v>
      </c>
      <c r="Q659" s="18" t="s">
        <v>110</v>
      </c>
      <c r="R659" s="18" t="s">
        <v>3002</v>
      </c>
      <c r="S659" s="18" t="s">
        <v>112</v>
      </c>
      <c r="T659" s="18" t="s">
        <v>113</v>
      </c>
      <c r="U659" s="18"/>
      <c r="V659" s="19" t="s">
        <v>29</v>
      </c>
      <c r="W659" s="19"/>
      <c r="X659" s="19"/>
      <c r="Y659" s="20"/>
      <c r="Z659" s="19"/>
      <c r="AA659" s="18" t="str">
        <f aca="false">IF(OR(V659="Aprobada"),R659,IF(AND(OR(V659="Aprobada con ajuste",V659="Rechazada"),W659&lt;&gt;""),W659,""))</f>
        <v/>
      </c>
    </row>
    <row r="660" customFormat="false" ht="32.8" hidden="false" customHeight="false" outlineLevel="0" collapsed="false">
      <c r="A660" s="18" t="s">
        <v>3003</v>
      </c>
      <c r="B660" s="18" t="s">
        <v>60</v>
      </c>
      <c r="C660" s="18" t="s">
        <v>61</v>
      </c>
      <c r="D660" s="18" t="s">
        <v>2994</v>
      </c>
      <c r="E660" s="18" t="n">
        <v>10</v>
      </c>
      <c r="F660" s="18" t="s">
        <v>1791</v>
      </c>
      <c r="G660" s="18" t="s">
        <v>151</v>
      </c>
      <c r="H660" s="18" t="s">
        <v>109</v>
      </c>
      <c r="I660" s="18"/>
      <c r="J660" s="18"/>
      <c r="K660" s="18"/>
      <c r="L660" s="18" t="s">
        <v>109</v>
      </c>
      <c r="M660" s="18" t="s">
        <v>109</v>
      </c>
      <c r="N660" s="18"/>
      <c r="O660" s="18" t="s">
        <v>3004</v>
      </c>
      <c r="P660" s="18" t="s">
        <v>3005</v>
      </c>
      <c r="Q660" s="18" t="s">
        <v>134</v>
      </c>
      <c r="R660" s="18" t="s">
        <v>3006</v>
      </c>
      <c r="S660" s="18" t="s">
        <v>112</v>
      </c>
      <c r="T660" s="18" t="s">
        <v>3007</v>
      </c>
      <c r="U660" s="18" t="s">
        <v>3008</v>
      </c>
      <c r="V660" s="19" t="s">
        <v>29</v>
      </c>
      <c r="W660" s="19"/>
      <c r="X660" s="19"/>
      <c r="Y660" s="20"/>
      <c r="Z660" s="19"/>
      <c r="AA660" s="18" t="str">
        <f aca="false">IF(OR(V660="Aprobada"),R660,IF(AND(OR(V660="Aprobada con ajuste",V660="Rechazada"),W660&lt;&gt;""),W660,""))</f>
        <v/>
      </c>
    </row>
    <row r="661" customFormat="false" ht="22.35" hidden="false" customHeight="false" outlineLevel="0" collapsed="false">
      <c r="A661" s="18" t="s">
        <v>3009</v>
      </c>
      <c r="B661" s="18" t="s">
        <v>60</v>
      </c>
      <c r="C661" s="18" t="s">
        <v>61</v>
      </c>
      <c r="D661" s="18" t="s">
        <v>2994</v>
      </c>
      <c r="E661" s="18" t="n">
        <v>10</v>
      </c>
      <c r="F661" s="18" t="s">
        <v>961</v>
      </c>
      <c r="G661" s="18" t="s">
        <v>195</v>
      </c>
      <c r="H661" s="18" t="s">
        <v>109</v>
      </c>
      <c r="I661" s="18"/>
      <c r="J661" s="18"/>
      <c r="K661" s="18"/>
      <c r="L661" s="18" t="s">
        <v>109</v>
      </c>
      <c r="M661" s="18" t="s">
        <v>109</v>
      </c>
      <c r="N661" s="18"/>
      <c r="O661" s="18" t="s">
        <v>2995</v>
      </c>
      <c r="P661" s="18" t="s">
        <v>3010</v>
      </c>
      <c r="Q661" s="18" t="s">
        <v>110</v>
      </c>
      <c r="R661" s="18" t="s">
        <v>1055</v>
      </c>
      <c r="S661" s="18" t="s">
        <v>112</v>
      </c>
      <c r="T661" s="18" t="s">
        <v>113</v>
      </c>
      <c r="U661" s="18"/>
      <c r="V661" s="19" t="s">
        <v>29</v>
      </c>
      <c r="W661" s="19"/>
      <c r="X661" s="19"/>
      <c r="Y661" s="20"/>
      <c r="Z661" s="19"/>
      <c r="AA661" s="18" t="str">
        <f aca="false">IF(OR(V661="Aprobada"),R661,IF(AND(OR(V661="Aprobada con ajuste",V661="Rechazada"),W661&lt;&gt;""),W661,""))</f>
        <v/>
      </c>
    </row>
    <row r="662" customFormat="false" ht="22.35" hidden="false" customHeight="false" outlineLevel="0" collapsed="false">
      <c r="A662" s="18" t="s">
        <v>3011</v>
      </c>
      <c r="B662" s="18" t="s">
        <v>60</v>
      </c>
      <c r="C662" s="18" t="s">
        <v>61</v>
      </c>
      <c r="D662" s="18" t="s">
        <v>2994</v>
      </c>
      <c r="E662" s="18" t="n">
        <v>10</v>
      </c>
      <c r="F662" s="18" t="s">
        <v>3012</v>
      </c>
      <c r="G662" s="18" t="s">
        <v>394</v>
      </c>
      <c r="H662" s="18" t="s">
        <v>117</v>
      </c>
      <c r="I662" s="18"/>
      <c r="J662" s="18"/>
      <c r="K662" s="18"/>
      <c r="L662" s="18" t="s">
        <v>109</v>
      </c>
      <c r="M662" s="18" t="s">
        <v>109</v>
      </c>
      <c r="N662" s="18"/>
      <c r="O662" s="18"/>
      <c r="P662" s="18" t="s">
        <v>3013</v>
      </c>
      <c r="Q662" s="18" t="s">
        <v>110</v>
      </c>
      <c r="R662" s="18" t="s">
        <v>3014</v>
      </c>
      <c r="S662" s="18" t="s">
        <v>112</v>
      </c>
      <c r="T662" s="18" t="s">
        <v>113</v>
      </c>
      <c r="U662" s="18"/>
      <c r="V662" s="19" t="s">
        <v>29</v>
      </c>
      <c r="W662" s="19"/>
      <c r="X662" s="19"/>
      <c r="Y662" s="20"/>
      <c r="Z662" s="19"/>
      <c r="AA662" s="18" t="str">
        <f aca="false">IF(OR(V662="Aprobada"),R662,IF(AND(OR(V662="Aprobada con ajuste",V662="Rechazada"),W662&lt;&gt;""),W662,""))</f>
        <v/>
      </c>
    </row>
    <row r="663" customFormat="false" ht="53.7" hidden="false" customHeight="false" outlineLevel="0" collapsed="false">
      <c r="A663" s="18" t="s">
        <v>3015</v>
      </c>
      <c r="B663" s="18" t="s">
        <v>60</v>
      </c>
      <c r="C663" s="18" t="s">
        <v>61</v>
      </c>
      <c r="D663" s="18" t="s">
        <v>2994</v>
      </c>
      <c r="E663" s="18" t="n">
        <v>10</v>
      </c>
      <c r="F663" s="18" t="s">
        <v>2236</v>
      </c>
      <c r="G663" s="18" t="s">
        <v>212</v>
      </c>
      <c r="H663" s="18" t="s">
        <v>109</v>
      </c>
      <c r="I663" s="18"/>
      <c r="J663" s="18"/>
      <c r="K663" s="18"/>
      <c r="L663" s="18" t="s">
        <v>109</v>
      </c>
      <c r="M663" s="18" t="s">
        <v>109</v>
      </c>
      <c r="N663" s="18"/>
      <c r="O663" s="18"/>
      <c r="P663" s="18" t="s">
        <v>3016</v>
      </c>
      <c r="Q663" s="18" t="s">
        <v>123</v>
      </c>
      <c r="R663" s="18" t="s">
        <v>3017</v>
      </c>
      <c r="S663" s="18" t="s">
        <v>125</v>
      </c>
      <c r="T663" s="18" t="s">
        <v>3018</v>
      </c>
      <c r="U663" s="18"/>
      <c r="V663" s="19" t="s">
        <v>29</v>
      </c>
      <c r="W663" s="19"/>
      <c r="X663" s="19"/>
      <c r="Y663" s="20"/>
      <c r="Z663" s="19"/>
      <c r="AA663" s="18" t="str">
        <f aca="false">IF(OR(V663="Aprobada"),R663,IF(AND(OR(V663="Aprobada con ajuste",V663="Rechazada"),W663&lt;&gt;""),W663,""))</f>
        <v/>
      </c>
    </row>
    <row r="664" customFormat="false" ht="22.35" hidden="false" customHeight="false" outlineLevel="0" collapsed="false">
      <c r="A664" s="18" t="s">
        <v>3019</v>
      </c>
      <c r="B664" s="18" t="s">
        <v>60</v>
      </c>
      <c r="C664" s="18" t="s">
        <v>61</v>
      </c>
      <c r="D664" s="18" t="s">
        <v>2994</v>
      </c>
      <c r="E664" s="18" t="n">
        <v>10</v>
      </c>
      <c r="F664" s="18" t="s">
        <v>2164</v>
      </c>
      <c r="G664" s="18" t="s">
        <v>116</v>
      </c>
      <c r="H664" s="18" t="s">
        <v>117</v>
      </c>
      <c r="I664" s="18"/>
      <c r="J664" s="18"/>
      <c r="K664" s="18"/>
      <c r="L664" s="18" t="s">
        <v>109</v>
      </c>
      <c r="M664" s="18" t="s">
        <v>109</v>
      </c>
      <c r="N664" s="18"/>
      <c r="O664" s="18"/>
      <c r="P664" s="18" t="s">
        <v>3020</v>
      </c>
      <c r="Q664" s="18" t="s">
        <v>134</v>
      </c>
      <c r="R664" s="18" t="s">
        <v>3021</v>
      </c>
      <c r="S664" s="18" t="s">
        <v>125</v>
      </c>
      <c r="T664" s="18" t="s">
        <v>225</v>
      </c>
      <c r="U664" s="18"/>
      <c r="V664" s="19" t="s">
        <v>29</v>
      </c>
      <c r="W664" s="19"/>
      <c r="X664" s="19"/>
      <c r="Y664" s="20"/>
      <c r="Z664" s="19"/>
      <c r="AA664" s="18" t="str">
        <f aca="false">IF(OR(V664="Aprobada"),R664,IF(AND(OR(V664="Aprobada con ajuste",V664="Rechazada"),W664&lt;&gt;""),W664,""))</f>
        <v/>
      </c>
    </row>
    <row r="665" customFormat="false" ht="22.35" hidden="false" customHeight="false" outlineLevel="0" collapsed="false">
      <c r="A665" s="18" t="s">
        <v>3022</v>
      </c>
      <c r="B665" s="18" t="s">
        <v>60</v>
      </c>
      <c r="C665" s="18" t="s">
        <v>61</v>
      </c>
      <c r="D665" s="18" t="s">
        <v>2994</v>
      </c>
      <c r="E665" s="18" t="n">
        <v>10</v>
      </c>
      <c r="F665" s="18" t="s">
        <v>857</v>
      </c>
      <c r="G665" s="18" t="s">
        <v>145</v>
      </c>
      <c r="H665" s="18" t="s">
        <v>109</v>
      </c>
      <c r="I665" s="18"/>
      <c r="J665" s="18"/>
      <c r="K665" s="18"/>
      <c r="L665" s="18" t="s">
        <v>109</v>
      </c>
      <c r="M665" s="18" t="s">
        <v>109</v>
      </c>
      <c r="N665" s="18"/>
      <c r="O665" s="18"/>
      <c r="P665" s="18" t="s">
        <v>3023</v>
      </c>
      <c r="Q665" s="18" t="s">
        <v>110</v>
      </c>
      <c r="R665" s="18" t="s">
        <v>859</v>
      </c>
      <c r="S665" s="18" t="s">
        <v>112</v>
      </c>
      <c r="T665" s="18" t="s">
        <v>113</v>
      </c>
      <c r="U665" s="18"/>
      <c r="V665" s="19" t="s">
        <v>29</v>
      </c>
      <c r="W665" s="19"/>
      <c r="X665" s="19"/>
      <c r="Y665" s="20"/>
      <c r="Z665" s="19"/>
      <c r="AA665" s="18" t="str">
        <f aca="false">IF(OR(V665="Aprobada"),R665,IF(AND(OR(V665="Aprobada con ajuste",V665="Rechazada"),W665&lt;&gt;""),W665,""))</f>
        <v/>
      </c>
    </row>
    <row r="666" customFormat="false" ht="64.15" hidden="false" customHeight="false" outlineLevel="0" collapsed="false">
      <c r="A666" s="18" t="s">
        <v>3024</v>
      </c>
      <c r="B666" s="18" t="s">
        <v>60</v>
      </c>
      <c r="C666" s="18" t="s">
        <v>61</v>
      </c>
      <c r="D666" s="18" t="s">
        <v>3025</v>
      </c>
      <c r="E666" s="18" t="n">
        <v>1</v>
      </c>
      <c r="F666" s="18" t="s">
        <v>3026</v>
      </c>
      <c r="G666" s="18" t="s">
        <v>139</v>
      </c>
      <c r="H666" s="18" t="s">
        <v>109</v>
      </c>
      <c r="I666" s="18" t="s">
        <v>140</v>
      </c>
      <c r="J666" s="18"/>
      <c r="K666" s="18"/>
      <c r="L666" s="18" t="s">
        <v>117</v>
      </c>
      <c r="M666" s="18" t="s">
        <v>109</v>
      </c>
      <c r="N666" s="18"/>
      <c r="O666" s="18"/>
      <c r="P666" s="18" t="s">
        <v>3027</v>
      </c>
      <c r="Q666" s="18" t="s">
        <v>110</v>
      </c>
      <c r="R666" s="18" t="s">
        <v>3028</v>
      </c>
      <c r="S666" s="18" t="s">
        <v>112</v>
      </c>
      <c r="T666" s="18" t="s">
        <v>113</v>
      </c>
      <c r="U666" s="18"/>
      <c r="V666" s="19" t="s">
        <v>29</v>
      </c>
      <c r="W666" s="19"/>
      <c r="X666" s="19"/>
      <c r="Y666" s="20"/>
      <c r="Z666" s="19"/>
      <c r="AA666" s="18" t="str">
        <f aca="false">IF(OR(V666="Aprobada"),R666,IF(AND(OR(V666="Aprobada con ajuste",V666="Rechazada"),W666&lt;&gt;""),W666,""))</f>
        <v/>
      </c>
    </row>
    <row r="667" customFormat="false" ht="32.8" hidden="false" customHeight="false" outlineLevel="0" collapsed="false">
      <c r="A667" s="18" t="s">
        <v>3029</v>
      </c>
      <c r="B667" s="18" t="s">
        <v>60</v>
      </c>
      <c r="C667" s="18" t="s">
        <v>61</v>
      </c>
      <c r="D667" s="18" t="s">
        <v>3025</v>
      </c>
      <c r="E667" s="18" t="n">
        <v>1</v>
      </c>
      <c r="F667" s="18" t="s">
        <v>1685</v>
      </c>
      <c r="G667" s="18" t="s">
        <v>116</v>
      </c>
      <c r="H667" s="18" t="s">
        <v>117</v>
      </c>
      <c r="I667" s="18"/>
      <c r="J667" s="18"/>
      <c r="K667" s="18"/>
      <c r="L667" s="18" t="s">
        <v>117</v>
      </c>
      <c r="M667" s="18" t="s">
        <v>109</v>
      </c>
      <c r="N667" s="18"/>
      <c r="O667" s="18"/>
      <c r="P667" s="18" t="s">
        <v>3030</v>
      </c>
      <c r="Q667" s="18" t="s">
        <v>123</v>
      </c>
      <c r="R667" s="18" t="s">
        <v>3031</v>
      </c>
      <c r="S667" s="18" t="s">
        <v>125</v>
      </c>
      <c r="T667" s="18" t="s">
        <v>3032</v>
      </c>
      <c r="U667" s="18"/>
      <c r="V667" s="19" t="s">
        <v>29</v>
      </c>
      <c r="W667" s="19"/>
      <c r="X667" s="19"/>
      <c r="Y667" s="20"/>
      <c r="Z667" s="19"/>
      <c r="AA667" s="18" t="str">
        <f aca="false">IF(OR(V667="Aprobada"),R667,IF(AND(OR(V667="Aprobada con ajuste",V667="Rechazada"),W667&lt;&gt;""),W667,""))</f>
        <v/>
      </c>
    </row>
    <row r="668" customFormat="false" ht="32.8" hidden="false" customHeight="false" outlineLevel="0" collapsed="false">
      <c r="A668" s="18" t="s">
        <v>3033</v>
      </c>
      <c r="B668" s="18" t="s">
        <v>60</v>
      </c>
      <c r="C668" s="18" t="s">
        <v>61</v>
      </c>
      <c r="D668" s="18" t="s">
        <v>3025</v>
      </c>
      <c r="E668" s="18" t="n">
        <v>1</v>
      </c>
      <c r="F668" s="18" t="s">
        <v>1637</v>
      </c>
      <c r="G668" s="18" t="s">
        <v>145</v>
      </c>
      <c r="H668" s="18" t="s">
        <v>109</v>
      </c>
      <c r="I668" s="18"/>
      <c r="J668" s="18"/>
      <c r="K668" s="18"/>
      <c r="L668" s="18" t="s">
        <v>117</v>
      </c>
      <c r="M668" s="18" t="s">
        <v>109</v>
      </c>
      <c r="N668" s="18"/>
      <c r="O668" s="18"/>
      <c r="P668" s="18" t="s">
        <v>3034</v>
      </c>
      <c r="Q668" s="18" t="s">
        <v>123</v>
      </c>
      <c r="R668" s="18" t="s">
        <v>3035</v>
      </c>
      <c r="S668" s="18" t="s">
        <v>125</v>
      </c>
      <c r="T668" s="18" t="s">
        <v>3036</v>
      </c>
      <c r="U668" s="18"/>
      <c r="V668" s="19" t="s">
        <v>29</v>
      </c>
      <c r="W668" s="19"/>
      <c r="X668" s="19"/>
      <c r="Y668" s="20"/>
      <c r="Z668" s="19"/>
      <c r="AA668" s="18" t="str">
        <f aca="false">IF(OR(V668="Aprobada"),R668,IF(AND(OR(V668="Aprobada con ajuste",V668="Rechazada"),W668&lt;&gt;""),W668,""))</f>
        <v/>
      </c>
    </row>
    <row r="669" customFormat="false" ht="22.35" hidden="false" customHeight="false" outlineLevel="0" collapsed="false">
      <c r="A669" s="18" t="s">
        <v>3037</v>
      </c>
      <c r="B669" s="18" t="s">
        <v>60</v>
      </c>
      <c r="C669" s="18" t="s">
        <v>61</v>
      </c>
      <c r="D669" s="18" t="s">
        <v>3025</v>
      </c>
      <c r="E669" s="18" t="n">
        <v>1</v>
      </c>
      <c r="F669" s="18" t="s">
        <v>3038</v>
      </c>
      <c r="G669" s="18" t="s">
        <v>184</v>
      </c>
      <c r="H669" s="18" t="s">
        <v>109</v>
      </c>
      <c r="I669" s="18"/>
      <c r="J669" s="18"/>
      <c r="K669" s="18"/>
      <c r="L669" s="18" t="s">
        <v>117</v>
      </c>
      <c r="M669" s="18" t="s">
        <v>109</v>
      </c>
      <c r="N669" s="18"/>
      <c r="O669" s="18"/>
      <c r="P669" s="18" t="s">
        <v>3039</v>
      </c>
      <c r="Q669" s="18" t="s">
        <v>110</v>
      </c>
      <c r="R669" s="18" t="s">
        <v>3040</v>
      </c>
      <c r="S669" s="18" t="s">
        <v>112</v>
      </c>
      <c r="T669" s="18" t="s">
        <v>113</v>
      </c>
      <c r="U669" s="18"/>
      <c r="V669" s="19" t="s">
        <v>29</v>
      </c>
      <c r="W669" s="19"/>
      <c r="X669" s="19"/>
      <c r="Y669" s="20"/>
      <c r="Z669" s="19"/>
      <c r="AA669" s="18" t="str">
        <f aca="false">IF(OR(V669="Aprobada"),R669,IF(AND(OR(V669="Aprobada con ajuste",V669="Rechazada"),W669&lt;&gt;""),W669,""))</f>
        <v/>
      </c>
    </row>
    <row r="670" customFormat="false" ht="64.15" hidden="false" customHeight="false" outlineLevel="0" collapsed="false">
      <c r="A670" s="18" t="s">
        <v>3041</v>
      </c>
      <c r="B670" s="18" t="s">
        <v>60</v>
      </c>
      <c r="C670" s="18" t="s">
        <v>61</v>
      </c>
      <c r="D670" s="18" t="s">
        <v>3042</v>
      </c>
      <c r="E670" s="18" t="n">
        <v>1</v>
      </c>
      <c r="F670" s="18" t="s">
        <v>3026</v>
      </c>
      <c r="G670" s="18" t="s">
        <v>139</v>
      </c>
      <c r="H670" s="18" t="s">
        <v>109</v>
      </c>
      <c r="I670" s="18" t="s">
        <v>140</v>
      </c>
      <c r="J670" s="18"/>
      <c r="K670" s="18"/>
      <c r="L670" s="18" t="s">
        <v>117</v>
      </c>
      <c r="M670" s="18" t="s">
        <v>109</v>
      </c>
      <c r="N670" s="18"/>
      <c r="O670" s="18"/>
      <c r="P670" s="18" t="s">
        <v>3043</v>
      </c>
      <c r="Q670" s="18" t="s">
        <v>110</v>
      </c>
      <c r="R670" s="18" t="s">
        <v>3028</v>
      </c>
      <c r="S670" s="18" t="s">
        <v>112</v>
      </c>
      <c r="T670" s="18" t="s">
        <v>113</v>
      </c>
      <c r="U670" s="18"/>
      <c r="V670" s="19" t="s">
        <v>29</v>
      </c>
      <c r="W670" s="19"/>
      <c r="X670" s="19"/>
      <c r="Y670" s="20"/>
      <c r="Z670" s="19"/>
      <c r="AA670" s="18" t="str">
        <f aca="false">IF(OR(V670="Aprobada"),R670,IF(AND(OR(V670="Aprobada con ajuste",V670="Rechazada"),W670&lt;&gt;""),W670,""))</f>
        <v/>
      </c>
    </row>
    <row r="671" customFormat="false" ht="32.8" hidden="false" customHeight="false" outlineLevel="0" collapsed="false">
      <c r="A671" s="18" t="s">
        <v>3044</v>
      </c>
      <c r="B671" s="18" t="s">
        <v>60</v>
      </c>
      <c r="C671" s="18" t="s">
        <v>61</v>
      </c>
      <c r="D671" s="18" t="s">
        <v>3042</v>
      </c>
      <c r="E671" s="18" t="n">
        <v>1</v>
      </c>
      <c r="F671" s="18" t="s">
        <v>1685</v>
      </c>
      <c r="G671" s="18" t="s">
        <v>116</v>
      </c>
      <c r="H671" s="18" t="s">
        <v>117</v>
      </c>
      <c r="I671" s="18"/>
      <c r="J671" s="18"/>
      <c r="K671" s="18"/>
      <c r="L671" s="18" t="s">
        <v>117</v>
      </c>
      <c r="M671" s="18" t="s">
        <v>109</v>
      </c>
      <c r="N671" s="18"/>
      <c r="O671" s="18"/>
      <c r="P671" s="18" t="s">
        <v>3045</v>
      </c>
      <c r="Q671" s="18" t="s">
        <v>123</v>
      </c>
      <c r="R671" s="18" t="s">
        <v>3046</v>
      </c>
      <c r="S671" s="18" t="s">
        <v>125</v>
      </c>
      <c r="T671" s="18" t="s">
        <v>3047</v>
      </c>
      <c r="U671" s="18"/>
      <c r="V671" s="19" t="s">
        <v>29</v>
      </c>
      <c r="W671" s="19"/>
      <c r="X671" s="19"/>
      <c r="Y671" s="20"/>
      <c r="Z671" s="19"/>
      <c r="AA671" s="18" t="str">
        <f aca="false">IF(OR(V671="Aprobada"),R671,IF(AND(OR(V671="Aprobada con ajuste",V671="Rechazada"),W671&lt;&gt;""),W671,""))</f>
        <v/>
      </c>
    </row>
    <row r="672" customFormat="false" ht="64.15" hidden="false" customHeight="false" outlineLevel="0" collapsed="false">
      <c r="A672" s="18" t="s">
        <v>3048</v>
      </c>
      <c r="B672" s="18" t="s">
        <v>60</v>
      </c>
      <c r="C672" s="18" t="s">
        <v>61</v>
      </c>
      <c r="D672" s="18" t="s">
        <v>3042</v>
      </c>
      <c r="E672" s="18" t="n">
        <v>1</v>
      </c>
      <c r="F672" s="18" t="s">
        <v>1637</v>
      </c>
      <c r="G672" s="18" t="s">
        <v>145</v>
      </c>
      <c r="H672" s="18" t="s">
        <v>109</v>
      </c>
      <c r="I672" s="18"/>
      <c r="J672" s="18"/>
      <c r="K672" s="18"/>
      <c r="L672" s="18" t="s">
        <v>117</v>
      </c>
      <c r="M672" s="18" t="s">
        <v>109</v>
      </c>
      <c r="N672" s="18"/>
      <c r="O672" s="18"/>
      <c r="P672" s="18" t="s">
        <v>3049</v>
      </c>
      <c r="Q672" s="18" t="s">
        <v>123</v>
      </c>
      <c r="R672" s="18" t="s">
        <v>3050</v>
      </c>
      <c r="S672" s="18" t="s">
        <v>125</v>
      </c>
      <c r="T672" s="18" t="s">
        <v>3051</v>
      </c>
      <c r="U672" s="18"/>
      <c r="V672" s="19" t="s">
        <v>29</v>
      </c>
      <c r="W672" s="19"/>
      <c r="X672" s="19"/>
      <c r="Y672" s="20"/>
      <c r="Z672" s="19"/>
      <c r="AA672" s="18" t="str">
        <f aca="false">IF(OR(V672="Aprobada"),R672,IF(AND(OR(V672="Aprobada con ajuste",V672="Rechazada"),W672&lt;&gt;""),W672,""))</f>
        <v/>
      </c>
    </row>
    <row r="673" customFormat="false" ht="22.35" hidden="false" customHeight="false" outlineLevel="0" collapsed="false">
      <c r="A673" s="18" t="s">
        <v>3052</v>
      </c>
      <c r="B673" s="18" t="s">
        <v>60</v>
      </c>
      <c r="C673" s="18" t="s">
        <v>61</v>
      </c>
      <c r="D673" s="18" t="s">
        <v>3042</v>
      </c>
      <c r="E673" s="18" t="n">
        <v>1</v>
      </c>
      <c r="F673" s="18" t="s">
        <v>3038</v>
      </c>
      <c r="G673" s="18" t="s">
        <v>184</v>
      </c>
      <c r="H673" s="18" t="s">
        <v>109</v>
      </c>
      <c r="I673" s="18"/>
      <c r="J673" s="18"/>
      <c r="K673" s="18"/>
      <c r="L673" s="18" t="s">
        <v>117</v>
      </c>
      <c r="M673" s="18" t="s">
        <v>109</v>
      </c>
      <c r="N673" s="18"/>
      <c r="O673" s="18"/>
      <c r="P673" s="18" t="s">
        <v>3053</v>
      </c>
      <c r="Q673" s="18" t="s">
        <v>110</v>
      </c>
      <c r="R673" s="18" t="s">
        <v>3040</v>
      </c>
      <c r="S673" s="18" t="s">
        <v>112</v>
      </c>
      <c r="T673" s="18" t="s">
        <v>113</v>
      </c>
      <c r="U673" s="18"/>
      <c r="V673" s="19" t="s">
        <v>29</v>
      </c>
      <c r="W673" s="19"/>
      <c r="X673" s="19"/>
      <c r="Y673" s="20"/>
      <c r="Z673" s="19"/>
      <c r="AA673" s="18" t="str">
        <f aca="false">IF(OR(V673="Aprobada"),R673,IF(AND(OR(V673="Aprobada con ajuste",V673="Rechazada"),W673&lt;&gt;""),W673,""))</f>
        <v/>
      </c>
    </row>
    <row r="674" customFormat="false" ht="53.7" hidden="false" customHeight="false" outlineLevel="0" collapsed="false">
      <c r="A674" s="18" t="s">
        <v>3054</v>
      </c>
      <c r="B674" s="18" t="s">
        <v>60</v>
      </c>
      <c r="C674" s="18" t="s">
        <v>61</v>
      </c>
      <c r="D674" s="18" t="s">
        <v>3055</v>
      </c>
      <c r="E674" s="18" t="n">
        <v>7</v>
      </c>
      <c r="F674" s="18" t="s">
        <v>3026</v>
      </c>
      <c r="G674" s="18" t="s">
        <v>139</v>
      </c>
      <c r="H674" s="18" t="s">
        <v>109</v>
      </c>
      <c r="I674" s="18" t="s">
        <v>140</v>
      </c>
      <c r="J674" s="18"/>
      <c r="K674" s="18"/>
      <c r="L674" s="18" t="s">
        <v>109</v>
      </c>
      <c r="M674" s="18" t="s">
        <v>109</v>
      </c>
      <c r="N674" s="18"/>
      <c r="O674" s="18"/>
      <c r="P674" s="18" t="s">
        <v>3056</v>
      </c>
      <c r="Q674" s="18" t="s">
        <v>110</v>
      </c>
      <c r="R674" s="18" t="s">
        <v>3028</v>
      </c>
      <c r="S674" s="18" t="s">
        <v>112</v>
      </c>
      <c r="T674" s="18" t="s">
        <v>113</v>
      </c>
      <c r="U674" s="18"/>
      <c r="V674" s="19" t="s">
        <v>29</v>
      </c>
      <c r="W674" s="19"/>
      <c r="X674" s="19"/>
      <c r="Y674" s="20"/>
      <c r="Z674" s="19"/>
      <c r="AA674" s="18" t="str">
        <f aca="false">IF(OR(V674="Aprobada"),R674,IF(AND(OR(V674="Aprobada con ajuste",V674="Rechazada"),W674&lt;&gt;""),W674,""))</f>
        <v/>
      </c>
    </row>
    <row r="675" customFormat="false" ht="53.7" hidden="false" customHeight="false" outlineLevel="0" collapsed="false">
      <c r="A675" s="18" t="s">
        <v>3057</v>
      </c>
      <c r="B675" s="18" t="s">
        <v>60</v>
      </c>
      <c r="C675" s="18" t="s">
        <v>61</v>
      </c>
      <c r="D675" s="18" t="s">
        <v>3055</v>
      </c>
      <c r="E675" s="18" t="n">
        <v>7</v>
      </c>
      <c r="F675" s="18" t="s">
        <v>1685</v>
      </c>
      <c r="G675" s="18" t="s">
        <v>116</v>
      </c>
      <c r="H675" s="18" t="s">
        <v>117</v>
      </c>
      <c r="I675" s="18"/>
      <c r="J675" s="18"/>
      <c r="K675" s="18"/>
      <c r="L675" s="18" t="s">
        <v>109</v>
      </c>
      <c r="M675" s="18" t="s">
        <v>109</v>
      </c>
      <c r="N675" s="18"/>
      <c r="O675" s="18"/>
      <c r="P675" s="18" t="s">
        <v>3058</v>
      </c>
      <c r="Q675" s="18" t="s">
        <v>123</v>
      </c>
      <c r="R675" s="18" t="s">
        <v>3059</v>
      </c>
      <c r="S675" s="18" t="s">
        <v>125</v>
      </c>
      <c r="T675" s="18" t="s">
        <v>3060</v>
      </c>
      <c r="U675" s="18"/>
      <c r="V675" s="19" t="s">
        <v>29</v>
      </c>
      <c r="W675" s="19"/>
      <c r="X675" s="19"/>
      <c r="Y675" s="20"/>
      <c r="Z675" s="19"/>
      <c r="AA675" s="18" t="str">
        <f aca="false">IF(OR(V675="Aprobada"),R675,IF(AND(OR(V675="Aprobada con ajuste",V675="Rechazada"),W675&lt;&gt;""),W675,""))</f>
        <v/>
      </c>
    </row>
    <row r="676" customFormat="false" ht="74.6" hidden="false" customHeight="false" outlineLevel="0" collapsed="false">
      <c r="A676" s="18" t="s">
        <v>3061</v>
      </c>
      <c r="B676" s="18" t="s">
        <v>60</v>
      </c>
      <c r="C676" s="18" t="s">
        <v>61</v>
      </c>
      <c r="D676" s="18" t="s">
        <v>3055</v>
      </c>
      <c r="E676" s="18" t="n">
        <v>7</v>
      </c>
      <c r="F676" s="18" t="s">
        <v>1637</v>
      </c>
      <c r="G676" s="18" t="s">
        <v>145</v>
      </c>
      <c r="H676" s="18" t="s">
        <v>109</v>
      </c>
      <c r="I676" s="18"/>
      <c r="J676" s="18"/>
      <c r="K676" s="18"/>
      <c r="L676" s="18" t="s">
        <v>109</v>
      </c>
      <c r="M676" s="18" t="s">
        <v>109</v>
      </c>
      <c r="N676" s="18"/>
      <c r="O676" s="18"/>
      <c r="P676" s="18" t="s">
        <v>3062</v>
      </c>
      <c r="Q676" s="18" t="s">
        <v>123</v>
      </c>
      <c r="R676" s="18" t="s">
        <v>3063</v>
      </c>
      <c r="S676" s="18" t="s">
        <v>125</v>
      </c>
      <c r="T676" s="18" t="s">
        <v>3064</v>
      </c>
      <c r="U676" s="18"/>
      <c r="V676" s="19" t="s">
        <v>29</v>
      </c>
      <c r="W676" s="19"/>
      <c r="X676" s="19"/>
      <c r="Y676" s="20"/>
      <c r="Z676" s="19"/>
      <c r="AA676" s="18" t="str">
        <f aca="false">IF(OR(V676="Aprobada"),R676,IF(AND(OR(V676="Aprobada con ajuste",V676="Rechazada"),W676&lt;&gt;""),W676,""))</f>
        <v/>
      </c>
    </row>
    <row r="677" customFormat="false" ht="64.15" hidden="false" customHeight="false" outlineLevel="0" collapsed="false">
      <c r="A677" s="18" t="s">
        <v>3065</v>
      </c>
      <c r="B677" s="18" t="s">
        <v>60</v>
      </c>
      <c r="C677" s="18" t="s">
        <v>61</v>
      </c>
      <c r="D677" s="18" t="s">
        <v>3066</v>
      </c>
      <c r="E677" s="18" t="n">
        <v>7</v>
      </c>
      <c r="F677" s="18" t="s">
        <v>3026</v>
      </c>
      <c r="G677" s="18" t="s">
        <v>139</v>
      </c>
      <c r="H677" s="18" t="s">
        <v>109</v>
      </c>
      <c r="I677" s="18" t="s">
        <v>140</v>
      </c>
      <c r="J677" s="18"/>
      <c r="K677" s="18"/>
      <c r="L677" s="18" t="s">
        <v>109</v>
      </c>
      <c r="M677" s="18" t="s">
        <v>109</v>
      </c>
      <c r="N677" s="18"/>
      <c r="O677" s="18"/>
      <c r="P677" s="18" t="s">
        <v>3067</v>
      </c>
      <c r="Q677" s="18" t="s">
        <v>110</v>
      </c>
      <c r="R677" s="18" t="s">
        <v>3028</v>
      </c>
      <c r="S677" s="18" t="s">
        <v>112</v>
      </c>
      <c r="T677" s="18" t="s">
        <v>113</v>
      </c>
      <c r="U677" s="18"/>
      <c r="V677" s="19" t="s">
        <v>29</v>
      </c>
      <c r="W677" s="19"/>
      <c r="X677" s="19"/>
      <c r="Y677" s="20"/>
      <c r="Z677" s="19"/>
      <c r="AA677" s="18" t="str">
        <f aca="false">IF(OR(V677="Aprobada"),R677,IF(AND(OR(V677="Aprobada con ajuste",V677="Rechazada"),W677&lt;&gt;""),W677,""))</f>
        <v/>
      </c>
    </row>
    <row r="678" customFormat="false" ht="74.6" hidden="false" customHeight="false" outlineLevel="0" collapsed="false">
      <c r="A678" s="18" t="s">
        <v>3068</v>
      </c>
      <c r="B678" s="18" t="s">
        <v>60</v>
      </c>
      <c r="C678" s="18" t="s">
        <v>61</v>
      </c>
      <c r="D678" s="18" t="s">
        <v>3066</v>
      </c>
      <c r="E678" s="18" t="n">
        <v>7</v>
      </c>
      <c r="F678" s="18" t="s">
        <v>1685</v>
      </c>
      <c r="G678" s="18" t="s">
        <v>116</v>
      </c>
      <c r="H678" s="18" t="s">
        <v>117</v>
      </c>
      <c r="I678" s="18"/>
      <c r="J678" s="18"/>
      <c r="K678" s="18"/>
      <c r="L678" s="18" t="s">
        <v>109</v>
      </c>
      <c r="M678" s="18" t="s">
        <v>109</v>
      </c>
      <c r="N678" s="18"/>
      <c r="O678" s="18"/>
      <c r="P678" s="18" t="s">
        <v>3069</v>
      </c>
      <c r="Q678" s="18" t="s">
        <v>123</v>
      </c>
      <c r="R678" s="18" t="s">
        <v>3070</v>
      </c>
      <c r="S678" s="18" t="s">
        <v>125</v>
      </c>
      <c r="T678" s="18" t="s">
        <v>3071</v>
      </c>
      <c r="U678" s="18"/>
      <c r="V678" s="19" t="s">
        <v>29</v>
      </c>
      <c r="W678" s="19"/>
      <c r="X678" s="19"/>
      <c r="Y678" s="20"/>
      <c r="Z678" s="19"/>
      <c r="AA678" s="18" t="str">
        <f aca="false">IF(OR(V678="Aprobada"),R678,IF(AND(OR(V678="Aprobada con ajuste",V678="Rechazada"),W678&lt;&gt;""),W678,""))</f>
        <v/>
      </c>
    </row>
    <row r="679" customFormat="false" ht="53.7" hidden="false" customHeight="false" outlineLevel="0" collapsed="false">
      <c r="A679" s="18" t="s">
        <v>3072</v>
      </c>
      <c r="B679" s="18" t="s">
        <v>60</v>
      </c>
      <c r="C679" s="18" t="s">
        <v>61</v>
      </c>
      <c r="D679" s="18" t="s">
        <v>3066</v>
      </c>
      <c r="E679" s="18" t="n">
        <v>7</v>
      </c>
      <c r="F679" s="18" t="s">
        <v>1637</v>
      </c>
      <c r="G679" s="18" t="s">
        <v>145</v>
      </c>
      <c r="H679" s="18" t="s">
        <v>109</v>
      </c>
      <c r="I679" s="18"/>
      <c r="J679" s="18"/>
      <c r="K679" s="18"/>
      <c r="L679" s="18" t="s">
        <v>109</v>
      </c>
      <c r="M679" s="18" t="s">
        <v>109</v>
      </c>
      <c r="N679" s="18"/>
      <c r="O679" s="18"/>
      <c r="P679" s="18" t="s">
        <v>3073</v>
      </c>
      <c r="Q679" s="18" t="s">
        <v>123</v>
      </c>
      <c r="R679" s="18" t="s">
        <v>3074</v>
      </c>
      <c r="S679" s="18" t="s">
        <v>125</v>
      </c>
      <c r="T679" s="18" t="s">
        <v>3075</v>
      </c>
      <c r="U679" s="18"/>
      <c r="V679" s="19" t="s">
        <v>29</v>
      </c>
      <c r="W679" s="19"/>
      <c r="X679" s="19"/>
      <c r="Y679" s="20"/>
      <c r="Z679" s="19"/>
      <c r="AA679" s="18" t="str">
        <f aca="false">IF(OR(V679="Aprobada"),R679,IF(AND(OR(V679="Aprobada con ajuste",V679="Rechazada"),W679&lt;&gt;""),W679,""))</f>
        <v/>
      </c>
    </row>
    <row r="680" customFormat="false" ht="53.7" hidden="false" customHeight="false" outlineLevel="0" collapsed="false">
      <c r="A680" s="18" t="s">
        <v>3076</v>
      </c>
      <c r="B680" s="18" t="s">
        <v>60</v>
      </c>
      <c r="C680" s="18" t="s">
        <v>61</v>
      </c>
      <c r="D680" s="18" t="s">
        <v>3077</v>
      </c>
      <c r="E680" s="18" t="n">
        <v>7</v>
      </c>
      <c r="F680" s="18" t="s">
        <v>3026</v>
      </c>
      <c r="G680" s="18" t="s">
        <v>139</v>
      </c>
      <c r="H680" s="18" t="s">
        <v>109</v>
      </c>
      <c r="I680" s="18" t="s">
        <v>140</v>
      </c>
      <c r="J680" s="18"/>
      <c r="K680" s="18"/>
      <c r="L680" s="18" t="s">
        <v>109</v>
      </c>
      <c r="M680" s="18" t="s">
        <v>109</v>
      </c>
      <c r="N680" s="18"/>
      <c r="O680" s="18"/>
      <c r="P680" s="18" t="s">
        <v>3078</v>
      </c>
      <c r="Q680" s="18" t="s">
        <v>110</v>
      </c>
      <c r="R680" s="18" t="s">
        <v>3028</v>
      </c>
      <c r="S680" s="18" t="s">
        <v>112</v>
      </c>
      <c r="T680" s="18" t="s">
        <v>113</v>
      </c>
      <c r="U680" s="18"/>
      <c r="V680" s="19" t="s">
        <v>29</v>
      </c>
      <c r="W680" s="19"/>
      <c r="X680" s="19"/>
      <c r="Y680" s="20"/>
      <c r="Z680" s="19"/>
      <c r="AA680" s="18" t="str">
        <f aca="false">IF(OR(V680="Aprobada"),R680,IF(AND(OR(V680="Aprobada con ajuste",V680="Rechazada"),W680&lt;&gt;""),W680,""))</f>
        <v/>
      </c>
    </row>
    <row r="681" customFormat="false" ht="22.35" hidden="false" customHeight="false" outlineLevel="0" collapsed="false">
      <c r="A681" s="18" t="s">
        <v>3079</v>
      </c>
      <c r="B681" s="18" t="s">
        <v>60</v>
      </c>
      <c r="C681" s="18" t="s">
        <v>61</v>
      </c>
      <c r="D681" s="18" t="s">
        <v>3077</v>
      </c>
      <c r="E681" s="18" t="n">
        <v>7</v>
      </c>
      <c r="F681" s="18" t="s">
        <v>1685</v>
      </c>
      <c r="G681" s="18" t="s">
        <v>116</v>
      </c>
      <c r="H681" s="18" t="s">
        <v>117</v>
      </c>
      <c r="I681" s="18"/>
      <c r="J681" s="18"/>
      <c r="K681" s="18"/>
      <c r="L681" s="18" t="s">
        <v>109</v>
      </c>
      <c r="M681" s="18" t="s">
        <v>109</v>
      </c>
      <c r="N681" s="18"/>
      <c r="O681" s="18"/>
      <c r="P681" s="18" t="s">
        <v>3080</v>
      </c>
      <c r="Q681" s="18" t="s">
        <v>134</v>
      </c>
      <c r="R681" s="18" t="s">
        <v>3081</v>
      </c>
      <c r="S681" s="18" t="s">
        <v>112</v>
      </c>
      <c r="T681" s="18" t="s">
        <v>3082</v>
      </c>
      <c r="U681" s="18" t="s">
        <v>3083</v>
      </c>
      <c r="V681" s="19" t="s">
        <v>29</v>
      </c>
      <c r="W681" s="19"/>
      <c r="X681" s="19"/>
      <c r="Y681" s="20"/>
      <c r="Z681" s="19"/>
      <c r="AA681" s="18" t="str">
        <f aca="false">IF(OR(V681="Aprobada"),R681,IF(AND(OR(V681="Aprobada con ajuste",V681="Rechazada"),W681&lt;&gt;""),W681,""))</f>
        <v/>
      </c>
    </row>
    <row r="682" customFormat="false" ht="74.6" hidden="false" customHeight="false" outlineLevel="0" collapsed="false">
      <c r="A682" s="18" t="s">
        <v>3084</v>
      </c>
      <c r="B682" s="18" t="s">
        <v>60</v>
      </c>
      <c r="C682" s="18" t="s">
        <v>61</v>
      </c>
      <c r="D682" s="18" t="s">
        <v>3077</v>
      </c>
      <c r="E682" s="18" t="n">
        <v>7</v>
      </c>
      <c r="F682" s="18" t="s">
        <v>1637</v>
      </c>
      <c r="G682" s="18" t="s">
        <v>145</v>
      </c>
      <c r="H682" s="18" t="s">
        <v>109</v>
      </c>
      <c r="I682" s="18"/>
      <c r="J682" s="18"/>
      <c r="K682" s="18"/>
      <c r="L682" s="18" t="s">
        <v>109</v>
      </c>
      <c r="M682" s="18" t="s">
        <v>109</v>
      </c>
      <c r="N682" s="18"/>
      <c r="O682" s="18"/>
      <c r="P682" s="18" t="s">
        <v>3085</v>
      </c>
      <c r="Q682" s="18" t="s">
        <v>123</v>
      </c>
      <c r="R682" s="18" t="s">
        <v>3086</v>
      </c>
      <c r="S682" s="18" t="s">
        <v>125</v>
      </c>
      <c r="T682" s="18" t="s">
        <v>3087</v>
      </c>
      <c r="U682" s="18"/>
      <c r="V682" s="19" t="s">
        <v>29</v>
      </c>
      <c r="W682" s="19"/>
      <c r="X682" s="19"/>
      <c r="Y682" s="20"/>
      <c r="Z682" s="19"/>
      <c r="AA682" s="18" t="str">
        <f aca="false">IF(OR(V682="Aprobada"),R682,IF(AND(OR(V682="Aprobada con ajuste",V682="Rechazada"),W682&lt;&gt;""),W682,""))</f>
        <v/>
      </c>
    </row>
    <row r="683" customFormat="false" ht="32.8" hidden="false" customHeight="false" outlineLevel="0" collapsed="false">
      <c r="A683" s="18" t="s">
        <v>3088</v>
      </c>
      <c r="B683" s="18" t="s">
        <v>60</v>
      </c>
      <c r="C683" s="18" t="s">
        <v>61</v>
      </c>
      <c r="D683" s="18" t="s">
        <v>3089</v>
      </c>
      <c r="E683" s="18" t="n">
        <v>590</v>
      </c>
      <c r="F683" s="18" t="s">
        <v>1791</v>
      </c>
      <c r="G683" s="18" t="s">
        <v>151</v>
      </c>
      <c r="H683" s="18" t="s">
        <v>109</v>
      </c>
      <c r="I683" s="18"/>
      <c r="J683" s="18"/>
      <c r="K683" s="18"/>
      <c r="L683" s="18" t="s">
        <v>109</v>
      </c>
      <c r="M683" s="18" t="s">
        <v>109</v>
      </c>
      <c r="N683" s="18"/>
      <c r="O683" s="18" t="s">
        <v>3090</v>
      </c>
      <c r="P683" s="18" t="s">
        <v>3091</v>
      </c>
      <c r="Q683" s="18" t="s">
        <v>134</v>
      </c>
      <c r="R683" s="18" t="s">
        <v>3092</v>
      </c>
      <c r="S683" s="18" t="s">
        <v>125</v>
      </c>
      <c r="T683" s="18" t="s">
        <v>3093</v>
      </c>
      <c r="U683" s="18"/>
      <c r="V683" s="19" t="s">
        <v>29</v>
      </c>
      <c r="W683" s="19"/>
      <c r="X683" s="19"/>
      <c r="Y683" s="20"/>
      <c r="Z683" s="19"/>
      <c r="AA683" s="18" t="str">
        <f aca="false">IF(OR(V683="Aprobada"),R683,IF(AND(OR(V683="Aprobada con ajuste",V683="Rechazada"),W683&lt;&gt;""),W683,""))</f>
        <v/>
      </c>
    </row>
    <row r="684" customFormat="false" ht="32.8" hidden="false" customHeight="false" outlineLevel="0" collapsed="false">
      <c r="A684" s="18" t="s">
        <v>3094</v>
      </c>
      <c r="B684" s="18" t="s">
        <v>60</v>
      </c>
      <c r="C684" s="18" t="s">
        <v>61</v>
      </c>
      <c r="D684" s="18" t="s">
        <v>3089</v>
      </c>
      <c r="E684" s="18" t="n">
        <v>590</v>
      </c>
      <c r="F684" s="18" t="s">
        <v>107</v>
      </c>
      <c r="G684" s="18" t="s">
        <v>108</v>
      </c>
      <c r="H684" s="18" t="s">
        <v>109</v>
      </c>
      <c r="I684" s="18" t="s">
        <v>140</v>
      </c>
      <c r="J684" s="18" t="s">
        <v>3095</v>
      </c>
      <c r="K684" s="18"/>
      <c r="L684" s="18" t="s">
        <v>117</v>
      </c>
      <c r="M684" s="18" t="s">
        <v>109</v>
      </c>
      <c r="N684" s="18"/>
      <c r="O684" s="18"/>
      <c r="P684" s="18" t="s">
        <v>3096</v>
      </c>
      <c r="Q684" s="18" t="s">
        <v>110</v>
      </c>
      <c r="R684" s="18" t="s">
        <v>3097</v>
      </c>
      <c r="S684" s="18" t="s">
        <v>112</v>
      </c>
      <c r="T684" s="18" t="s">
        <v>113</v>
      </c>
      <c r="U684" s="18"/>
      <c r="V684" s="19" t="s">
        <v>29</v>
      </c>
      <c r="W684" s="19"/>
      <c r="X684" s="19"/>
      <c r="Y684" s="20"/>
      <c r="Z684" s="19"/>
      <c r="AA684" s="18" t="str">
        <f aca="false">IF(OR(V684="Aprobada"),R684,IF(AND(OR(V684="Aprobada con ajuste",V684="Rechazada"),W684&lt;&gt;""),W684,""))</f>
        <v/>
      </c>
    </row>
    <row r="685" customFormat="false" ht="32.8" hidden="false" customHeight="false" outlineLevel="0" collapsed="false">
      <c r="A685" s="18" t="s">
        <v>3098</v>
      </c>
      <c r="B685" s="18" t="s">
        <v>60</v>
      </c>
      <c r="C685" s="18" t="s">
        <v>61</v>
      </c>
      <c r="D685" s="18" t="s">
        <v>3089</v>
      </c>
      <c r="E685" s="18" t="n">
        <v>590</v>
      </c>
      <c r="F685" s="18" t="s">
        <v>3099</v>
      </c>
      <c r="G685" s="18" t="s">
        <v>212</v>
      </c>
      <c r="H685" s="18" t="s">
        <v>109</v>
      </c>
      <c r="I685" s="18"/>
      <c r="J685" s="18"/>
      <c r="K685" s="18"/>
      <c r="L685" s="18" t="s">
        <v>109</v>
      </c>
      <c r="M685" s="18" t="s">
        <v>109</v>
      </c>
      <c r="N685" s="18"/>
      <c r="O685" s="18"/>
      <c r="P685" s="18" t="s">
        <v>3100</v>
      </c>
      <c r="Q685" s="18" t="s">
        <v>123</v>
      </c>
      <c r="R685" s="18" t="s">
        <v>3101</v>
      </c>
      <c r="S685" s="18" t="s">
        <v>125</v>
      </c>
      <c r="T685" s="18" t="s">
        <v>3102</v>
      </c>
      <c r="U685" s="18"/>
      <c r="V685" s="19" t="s">
        <v>29</v>
      </c>
      <c r="W685" s="19"/>
      <c r="X685" s="19"/>
      <c r="Y685" s="20"/>
      <c r="Z685" s="19"/>
      <c r="AA685" s="18" t="str">
        <f aca="false">IF(OR(V685="Aprobada"),R685,IF(AND(OR(V685="Aprobada con ajuste",V685="Rechazada"),W685&lt;&gt;""),W685,""))</f>
        <v/>
      </c>
    </row>
    <row r="686" customFormat="false" ht="64.15" hidden="false" customHeight="false" outlineLevel="0" collapsed="false">
      <c r="A686" s="18" t="s">
        <v>3103</v>
      </c>
      <c r="B686" s="18" t="s">
        <v>60</v>
      </c>
      <c r="C686" s="18" t="s">
        <v>61</v>
      </c>
      <c r="D686" s="18" t="s">
        <v>3089</v>
      </c>
      <c r="E686" s="18" t="n">
        <v>590</v>
      </c>
      <c r="F686" s="18" t="s">
        <v>961</v>
      </c>
      <c r="G686" s="18" t="s">
        <v>139</v>
      </c>
      <c r="H686" s="18" t="s">
        <v>109</v>
      </c>
      <c r="I686" s="18"/>
      <c r="J686" s="18"/>
      <c r="K686" s="18"/>
      <c r="L686" s="18" t="s">
        <v>109</v>
      </c>
      <c r="M686" s="18" t="s">
        <v>109</v>
      </c>
      <c r="N686" s="18"/>
      <c r="O686" s="18"/>
      <c r="P686" s="18" t="s">
        <v>3104</v>
      </c>
      <c r="Q686" s="18" t="s">
        <v>123</v>
      </c>
      <c r="R686" s="18" t="s">
        <v>3105</v>
      </c>
      <c r="S686" s="18" t="s">
        <v>125</v>
      </c>
      <c r="T686" s="18" t="s">
        <v>3106</v>
      </c>
      <c r="U686" s="18"/>
      <c r="V686" s="19" t="s">
        <v>29</v>
      </c>
      <c r="W686" s="19"/>
      <c r="X686" s="19"/>
      <c r="Y686" s="20"/>
      <c r="Z686" s="19"/>
      <c r="AA686" s="18" t="str">
        <f aca="false">IF(OR(V686="Aprobada"),R686,IF(AND(OR(V686="Aprobada con ajuste",V686="Rechazada"),W686&lt;&gt;""),W686,""))</f>
        <v/>
      </c>
    </row>
    <row r="687" customFormat="false" ht="22.35" hidden="false" customHeight="false" outlineLevel="0" collapsed="false">
      <c r="A687" s="18" t="s">
        <v>3107</v>
      </c>
      <c r="B687" s="18" t="s">
        <v>60</v>
      </c>
      <c r="C687" s="18" t="s">
        <v>61</v>
      </c>
      <c r="D687" s="18" t="s">
        <v>3089</v>
      </c>
      <c r="E687" s="18" t="n">
        <v>590</v>
      </c>
      <c r="F687" s="18" t="s">
        <v>3108</v>
      </c>
      <c r="G687" s="18" t="s">
        <v>121</v>
      </c>
      <c r="H687" s="18" t="s">
        <v>117</v>
      </c>
      <c r="I687" s="18"/>
      <c r="J687" s="18"/>
      <c r="K687" s="18"/>
      <c r="L687" s="18" t="s">
        <v>109</v>
      </c>
      <c r="M687" s="18" t="s">
        <v>109</v>
      </c>
      <c r="N687" s="18"/>
      <c r="O687" s="18"/>
      <c r="P687" s="18" t="s">
        <v>3109</v>
      </c>
      <c r="Q687" s="18" t="s">
        <v>110</v>
      </c>
      <c r="R687" s="18" t="s">
        <v>3110</v>
      </c>
      <c r="S687" s="18" t="s">
        <v>112</v>
      </c>
      <c r="T687" s="18" t="s">
        <v>113</v>
      </c>
      <c r="U687" s="18"/>
      <c r="V687" s="19" t="s">
        <v>29</v>
      </c>
      <c r="W687" s="19"/>
      <c r="X687" s="19"/>
      <c r="Y687" s="20"/>
      <c r="Z687" s="19"/>
      <c r="AA687" s="18" t="str">
        <f aca="false">IF(OR(V687="Aprobada"),R687,IF(AND(OR(V687="Aprobada con ajuste",V687="Rechazada"),W687&lt;&gt;""),W687,""))</f>
        <v/>
      </c>
    </row>
    <row r="688" customFormat="false" ht="22.35" hidden="false" customHeight="false" outlineLevel="0" collapsed="false">
      <c r="A688" s="18" t="s">
        <v>3111</v>
      </c>
      <c r="B688" s="18" t="s">
        <v>60</v>
      </c>
      <c r="C688" s="18" t="s">
        <v>61</v>
      </c>
      <c r="D688" s="18" t="s">
        <v>3089</v>
      </c>
      <c r="E688" s="18" t="n">
        <v>590</v>
      </c>
      <c r="F688" s="18" t="s">
        <v>3112</v>
      </c>
      <c r="G688" s="18" t="s">
        <v>184</v>
      </c>
      <c r="H688" s="18" t="s">
        <v>117</v>
      </c>
      <c r="I688" s="18"/>
      <c r="J688" s="18"/>
      <c r="K688" s="18"/>
      <c r="L688" s="18" t="s">
        <v>109</v>
      </c>
      <c r="M688" s="18" t="s">
        <v>109</v>
      </c>
      <c r="N688" s="18"/>
      <c r="O688" s="18"/>
      <c r="P688" s="18" t="s">
        <v>3113</v>
      </c>
      <c r="Q688" s="18" t="s">
        <v>110</v>
      </c>
      <c r="R688" s="18" t="s">
        <v>3114</v>
      </c>
      <c r="S688" s="18" t="s">
        <v>112</v>
      </c>
      <c r="T688" s="18" t="s">
        <v>113</v>
      </c>
      <c r="U688" s="18"/>
      <c r="V688" s="19" t="s">
        <v>29</v>
      </c>
      <c r="W688" s="19"/>
      <c r="X688" s="19"/>
      <c r="Y688" s="20"/>
      <c r="Z688" s="19"/>
      <c r="AA688" s="18" t="str">
        <f aca="false">IF(OR(V688="Aprobada"),R688,IF(AND(OR(V688="Aprobada con ajuste",V688="Rechazada"),W688&lt;&gt;""),W688,""))</f>
        <v/>
      </c>
    </row>
    <row r="689" customFormat="false" ht="22.35" hidden="false" customHeight="false" outlineLevel="0" collapsed="false">
      <c r="A689" s="18" t="s">
        <v>3115</v>
      </c>
      <c r="B689" s="18" t="s">
        <v>60</v>
      </c>
      <c r="C689" s="18" t="s">
        <v>61</v>
      </c>
      <c r="D689" s="18" t="s">
        <v>3089</v>
      </c>
      <c r="E689" s="18" t="n">
        <v>590</v>
      </c>
      <c r="F689" s="18" t="s">
        <v>952</v>
      </c>
      <c r="G689" s="18" t="s">
        <v>121</v>
      </c>
      <c r="H689" s="18" t="s">
        <v>117</v>
      </c>
      <c r="I689" s="18"/>
      <c r="J689" s="18"/>
      <c r="K689" s="18"/>
      <c r="L689" s="18" t="s">
        <v>109</v>
      </c>
      <c r="M689" s="18" t="s">
        <v>109</v>
      </c>
      <c r="N689" s="18"/>
      <c r="O689" s="18"/>
      <c r="P689" s="18" t="s">
        <v>3116</v>
      </c>
      <c r="Q689" s="18" t="s">
        <v>110</v>
      </c>
      <c r="R689" s="18" t="s">
        <v>1135</v>
      </c>
      <c r="S689" s="18" t="s">
        <v>112</v>
      </c>
      <c r="T689" s="18" t="s">
        <v>113</v>
      </c>
      <c r="U689" s="18"/>
      <c r="V689" s="19" t="s">
        <v>29</v>
      </c>
      <c r="W689" s="19"/>
      <c r="X689" s="19"/>
      <c r="Y689" s="20"/>
      <c r="Z689" s="19"/>
      <c r="AA689" s="18" t="str">
        <f aca="false">IF(OR(V689="Aprobada"),R689,IF(AND(OR(V689="Aprobada con ajuste",V689="Rechazada"),W689&lt;&gt;""),W689,""))</f>
        <v/>
      </c>
    </row>
    <row r="690" customFormat="false" ht="22.35" hidden="false" customHeight="false" outlineLevel="0" collapsed="false">
      <c r="A690" s="18" t="s">
        <v>3117</v>
      </c>
      <c r="B690" s="18" t="s">
        <v>60</v>
      </c>
      <c r="C690" s="18" t="s">
        <v>61</v>
      </c>
      <c r="D690" s="18" t="s">
        <v>3089</v>
      </c>
      <c r="E690" s="18" t="n">
        <v>590</v>
      </c>
      <c r="F690" s="18" t="s">
        <v>3118</v>
      </c>
      <c r="G690" s="18" t="s">
        <v>184</v>
      </c>
      <c r="H690" s="18" t="s">
        <v>117</v>
      </c>
      <c r="I690" s="18"/>
      <c r="J690" s="18"/>
      <c r="K690" s="18"/>
      <c r="L690" s="18" t="s">
        <v>109</v>
      </c>
      <c r="M690" s="18" t="s">
        <v>109</v>
      </c>
      <c r="N690" s="18"/>
      <c r="O690" s="18"/>
      <c r="P690" s="18" t="s">
        <v>3119</v>
      </c>
      <c r="Q690" s="18" t="s">
        <v>110</v>
      </c>
      <c r="R690" s="18" t="s">
        <v>298</v>
      </c>
      <c r="S690" s="18" t="s">
        <v>112</v>
      </c>
      <c r="T690" s="18" t="s">
        <v>113</v>
      </c>
      <c r="U690" s="18"/>
      <c r="V690" s="19" t="s">
        <v>29</v>
      </c>
      <c r="W690" s="19"/>
      <c r="X690" s="19"/>
      <c r="Y690" s="20"/>
      <c r="Z690" s="19"/>
      <c r="AA690" s="18" t="str">
        <f aca="false">IF(OR(V690="Aprobada"),R690,IF(AND(OR(V690="Aprobada con ajuste",V690="Rechazada"),W690&lt;&gt;""),W690,""))</f>
        <v/>
      </c>
    </row>
    <row r="691" customFormat="false" ht="22.35" hidden="false" customHeight="false" outlineLevel="0" collapsed="false">
      <c r="A691" s="18" t="s">
        <v>3120</v>
      </c>
      <c r="B691" s="18" t="s">
        <v>60</v>
      </c>
      <c r="C691" s="18" t="s">
        <v>61</v>
      </c>
      <c r="D691" s="18" t="s">
        <v>3089</v>
      </c>
      <c r="E691" s="18" t="n">
        <v>590</v>
      </c>
      <c r="F691" s="18" t="s">
        <v>3121</v>
      </c>
      <c r="G691" s="18" t="s">
        <v>145</v>
      </c>
      <c r="H691" s="18" t="s">
        <v>109</v>
      </c>
      <c r="I691" s="18"/>
      <c r="J691" s="18"/>
      <c r="K691" s="18"/>
      <c r="L691" s="18" t="s">
        <v>109</v>
      </c>
      <c r="M691" s="18" t="s">
        <v>109</v>
      </c>
      <c r="N691" s="18"/>
      <c r="O691" s="18"/>
      <c r="P691" s="18"/>
      <c r="Q691" s="18" t="s">
        <v>110</v>
      </c>
      <c r="R691" s="18" t="s">
        <v>3122</v>
      </c>
      <c r="S691" s="18" t="s">
        <v>112</v>
      </c>
      <c r="T691" s="18" t="s">
        <v>113</v>
      </c>
      <c r="U691" s="18"/>
      <c r="V691" s="19" t="s">
        <v>29</v>
      </c>
      <c r="W691" s="19"/>
      <c r="X691" s="19"/>
      <c r="Y691" s="20"/>
      <c r="Z691" s="19"/>
      <c r="AA691" s="18" t="str">
        <f aca="false">IF(OR(V691="Aprobada"),R691,IF(AND(OR(V691="Aprobada con ajuste",V691="Rechazada"),W691&lt;&gt;""),W691,""))</f>
        <v/>
      </c>
    </row>
    <row r="692" customFormat="false" ht="32.8" hidden="false" customHeight="false" outlineLevel="0" collapsed="false">
      <c r="A692" s="18" t="s">
        <v>3123</v>
      </c>
      <c r="B692" s="18" t="s">
        <v>60</v>
      </c>
      <c r="C692" s="18" t="s">
        <v>61</v>
      </c>
      <c r="D692" s="18" t="s">
        <v>3124</v>
      </c>
      <c r="E692" s="18" t="n">
        <v>10</v>
      </c>
      <c r="F692" s="18" t="s">
        <v>3125</v>
      </c>
      <c r="G692" s="18" t="s">
        <v>167</v>
      </c>
      <c r="H692" s="18" t="s">
        <v>109</v>
      </c>
      <c r="I692" s="18" t="s">
        <v>409</v>
      </c>
      <c r="J692" s="18"/>
      <c r="K692" s="18"/>
      <c r="L692" s="18" t="s">
        <v>109</v>
      </c>
      <c r="M692" s="18" t="s">
        <v>109</v>
      </c>
      <c r="N692" s="18"/>
      <c r="O692" s="18" t="s">
        <v>3126</v>
      </c>
      <c r="P692" s="18" t="s">
        <v>3127</v>
      </c>
      <c r="Q692" s="18" t="s">
        <v>134</v>
      </c>
      <c r="R692" s="18" t="s">
        <v>3128</v>
      </c>
      <c r="S692" s="18" t="s">
        <v>125</v>
      </c>
      <c r="T692" s="18" t="s">
        <v>3129</v>
      </c>
      <c r="U692" s="18"/>
      <c r="V692" s="19" t="s">
        <v>29</v>
      </c>
      <c r="W692" s="19"/>
      <c r="X692" s="19"/>
      <c r="Y692" s="20"/>
      <c r="Z692" s="19"/>
      <c r="AA692" s="18" t="str">
        <f aca="false">IF(OR(V692="Aprobada"),R692,IF(AND(OR(V692="Aprobada con ajuste",V692="Rechazada"),W692&lt;&gt;""),W692,""))</f>
        <v/>
      </c>
    </row>
    <row r="693" customFormat="false" ht="53.7" hidden="false" customHeight="false" outlineLevel="0" collapsed="false">
      <c r="A693" s="18" t="s">
        <v>3130</v>
      </c>
      <c r="B693" s="18" t="s">
        <v>60</v>
      </c>
      <c r="C693" s="18" t="s">
        <v>61</v>
      </c>
      <c r="D693" s="18" t="s">
        <v>3124</v>
      </c>
      <c r="E693" s="18" t="n">
        <v>10</v>
      </c>
      <c r="F693" s="18" t="s">
        <v>1563</v>
      </c>
      <c r="G693" s="18" t="s">
        <v>116</v>
      </c>
      <c r="H693" s="18" t="s">
        <v>109</v>
      </c>
      <c r="I693" s="18"/>
      <c r="J693" s="18"/>
      <c r="K693" s="18"/>
      <c r="L693" s="18" t="s">
        <v>109</v>
      </c>
      <c r="M693" s="18" t="s">
        <v>109</v>
      </c>
      <c r="N693" s="18"/>
      <c r="O693" s="18"/>
      <c r="P693" s="18" t="s">
        <v>3131</v>
      </c>
      <c r="Q693" s="18" t="s">
        <v>134</v>
      </c>
      <c r="R693" s="18" t="s">
        <v>3132</v>
      </c>
      <c r="S693" s="18" t="s">
        <v>125</v>
      </c>
      <c r="T693" s="18" t="s">
        <v>3133</v>
      </c>
      <c r="U693" s="18"/>
      <c r="V693" s="19" t="s">
        <v>29</v>
      </c>
      <c r="W693" s="19"/>
      <c r="X693" s="19"/>
      <c r="Y693" s="20"/>
      <c r="Z693" s="19"/>
      <c r="AA693" s="18" t="str">
        <f aca="false">IF(OR(V693="Aprobada"),R693,IF(AND(OR(V693="Aprobada con ajuste",V693="Rechazada"),W693&lt;&gt;""),W693,""))</f>
        <v/>
      </c>
    </row>
    <row r="694" customFormat="false" ht="53.7" hidden="false" customHeight="false" outlineLevel="0" collapsed="false">
      <c r="A694" s="18" t="s">
        <v>3134</v>
      </c>
      <c r="B694" s="18" t="s">
        <v>60</v>
      </c>
      <c r="C694" s="18" t="s">
        <v>61</v>
      </c>
      <c r="D694" s="18" t="s">
        <v>3124</v>
      </c>
      <c r="E694" s="18" t="n">
        <v>10</v>
      </c>
      <c r="F694" s="18" t="s">
        <v>1186</v>
      </c>
      <c r="G694" s="18" t="s">
        <v>139</v>
      </c>
      <c r="H694" s="18" t="s">
        <v>109</v>
      </c>
      <c r="I694" s="18"/>
      <c r="J694" s="18"/>
      <c r="K694" s="18"/>
      <c r="L694" s="18" t="s">
        <v>109</v>
      </c>
      <c r="M694" s="18" t="s">
        <v>109</v>
      </c>
      <c r="N694" s="18"/>
      <c r="O694" s="18"/>
      <c r="P694" s="18" t="s">
        <v>3135</v>
      </c>
      <c r="Q694" s="18" t="s">
        <v>123</v>
      </c>
      <c r="R694" s="18" t="s">
        <v>3136</v>
      </c>
      <c r="S694" s="18" t="s">
        <v>112</v>
      </c>
      <c r="T694" s="18" t="s">
        <v>3137</v>
      </c>
      <c r="U694" s="18" t="s">
        <v>3138</v>
      </c>
      <c r="V694" s="19" t="s">
        <v>29</v>
      </c>
      <c r="W694" s="19"/>
      <c r="X694" s="19"/>
      <c r="Y694" s="20"/>
      <c r="Z694" s="19"/>
      <c r="AA694" s="18" t="str">
        <f aca="false">IF(OR(V694="Aprobada"),R694,IF(AND(OR(V694="Aprobada con ajuste",V694="Rechazada"),W694&lt;&gt;""),W694,""))</f>
        <v/>
      </c>
    </row>
    <row r="695" customFormat="false" ht="43.25" hidden="false" customHeight="false" outlineLevel="0" collapsed="false">
      <c r="A695" s="18" t="s">
        <v>3139</v>
      </c>
      <c r="B695" s="18" t="s">
        <v>60</v>
      </c>
      <c r="C695" s="18" t="s">
        <v>61</v>
      </c>
      <c r="D695" s="18" t="s">
        <v>3124</v>
      </c>
      <c r="E695" s="18" t="n">
        <v>10</v>
      </c>
      <c r="F695" s="18" t="s">
        <v>3140</v>
      </c>
      <c r="G695" s="18" t="s">
        <v>184</v>
      </c>
      <c r="H695" s="18" t="s">
        <v>109</v>
      </c>
      <c r="I695" s="18"/>
      <c r="J695" s="18"/>
      <c r="K695" s="18"/>
      <c r="L695" s="18" t="s">
        <v>109</v>
      </c>
      <c r="M695" s="18" t="s">
        <v>109</v>
      </c>
      <c r="N695" s="18"/>
      <c r="O695" s="18"/>
      <c r="P695" s="18" t="s">
        <v>3141</v>
      </c>
      <c r="Q695" s="18" t="s">
        <v>110</v>
      </c>
      <c r="R695" s="18" t="s">
        <v>3142</v>
      </c>
      <c r="S695" s="18" t="s">
        <v>112</v>
      </c>
      <c r="T695" s="18" t="s">
        <v>113</v>
      </c>
      <c r="U695" s="18"/>
      <c r="V695" s="19" t="s">
        <v>29</v>
      </c>
      <c r="W695" s="19"/>
      <c r="X695" s="19"/>
      <c r="Y695" s="20"/>
      <c r="Z695" s="19"/>
      <c r="AA695" s="18" t="str">
        <f aca="false">IF(OR(V695="Aprobada"),R695,IF(AND(OR(V695="Aprobada con ajuste",V695="Rechazada"),W695&lt;&gt;""),W695,""))</f>
        <v/>
      </c>
    </row>
    <row r="696" customFormat="false" ht="95.5" hidden="false" customHeight="false" outlineLevel="0" collapsed="false">
      <c r="A696" s="18" t="s">
        <v>3143</v>
      </c>
      <c r="B696" s="18" t="s">
        <v>60</v>
      </c>
      <c r="C696" s="18" t="s">
        <v>61</v>
      </c>
      <c r="D696" s="18" t="s">
        <v>3144</v>
      </c>
      <c r="E696" s="18" t="n">
        <v>0</v>
      </c>
      <c r="F696" s="18" t="s">
        <v>3145</v>
      </c>
      <c r="G696" s="18" t="s">
        <v>151</v>
      </c>
      <c r="H696" s="18" t="s">
        <v>109</v>
      </c>
      <c r="I696" s="18" t="s">
        <v>140</v>
      </c>
      <c r="J696" s="18" t="s">
        <v>3146</v>
      </c>
      <c r="K696" s="18"/>
      <c r="L696" s="18" t="s">
        <v>117</v>
      </c>
      <c r="M696" s="18" t="s">
        <v>109</v>
      </c>
      <c r="N696" s="18"/>
      <c r="O696" s="18" t="s">
        <v>3147</v>
      </c>
      <c r="P696" s="18" t="s">
        <v>3148</v>
      </c>
      <c r="Q696" s="18" t="s">
        <v>123</v>
      </c>
      <c r="R696" s="18" t="s">
        <v>3149</v>
      </c>
      <c r="S696" s="18" t="s">
        <v>125</v>
      </c>
      <c r="T696" s="18" t="s">
        <v>3150</v>
      </c>
      <c r="U696" s="18"/>
      <c r="V696" s="19" t="s">
        <v>29</v>
      </c>
      <c r="W696" s="19"/>
      <c r="X696" s="19"/>
      <c r="Y696" s="20"/>
      <c r="Z696" s="19"/>
      <c r="AA696" s="18" t="str">
        <f aca="false">IF(OR(V696="Aprobada"),R696,IF(AND(OR(V696="Aprobada con ajuste",V696="Rechazada"),W696&lt;&gt;""),W696,""))</f>
        <v/>
      </c>
    </row>
    <row r="697" customFormat="false" ht="85.05" hidden="false" customHeight="false" outlineLevel="0" collapsed="false">
      <c r="A697" s="18" t="s">
        <v>3151</v>
      </c>
      <c r="B697" s="18" t="s">
        <v>60</v>
      </c>
      <c r="C697" s="18" t="s">
        <v>61</v>
      </c>
      <c r="D697" s="18" t="s">
        <v>3144</v>
      </c>
      <c r="E697" s="18" t="n">
        <v>0</v>
      </c>
      <c r="F697" s="18" t="s">
        <v>1576</v>
      </c>
      <c r="G697" s="18" t="s">
        <v>394</v>
      </c>
      <c r="H697" s="18" t="s">
        <v>109</v>
      </c>
      <c r="I697" s="18"/>
      <c r="J697" s="18"/>
      <c r="K697" s="18"/>
      <c r="L697" s="18" t="s">
        <v>109</v>
      </c>
      <c r="M697" s="18" t="s">
        <v>109</v>
      </c>
      <c r="N697" s="18"/>
      <c r="O697" s="18"/>
      <c r="P697" s="18" t="s">
        <v>3152</v>
      </c>
      <c r="Q697" s="18" t="s">
        <v>123</v>
      </c>
      <c r="R697" s="18" t="s">
        <v>3153</v>
      </c>
      <c r="S697" s="18" t="s">
        <v>125</v>
      </c>
      <c r="T697" s="18" t="s">
        <v>3154</v>
      </c>
      <c r="U697" s="18"/>
      <c r="V697" s="19" t="s">
        <v>29</v>
      </c>
      <c r="W697" s="19"/>
      <c r="X697" s="19"/>
      <c r="Y697" s="20"/>
      <c r="Z697" s="19"/>
      <c r="AA697" s="18" t="str">
        <f aca="false">IF(OR(V697="Aprobada"),R697,IF(AND(OR(V697="Aprobada con ajuste",V697="Rechazada"),W697&lt;&gt;""),W697,""))</f>
        <v/>
      </c>
    </row>
    <row r="698" customFormat="false" ht="64.15" hidden="false" customHeight="false" outlineLevel="0" collapsed="false">
      <c r="A698" s="18" t="s">
        <v>3155</v>
      </c>
      <c r="B698" s="18" t="s">
        <v>60</v>
      </c>
      <c r="C698" s="18" t="s">
        <v>61</v>
      </c>
      <c r="D698" s="18" t="s">
        <v>3144</v>
      </c>
      <c r="E698" s="18" t="n">
        <v>0</v>
      </c>
      <c r="F698" s="18" t="s">
        <v>2445</v>
      </c>
      <c r="G698" s="18" t="s">
        <v>139</v>
      </c>
      <c r="H698" s="18" t="s">
        <v>117</v>
      </c>
      <c r="I698" s="18" t="s">
        <v>140</v>
      </c>
      <c r="J698" s="18"/>
      <c r="K698" s="18"/>
      <c r="L698" s="18" t="s">
        <v>109</v>
      </c>
      <c r="M698" s="18" t="s">
        <v>109</v>
      </c>
      <c r="N698" s="18"/>
      <c r="O698" s="18"/>
      <c r="P698" s="18" t="s">
        <v>3156</v>
      </c>
      <c r="Q698" s="18" t="s">
        <v>123</v>
      </c>
      <c r="R698" s="18" t="s">
        <v>3157</v>
      </c>
      <c r="S698" s="18" t="s">
        <v>125</v>
      </c>
      <c r="T698" s="18" t="s">
        <v>3158</v>
      </c>
      <c r="U698" s="18"/>
      <c r="V698" s="19" t="s">
        <v>29</v>
      </c>
      <c r="W698" s="19"/>
      <c r="X698" s="19"/>
      <c r="Y698" s="20"/>
      <c r="Z698" s="19"/>
      <c r="AA698" s="18" t="str">
        <f aca="false">IF(OR(V698="Aprobada"),R698,IF(AND(OR(V698="Aprobada con ajuste",V698="Rechazada"),W698&lt;&gt;""),W698,""))</f>
        <v/>
      </c>
    </row>
    <row r="699" customFormat="false" ht="22.35" hidden="false" customHeight="false" outlineLevel="0" collapsed="false">
      <c r="A699" s="18" t="s">
        <v>3159</v>
      </c>
      <c r="B699" s="18" t="s">
        <v>60</v>
      </c>
      <c r="C699" s="18" t="s">
        <v>61</v>
      </c>
      <c r="D699" s="18" t="s">
        <v>3144</v>
      </c>
      <c r="E699" s="18" t="n">
        <v>0</v>
      </c>
      <c r="F699" s="18" t="s">
        <v>3160</v>
      </c>
      <c r="G699" s="18" t="s">
        <v>394</v>
      </c>
      <c r="H699" s="18" t="s">
        <v>117</v>
      </c>
      <c r="I699" s="18" t="s">
        <v>140</v>
      </c>
      <c r="J699" s="18"/>
      <c r="K699" s="18"/>
      <c r="L699" s="18" t="s">
        <v>109</v>
      </c>
      <c r="M699" s="18" t="s">
        <v>109</v>
      </c>
      <c r="N699" s="18"/>
      <c r="O699" s="18"/>
      <c r="P699" s="18" t="s">
        <v>3161</v>
      </c>
      <c r="Q699" s="18" t="s">
        <v>110</v>
      </c>
      <c r="R699" s="18" t="s">
        <v>3162</v>
      </c>
      <c r="S699" s="18" t="s">
        <v>112</v>
      </c>
      <c r="T699" s="18" t="s">
        <v>113</v>
      </c>
      <c r="U699" s="18"/>
      <c r="V699" s="19" t="s">
        <v>29</v>
      </c>
      <c r="W699" s="19"/>
      <c r="X699" s="19"/>
      <c r="Y699" s="20"/>
      <c r="Z699" s="19"/>
      <c r="AA699" s="18" t="str">
        <f aca="false">IF(OR(V699="Aprobada"),R699,IF(AND(OR(V699="Aprobada con ajuste",V699="Rechazada"),W699&lt;&gt;""),W699,""))</f>
        <v/>
      </c>
    </row>
    <row r="700" customFormat="false" ht="32.8" hidden="false" customHeight="false" outlineLevel="0" collapsed="false">
      <c r="A700" s="18" t="s">
        <v>3163</v>
      </c>
      <c r="B700" s="18" t="s">
        <v>60</v>
      </c>
      <c r="C700" s="18" t="s">
        <v>61</v>
      </c>
      <c r="D700" s="18" t="s">
        <v>3144</v>
      </c>
      <c r="E700" s="18" t="n">
        <v>0</v>
      </c>
      <c r="F700" s="18" t="s">
        <v>3164</v>
      </c>
      <c r="G700" s="18" t="s">
        <v>436</v>
      </c>
      <c r="H700" s="18" t="s">
        <v>117</v>
      </c>
      <c r="I700" s="18"/>
      <c r="J700" s="18"/>
      <c r="K700" s="18"/>
      <c r="L700" s="18" t="s">
        <v>109</v>
      </c>
      <c r="M700" s="18" t="s">
        <v>109</v>
      </c>
      <c r="N700" s="18"/>
      <c r="O700" s="18"/>
      <c r="P700" s="18" t="s">
        <v>3165</v>
      </c>
      <c r="Q700" s="18" t="s">
        <v>134</v>
      </c>
      <c r="R700" s="18" t="s">
        <v>3166</v>
      </c>
      <c r="S700" s="18" t="s">
        <v>112</v>
      </c>
      <c r="T700" s="18" t="s">
        <v>3167</v>
      </c>
      <c r="U700" s="18" t="s">
        <v>3168</v>
      </c>
      <c r="V700" s="19" t="s">
        <v>29</v>
      </c>
      <c r="W700" s="19"/>
      <c r="X700" s="19"/>
      <c r="Y700" s="20"/>
      <c r="Z700" s="19"/>
      <c r="AA700" s="18" t="str">
        <f aca="false">IF(OR(V700="Aprobada"),R700,IF(AND(OR(V700="Aprobada con ajuste",V700="Rechazada"),W700&lt;&gt;""),W700,""))</f>
        <v/>
      </c>
    </row>
    <row r="701" customFormat="false" ht="95.5" hidden="false" customHeight="false" outlineLevel="0" collapsed="false">
      <c r="A701" s="18" t="s">
        <v>3169</v>
      </c>
      <c r="B701" s="18" t="s">
        <v>60</v>
      </c>
      <c r="C701" s="18" t="s">
        <v>61</v>
      </c>
      <c r="D701" s="18" t="s">
        <v>3144</v>
      </c>
      <c r="E701" s="18" t="n">
        <v>0</v>
      </c>
      <c r="F701" s="18" t="s">
        <v>1670</v>
      </c>
      <c r="G701" s="18" t="s">
        <v>116</v>
      </c>
      <c r="H701" s="18" t="s">
        <v>117</v>
      </c>
      <c r="I701" s="18"/>
      <c r="J701" s="18"/>
      <c r="K701" s="18"/>
      <c r="L701" s="18" t="s">
        <v>109</v>
      </c>
      <c r="M701" s="18" t="s">
        <v>109</v>
      </c>
      <c r="N701" s="18"/>
      <c r="O701" s="18"/>
      <c r="P701" s="18" t="s">
        <v>3170</v>
      </c>
      <c r="Q701" s="18" t="s">
        <v>134</v>
      </c>
      <c r="R701" s="18" t="s">
        <v>3171</v>
      </c>
      <c r="S701" s="18" t="s">
        <v>125</v>
      </c>
      <c r="T701" s="18" t="s">
        <v>3172</v>
      </c>
      <c r="U701" s="18"/>
      <c r="V701" s="19" t="s">
        <v>29</v>
      </c>
      <c r="W701" s="19"/>
      <c r="X701" s="19"/>
      <c r="Y701" s="20"/>
      <c r="Z701" s="19"/>
      <c r="AA701" s="18" t="str">
        <f aca="false">IF(OR(V701="Aprobada"),R701,IF(AND(OR(V701="Aprobada con ajuste",V701="Rechazada"),W701&lt;&gt;""),W701,""))</f>
        <v/>
      </c>
    </row>
    <row r="702" customFormat="false" ht="22.35" hidden="false" customHeight="false" outlineLevel="0" collapsed="false">
      <c r="A702" s="18" t="s">
        <v>3173</v>
      </c>
      <c r="B702" s="18" t="s">
        <v>60</v>
      </c>
      <c r="C702" s="18" t="s">
        <v>61</v>
      </c>
      <c r="D702" s="18" t="s">
        <v>3144</v>
      </c>
      <c r="E702" s="18" t="n">
        <v>0</v>
      </c>
      <c r="F702" s="18" t="s">
        <v>2398</v>
      </c>
      <c r="G702" s="18" t="s">
        <v>459</v>
      </c>
      <c r="H702" s="18" t="s">
        <v>117</v>
      </c>
      <c r="I702" s="18"/>
      <c r="J702" s="18"/>
      <c r="K702" s="18"/>
      <c r="L702" s="18" t="s">
        <v>109</v>
      </c>
      <c r="M702" s="18" t="s">
        <v>109</v>
      </c>
      <c r="N702" s="18"/>
      <c r="O702" s="18"/>
      <c r="P702" s="18" t="s">
        <v>3174</v>
      </c>
      <c r="Q702" s="18" t="s">
        <v>110</v>
      </c>
      <c r="R702" s="18" t="s">
        <v>1584</v>
      </c>
      <c r="S702" s="18" t="s">
        <v>112</v>
      </c>
      <c r="T702" s="18" t="s">
        <v>113</v>
      </c>
      <c r="U702" s="18"/>
      <c r="V702" s="19" t="s">
        <v>29</v>
      </c>
      <c r="W702" s="19"/>
      <c r="X702" s="19"/>
      <c r="Y702" s="20"/>
      <c r="Z702" s="19"/>
      <c r="AA702" s="18" t="str">
        <f aca="false">IF(OR(V702="Aprobada"),R702,IF(AND(OR(V702="Aprobada con ajuste",V702="Rechazada"),W702&lt;&gt;""),W702,""))</f>
        <v/>
      </c>
    </row>
    <row r="703" customFormat="false" ht="85.05" hidden="false" customHeight="false" outlineLevel="0" collapsed="false">
      <c r="A703" s="18" t="s">
        <v>3175</v>
      </c>
      <c r="B703" s="18" t="s">
        <v>60</v>
      </c>
      <c r="C703" s="18" t="s">
        <v>61</v>
      </c>
      <c r="D703" s="18" t="s">
        <v>3176</v>
      </c>
      <c r="E703" s="18" t="n">
        <v>1</v>
      </c>
      <c r="F703" s="18" t="s">
        <v>3145</v>
      </c>
      <c r="G703" s="18" t="s">
        <v>151</v>
      </c>
      <c r="H703" s="18" t="s">
        <v>109</v>
      </c>
      <c r="I703" s="18" t="s">
        <v>140</v>
      </c>
      <c r="J703" s="18" t="s">
        <v>3146</v>
      </c>
      <c r="K703" s="18"/>
      <c r="L703" s="18" t="s">
        <v>117</v>
      </c>
      <c r="M703" s="18" t="s">
        <v>109</v>
      </c>
      <c r="N703" s="18"/>
      <c r="O703" s="18" t="s">
        <v>3177</v>
      </c>
      <c r="P703" s="18" t="s">
        <v>3178</v>
      </c>
      <c r="Q703" s="18" t="s">
        <v>123</v>
      </c>
      <c r="R703" s="18" t="s">
        <v>3179</v>
      </c>
      <c r="S703" s="18" t="s">
        <v>125</v>
      </c>
      <c r="T703" s="18" t="s">
        <v>3180</v>
      </c>
      <c r="U703" s="18"/>
      <c r="V703" s="19" t="s">
        <v>29</v>
      </c>
      <c r="W703" s="19"/>
      <c r="X703" s="19"/>
      <c r="Y703" s="20"/>
      <c r="Z703" s="19"/>
      <c r="AA703" s="18" t="str">
        <f aca="false">IF(OR(V703="Aprobada"),R703,IF(AND(OR(V703="Aprobada con ajuste",V703="Rechazada"),W703&lt;&gt;""),W703,""))</f>
        <v/>
      </c>
    </row>
    <row r="704" customFormat="false" ht="85.05" hidden="false" customHeight="false" outlineLevel="0" collapsed="false">
      <c r="A704" s="18" t="s">
        <v>3181</v>
      </c>
      <c r="B704" s="18" t="s">
        <v>60</v>
      </c>
      <c r="C704" s="18" t="s">
        <v>61</v>
      </c>
      <c r="D704" s="18" t="s">
        <v>3176</v>
      </c>
      <c r="E704" s="18" t="n">
        <v>1</v>
      </c>
      <c r="F704" s="18" t="s">
        <v>1576</v>
      </c>
      <c r="G704" s="18" t="s">
        <v>394</v>
      </c>
      <c r="H704" s="18" t="s">
        <v>109</v>
      </c>
      <c r="I704" s="18"/>
      <c r="J704" s="18"/>
      <c r="K704" s="18"/>
      <c r="L704" s="18" t="s">
        <v>109</v>
      </c>
      <c r="M704" s="18" t="s">
        <v>109</v>
      </c>
      <c r="N704" s="18"/>
      <c r="O704" s="18"/>
      <c r="P704" s="18" t="s">
        <v>3182</v>
      </c>
      <c r="Q704" s="18" t="s">
        <v>123</v>
      </c>
      <c r="R704" s="18" t="s">
        <v>3183</v>
      </c>
      <c r="S704" s="18" t="s">
        <v>125</v>
      </c>
      <c r="T704" s="18" t="s">
        <v>3184</v>
      </c>
      <c r="U704" s="18"/>
      <c r="V704" s="19" t="s">
        <v>29</v>
      </c>
      <c r="W704" s="19"/>
      <c r="X704" s="19"/>
      <c r="Y704" s="20"/>
      <c r="Z704" s="19"/>
      <c r="AA704" s="18" t="str">
        <f aca="false">IF(OR(V704="Aprobada"),R704,IF(AND(OR(V704="Aprobada con ajuste",V704="Rechazada"),W704&lt;&gt;""),W704,""))</f>
        <v/>
      </c>
    </row>
    <row r="705" customFormat="false" ht="64.15" hidden="false" customHeight="false" outlineLevel="0" collapsed="false">
      <c r="A705" s="18" t="s">
        <v>3185</v>
      </c>
      <c r="B705" s="18" t="s">
        <v>60</v>
      </c>
      <c r="C705" s="18" t="s">
        <v>61</v>
      </c>
      <c r="D705" s="18" t="s">
        <v>3176</v>
      </c>
      <c r="E705" s="18" t="n">
        <v>1</v>
      </c>
      <c r="F705" s="18" t="s">
        <v>2445</v>
      </c>
      <c r="G705" s="18" t="s">
        <v>139</v>
      </c>
      <c r="H705" s="18" t="s">
        <v>117</v>
      </c>
      <c r="I705" s="18" t="s">
        <v>140</v>
      </c>
      <c r="J705" s="18"/>
      <c r="K705" s="18"/>
      <c r="L705" s="18" t="s">
        <v>109</v>
      </c>
      <c r="M705" s="18" t="s">
        <v>109</v>
      </c>
      <c r="N705" s="18"/>
      <c r="O705" s="18"/>
      <c r="P705" s="18" t="s">
        <v>3186</v>
      </c>
      <c r="Q705" s="18" t="s">
        <v>123</v>
      </c>
      <c r="R705" s="18" t="s">
        <v>3157</v>
      </c>
      <c r="S705" s="18" t="s">
        <v>125</v>
      </c>
      <c r="T705" s="18" t="s">
        <v>3187</v>
      </c>
      <c r="U705" s="18"/>
      <c r="V705" s="19" t="s">
        <v>29</v>
      </c>
      <c r="W705" s="19"/>
      <c r="X705" s="19"/>
      <c r="Y705" s="20"/>
      <c r="Z705" s="19"/>
      <c r="AA705" s="18" t="str">
        <f aca="false">IF(OR(V705="Aprobada"),R705,IF(AND(OR(V705="Aprobada con ajuste",V705="Rechazada"),W705&lt;&gt;""),W705,""))</f>
        <v/>
      </c>
    </row>
    <row r="706" customFormat="false" ht="22.35" hidden="false" customHeight="false" outlineLevel="0" collapsed="false">
      <c r="A706" s="18" t="s">
        <v>3188</v>
      </c>
      <c r="B706" s="18" t="s">
        <v>60</v>
      </c>
      <c r="C706" s="18" t="s">
        <v>61</v>
      </c>
      <c r="D706" s="18" t="s">
        <v>3176</v>
      </c>
      <c r="E706" s="18" t="n">
        <v>1</v>
      </c>
      <c r="F706" s="18" t="s">
        <v>3160</v>
      </c>
      <c r="G706" s="18" t="s">
        <v>394</v>
      </c>
      <c r="H706" s="18" t="s">
        <v>117</v>
      </c>
      <c r="I706" s="18" t="s">
        <v>140</v>
      </c>
      <c r="J706" s="18"/>
      <c r="K706" s="18"/>
      <c r="L706" s="18" t="s">
        <v>109</v>
      </c>
      <c r="M706" s="18" t="s">
        <v>109</v>
      </c>
      <c r="N706" s="18"/>
      <c r="O706" s="18"/>
      <c r="P706" s="18" t="s">
        <v>3189</v>
      </c>
      <c r="Q706" s="18" t="s">
        <v>110</v>
      </c>
      <c r="R706" s="18" t="s">
        <v>3162</v>
      </c>
      <c r="S706" s="18" t="s">
        <v>112</v>
      </c>
      <c r="T706" s="18" t="s">
        <v>113</v>
      </c>
      <c r="U706" s="18"/>
      <c r="V706" s="19" t="s">
        <v>29</v>
      </c>
      <c r="W706" s="19"/>
      <c r="X706" s="19"/>
      <c r="Y706" s="20"/>
      <c r="Z706" s="19"/>
      <c r="AA706" s="18" t="str">
        <f aca="false">IF(OR(V706="Aprobada"),R706,IF(AND(OR(V706="Aprobada con ajuste",V706="Rechazada"),W706&lt;&gt;""),W706,""))</f>
        <v/>
      </c>
    </row>
    <row r="707" customFormat="false" ht="32.8" hidden="false" customHeight="false" outlineLevel="0" collapsed="false">
      <c r="A707" s="18" t="s">
        <v>3190</v>
      </c>
      <c r="B707" s="18" t="s">
        <v>60</v>
      </c>
      <c r="C707" s="18" t="s">
        <v>61</v>
      </c>
      <c r="D707" s="18" t="s">
        <v>3176</v>
      </c>
      <c r="E707" s="18" t="n">
        <v>1</v>
      </c>
      <c r="F707" s="18" t="s">
        <v>3164</v>
      </c>
      <c r="G707" s="18" t="s">
        <v>436</v>
      </c>
      <c r="H707" s="18" t="s">
        <v>117</v>
      </c>
      <c r="I707" s="18"/>
      <c r="J707" s="18"/>
      <c r="K707" s="18"/>
      <c r="L707" s="18" t="s">
        <v>109</v>
      </c>
      <c r="M707" s="18" t="s">
        <v>109</v>
      </c>
      <c r="N707" s="18"/>
      <c r="O707" s="18"/>
      <c r="P707" s="18" t="s">
        <v>3191</v>
      </c>
      <c r="Q707" s="18" t="s">
        <v>134</v>
      </c>
      <c r="R707" s="18" t="s">
        <v>3166</v>
      </c>
      <c r="S707" s="18" t="s">
        <v>112</v>
      </c>
      <c r="T707" s="18" t="s">
        <v>3167</v>
      </c>
      <c r="U707" s="18" t="s">
        <v>3168</v>
      </c>
      <c r="V707" s="19" t="s">
        <v>29</v>
      </c>
      <c r="W707" s="19"/>
      <c r="X707" s="19"/>
      <c r="Y707" s="20"/>
      <c r="Z707" s="19"/>
      <c r="AA707" s="18" t="str">
        <f aca="false">IF(OR(V707="Aprobada"),R707,IF(AND(OR(V707="Aprobada con ajuste",V707="Rechazada"),W707&lt;&gt;""),W707,""))</f>
        <v/>
      </c>
    </row>
    <row r="708" customFormat="false" ht="95.5" hidden="false" customHeight="false" outlineLevel="0" collapsed="false">
      <c r="A708" s="18" t="s">
        <v>3192</v>
      </c>
      <c r="B708" s="18" t="s">
        <v>60</v>
      </c>
      <c r="C708" s="18" t="s">
        <v>61</v>
      </c>
      <c r="D708" s="18" t="s">
        <v>3176</v>
      </c>
      <c r="E708" s="18" t="n">
        <v>1</v>
      </c>
      <c r="F708" s="18" t="s">
        <v>1670</v>
      </c>
      <c r="G708" s="18" t="s">
        <v>116</v>
      </c>
      <c r="H708" s="18" t="s">
        <v>117</v>
      </c>
      <c r="I708" s="18"/>
      <c r="J708" s="18"/>
      <c r="K708" s="18"/>
      <c r="L708" s="18" t="s">
        <v>109</v>
      </c>
      <c r="M708" s="18" t="s">
        <v>109</v>
      </c>
      <c r="N708" s="18"/>
      <c r="O708" s="18"/>
      <c r="P708" s="18" t="s">
        <v>3193</v>
      </c>
      <c r="Q708" s="18" t="s">
        <v>134</v>
      </c>
      <c r="R708" s="18" t="s">
        <v>3171</v>
      </c>
      <c r="S708" s="18" t="s">
        <v>125</v>
      </c>
      <c r="T708" s="18" t="s">
        <v>3172</v>
      </c>
      <c r="U708" s="18"/>
      <c r="V708" s="19" t="s">
        <v>29</v>
      </c>
      <c r="W708" s="19"/>
      <c r="X708" s="19"/>
      <c r="Y708" s="20"/>
      <c r="Z708" s="19"/>
      <c r="AA708" s="18" t="str">
        <f aca="false">IF(OR(V708="Aprobada"),R708,IF(AND(OR(V708="Aprobada con ajuste",V708="Rechazada"),W708&lt;&gt;""),W708,""))</f>
        <v/>
      </c>
    </row>
    <row r="709" customFormat="false" ht="22.35" hidden="false" customHeight="false" outlineLevel="0" collapsed="false">
      <c r="A709" s="18" t="s">
        <v>3194</v>
      </c>
      <c r="B709" s="18" t="s">
        <v>60</v>
      </c>
      <c r="C709" s="18" t="s">
        <v>61</v>
      </c>
      <c r="D709" s="18" t="s">
        <v>3176</v>
      </c>
      <c r="E709" s="18" t="n">
        <v>1</v>
      </c>
      <c r="F709" s="18" t="s">
        <v>2398</v>
      </c>
      <c r="G709" s="18" t="s">
        <v>459</v>
      </c>
      <c r="H709" s="18" t="s">
        <v>117</v>
      </c>
      <c r="I709" s="18"/>
      <c r="J709" s="18"/>
      <c r="K709" s="18"/>
      <c r="L709" s="18" t="s">
        <v>109</v>
      </c>
      <c r="M709" s="18" t="s">
        <v>109</v>
      </c>
      <c r="N709" s="18"/>
      <c r="O709" s="18"/>
      <c r="P709" s="18" t="s">
        <v>3195</v>
      </c>
      <c r="Q709" s="18" t="s">
        <v>110</v>
      </c>
      <c r="R709" s="18" t="s">
        <v>1584</v>
      </c>
      <c r="S709" s="18" t="s">
        <v>112</v>
      </c>
      <c r="T709" s="18" t="s">
        <v>113</v>
      </c>
      <c r="U709" s="18"/>
      <c r="V709" s="19" t="s">
        <v>29</v>
      </c>
      <c r="W709" s="19"/>
      <c r="X709" s="19"/>
      <c r="Y709" s="20"/>
      <c r="Z709" s="19"/>
      <c r="AA709" s="18" t="str">
        <f aca="false">IF(OR(V709="Aprobada"),R709,IF(AND(OR(V709="Aprobada con ajuste",V709="Rechazada"),W709&lt;&gt;""),W709,""))</f>
        <v/>
      </c>
    </row>
    <row r="710" customFormat="false" ht="53.7" hidden="false" customHeight="false" outlineLevel="0" collapsed="false">
      <c r="A710" s="18" t="s">
        <v>3196</v>
      </c>
      <c r="B710" s="18" t="s">
        <v>60</v>
      </c>
      <c r="C710" s="18" t="s">
        <v>61</v>
      </c>
      <c r="D710" s="18" t="s">
        <v>3197</v>
      </c>
      <c r="E710" s="18" t="n">
        <v>0</v>
      </c>
      <c r="F710" s="18" t="s">
        <v>1576</v>
      </c>
      <c r="G710" s="18" t="s">
        <v>394</v>
      </c>
      <c r="H710" s="18" t="s">
        <v>109</v>
      </c>
      <c r="I710" s="18"/>
      <c r="J710" s="18"/>
      <c r="K710" s="18"/>
      <c r="L710" s="18" t="s">
        <v>109</v>
      </c>
      <c r="M710" s="18" t="s">
        <v>109</v>
      </c>
      <c r="N710" s="18"/>
      <c r="O710" s="18"/>
      <c r="P710" s="18" t="s">
        <v>3198</v>
      </c>
      <c r="Q710" s="18" t="s">
        <v>123</v>
      </c>
      <c r="R710" s="18" t="s">
        <v>3199</v>
      </c>
      <c r="S710" s="18" t="s">
        <v>125</v>
      </c>
      <c r="T710" s="18" t="s">
        <v>3200</v>
      </c>
      <c r="U710" s="18"/>
      <c r="V710" s="19" t="s">
        <v>29</v>
      </c>
      <c r="W710" s="19"/>
      <c r="X710" s="19"/>
      <c r="Y710" s="20"/>
      <c r="Z710" s="19"/>
      <c r="AA710" s="18" t="str">
        <f aca="false">IF(OR(V710="Aprobada"),R710,IF(AND(OR(V710="Aprobada con ajuste",V710="Rechazada"),W710&lt;&gt;""),W710,""))</f>
        <v/>
      </c>
    </row>
    <row r="711" customFormat="false" ht="32.8" hidden="false" customHeight="false" outlineLevel="0" collapsed="false">
      <c r="A711" s="18" t="s">
        <v>3201</v>
      </c>
      <c r="B711" s="18" t="s">
        <v>60</v>
      </c>
      <c r="C711" s="18" t="s">
        <v>61</v>
      </c>
      <c r="D711" s="18" t="s">
        <v>3197</v>
      </c>
      <c r="E711" s="18" t="n">
        <v>0</v>
      </c>
      <c r="F711" s="18" t="s">
        <v>3164</v>
      </c>
      <c r="G711" s="18" t="s">
        <v>436</v>
      </c>
      <c r="H711" s="18" t="s">
        <v>117</v>
      </c>
      <c r="I711" s="18"/>
      <c r="J711" s="18"/>
      <c r="K711" s="18"/>
      <c r="L711" s="18" t="s">
        <v>109</v>
      </c>
      <c r="M711" s="18" t="s">
        <v>109</v>
      </c>
      <c r="N711" s="18"/>
      <c r="O711" s="18"/>
      <c r="P711" s="18" t="s">
        <v>3202</v>
      </c>
      <c r="Q711" s="18" t="s">
        <v>134</v>
      </c>
      <c r="R711" s="18" t="s">
        <v>3203</v>
      </c>
      <c r="S711" s="18" t="s">
        <v>112</v>
      </c>
      <c r="T711" s="18" t="s">
        <v>3204</v>
      </c>
      <c r="U711" s="18" t="s">
        <v>3205</v>
      </c>
      <c r="V711" s="19" t="s">
        <v>29</v>
      </c>
      <c r="W711" s="19"/>
      <c r="X711" s="19"/>
      <c r="Y711" s="20"/>
      <c r="Z711" s="19"/>
      <c r="AA711" s="18" t="str">
        <f aca="false">IF(OR(V711="Aprobada"),R711,IF(AND(OR(V711="Aprobada con ajuste",V711="Rechazada"),W711&lt;&gt;""),W711,""))</f>
        <v/>
      </c>
    </row>
    <row r="712" customFormat="false" ht="105.95" hidden="false" customHeight="false" outlineLevel="0" collapsed="false">
      <c r="A712" s="18" t="s">
        <v>3206</v>
      </c>
      <c r="B712" s="18" t="s">
        <v>60</v>
      </c>
      <c r="C712" s="18" t="s">
        <v>61</v>
      </c>
      <c r="D712" s="18" t="s">
        <v>3197</v>
      </c>
      <c r="E712" s="18" t="n">
        <v>0</v>
      </c>
      <c r="F712" s="18" t="s">
        <v>1670</v>
      </c>
      <c r="G712" s="18" t="s">
        <v>116</v>
      </c>
      <c r="H712" s="18" t="s">
        <v>117</v>
      </c>
      <c r="I712" s="18"/>
      <c r="J712" s="18"/>
      <c r="K712" s="18"/>
      <c r="L712" s="18" t="s">
        <v>109</v>
      </c>
      <c r="M712" s="18" t="s">
        <v>109</v>
      </c>
      <c r="N712" s="18"/>
      <c r="O712" s="18"/>
      <c r="P712" s="18" t="s">
        <v>3207</v>
      </c>
      <c r="Q712" s="18" t="s">
        <v>134</v>
      </c>
      <c r="R712" s="18" t="s">
        <v>3208</v>
      </c>
      <c r="S712" s="18" t="s">
        <v>125</v>
      </c>
      <c r="T712" s="18" t="s">
        <v>3209</v>
      </c>
      <c r="U712" s="18"/>
      <c r="V712" s="19" t="s">
        <v>29</v>
      </c>
      <c r="W712" s="19"/>
      <c r="X712" s="19"/>
      <c r="Y712" s="20"/>
      <c r="Z712" s="19"/>
      <c r="AA712" s="18" t="str">
        <f aca="false">IF(OR(V712="Aprobada"),R712,IF(AND(OR(V712="Aprobada con ajuste",V712="Rechazada"),W712&lt;&gt;""),W712,""))</f>
        <v/>
      </c>
    </row>
    <row r="713" customFormat="false" ht="22.35" hidden="false" customHeight="false" outlineLevel="0" collapsed="false">
      <c r="A713" s="18" t="s">
        <v>3210</v>
      </c>
      <c r="B713" s="18" t="s">
        <v>60</v>
      </c>
      <c r="C713" s="18" t="s">
        <v>61</v>
      </c>
      <c r="D713" s="18" t="s">
        <v>3197</v>
      </c>
      <c r="E713" s="18" t="n">
        <v>0</v>
      </c>
      <c r="F713" s="18" t="s">
        <v>1582</v>
      </c>
      <c r="G713" s="18" t="s">
        <v>459</v>
      </c>
      <c r="H713" s="18" t="s">
        <v>117</v>
      </c>
      <c r="I713" s="18"/>
      <c r="J713" s="18"/>
      <c r="K713" s="18"/>
      <c r="L713" s="18" t="s">
        <v>109</v>
      </c>
      <c r="M713" s="18" t="s">
        <v>109</v>
      </c>
      <c r="N713" s="18"/>
      <c r="O713" s="18"/>
      <c r="P713" s="18" t="s">
        <v>3211</v>
      </c>
      <c r="Q713" s="18" t="s">
        <v>110</v>
      </c>
      <c r="R713" s="18" t="s">
        <v>1584</v>
      </c>
      <c r="S713" s="18" t="s">
        <v>112</v>
      </c>
      <c r="T713" s="18" t="s">
        <v>113</v>
      </c>
      <c r="U713" s="18"/>
      <c r="V713" s="19" t="s">
        <v>29</v>
      </c>
      <c r="W713" s="19"/>
      <c r="X713" s="19"/>
      <c r="Y713" s="20"/>
      <c r="Z713" s="19"/>
      <c r="AA713" s="18" t="str">
        <f aca="false">IF(OR(V713="Aprobada"),R713,IF(AND(OR(V713="Aprobada con ajuste",V713="Rechazada"),W713&lt;&gt;""),W713,""))</f>
        <v/>
      </c>
    </row>
    <row r="714" customFormat="false" ht="22.35" hidden="false" customHeight="false" outlineLevel="0" collapsed="false">
      <c r="A714" s="18" t="s">
        <v>3212</v>
      </c>
      <c r="B714" s="18" t="s">
        <v>60</v>
      </c>
      <c r="C714" s="18" t="s">
        <v>61</v>
      </c>
      <c r="D714" s="18" t="s">
        <v>3213</v>
      </c>
      <c r="E714" s="18" t="n">
        <v>3</v>
      </c>
      <c r="F714" s="18" t="s">
        <v>1344</v>
      </c>
      <c r="G714" s="18" t="s">
        <v>394</v>
      </c>
      <c r="H714" s="18" t="s">
        <v>117</v>
      </c>
      <c r="I714" s="18" t="s">
        <v>140</v>
      </c>
      <c r="J714" s="18"/>
      <c r="K714" s="18"/>
      <c r="L714" s="18" t="s">
        <v>109</v>
      </c>
      <c r="M714" s="18" t="s">
        <v>109</v>
      </c>
      <c r="N714" s="18"/>
      <c r="O714" s="18" t="s">
        <v>3214</v>
      </c>
      <c r="P714" s="18" t="s">
        <v>3215</v>
      </c>
      <c r="Q714" s="18" t="s">
        <v>110</v>
      </c>
      <c r="R714" s="18" t="s">
        <v>3216</v>
      </c>
      <c r="S714" s="18" t="s">
        <v>112</v>
      </c>
      <c r="T714" s="18" t="s">
        <v>113</v>
      </c>
      <c r="U714" s="18"/>
      <c r="V714" s="19" t="s">
        <v>29</v>
      </c>
      <c r="W714" s="19"/>
      <c r="X714" s="19"/>
      <c r="Y714" s="20"/>
      <c r="Z714" s="19"/>
      <c r="AA714" s="18" t="str">
        <f aca="false">IF(OR(V714="Aprobada"),R714,IF(AND(OR(V714="Aprobada con ajuste",V714="Rechazada"),W714&lt;&gt;""),W714,""))</f>
        <v/>
      </c>
    </row>
    <row r="715" customFormat="false" ht="53.7" hidden="false" customHeight="false" outlineLevel="0" collapsed="false">
      <c r="A715" s="18" t="s">
        <v>3217</v>
      </c>
      <c r="B715" s="18" t="s">
        <v>60</v>
      </c>
      <c r="C715" s="18" t="s">
        <v>61</v>
      </c>
      <c r="D715" s="18" t="s">
        <v>3213</v>
      </c>
      <c r="E715" s="18" t="n">
        <v>3</v>
      </c>
      <c r="F715" s="18" t="s">
        <v>3164</v>
      </c>
      <c r="G715" s="18" t="s">
        <v>167</v>
      </c>
      <c r="H715" s="18" t="s">
        <v>117</v>
      </c>
      <c r="I715" s="18"/>
      <c r="J715" s="18"/>
      <c r="K715" s="18"/>
      <c r="L715" s="18" t="s">
        <v>109</v>
      </c>
      <c r="M715" s="18" t="s">
        <v>109</v>
      </c>
      <c r="N715" s="18"/>
      <c r="O715" s="18"/>
      <c r="P715" s="18" t="s">
        <v>3218</v>
      </c>
      <c r="Q715" s="18" t="s">
        <v>123</v>
      </c>
      <c r="R715" s="18" t="s">
        <v>3219</v>
      </c>
      <c r="S715" s="18" t="s">
        <v>112</v>
      </c>
      <c r="T715" s="18" t="s">
        <v>3220</v>
      </c>
      <c r="U715" s="18" t="s">
        <v>3221</v>
      </c>
      <c r="V715" s="19" t="s">
        <v>29</v>
      </c>
      <c r="W715" s="19"/>
      <c r="X715" s="19"/>
      <c r="Y715" s="20"/>
      <c r="Z715" s="19"/>
      <c r="AA715" s="18" t="str">
        <f aca="false">IF(OR(V715="Aprobada"),R715,IF(AND(OR(V715="Aprobada con ajuste",V715="Rechazada"),W715&lt;&gt;""),W715,""))</f>
        <v/>
      </c>
    </row>
    <row r="716" customFormat="false" ht="105.95" hidden="false" customHeight="false" outlineLevel="0" collapsed="false">
      <c r="A716" s="18" t="s">
        <v>3222</v>
      </c>
      <c r="B716" s="18" t="s">
        <v>60</v>
      </c>
      <c r="C716" s="18" t="s">
        <v>61</v>
      </c>
      <c r="D716" s="18" t="s">
        <v>3213</v>
      </c>
      <c r="E716" s="18" t="n">
        <v>3</v>
      </c>
      <c r="F716" s="18" t="s">
        <v>1670</v>
      </c>
      <c r="G716" s="18" t="s">
        <v>116</v>
      </c>
      <c r="H716" s="18" t="s">
        <v>117</v>
      </c>
      <c r="I716" s="18"/>
      <c r="J716" s="18"/>
      <c r="K716" s="18"/>
      <c r="L716" s="18" t="s">
        <v>109</v>
      </c>
      <c r="M716" s="18" t="s">
        <v>109</v>
      </c>
      <c r="N716" s="18"/>
      <c r="O716" s="18"/>
      <c r="P716" s="18" t="s">
        <v>3223</v>
      </c>
      <c r="Q716" s="18" t="s">
        <v>123</v>
      </c>
      <c r="R716" s="18" t="s">
        <v>3224</v>
      </c>
      <c r="S716" s="18" t="s">
        <v>125</v>
      </c>
      <c r="T716" s="18" t="s">
        <v>3225</v>
      </c>
      <c r="U716" s="18"/>
      <c r="V716" s="19" t="s">
        <v>29</v>
      </c>
      <c r="W716" s="19"/>
      <c r="X716" s="19"/>
      <c r="Y716" s="20"/>
      <c r="Z716" s="19"/>
      <c r="AA716" s="18" t="str">
        <f aca="false">IF(OR(V716="Aprobada"),R716,IF(AND(OR(V716="Aprobada con ajuste",V716="Rechazada"),W716&lt;&gt;""),W716,""))</f>
        <v/>
      </c>
    </row>
    <row r="717" customFormat="false" ht="116.4" hidden="false" customHeight="false" outlineLevel="0" collapsed="false">
      <c r="A717" s="18" t="s">
        <v>3226</v>
      </c>
      <c r="B717" s="18" t="s">
        <v>60</v>
      </c>
      <c r="C717" s="18" t="s">
        <v>61</v>
      </c>
      <c r="D717" s="18" t="s">
        <v>3213</v>
      </c>
      <c r="E717" s="18" t="n">
        <v>3</v>
      </c>
      <c r="F717" s="18" t="s">
        <v>2535</v>
      </c>
      <c r="G717" s="18" t="s">
        <v>249</v>
      </c>
      <c r="H717" s="18" t="s">
        <v>109</v>
      </c>
      <c r="I717" s="18"/>
      <c r="J717" s="18"/>
      <c r="K717" s="18"/>
      <c r="L717" s="18" t="s">
        <v>109</v>
      </c>
      <c r="M717" s="18" t="s">
        <v>109</v>
      </c>
      <c r="N717" s="18"/>
      <c r="O717" s="18"/>
      <c r="P717" s="18" t="s">
        <v>3227</v>
      </c>
      <c r="Q717" s="18" t="s">
        <v>123</v>
      </c>
      <c r="R717" s="18" t="s">
        <v>3228</v>
      </c>
      <c r="S717" s="18" t="s">
        <v>125</v>
      </c>
      <c r="T717" s="18" t="s">
        <v>3229</v>
      </c>
      <c r="U717" s="18"/>
      <c r="V717" s="19" t="s">
        <v>29</v>
      </c>
      <c r="W717" s="19"/>
      <c r="X717" s="19"/>
      <c r="Y717" s="20"/>
      <c r="Z717" s="19"/>
      <c r="AA717" s="18" t="str">
        <f aca="false">IF(OR(V717="Aprobada"),R717,IF(AND(OR(V717="Aprobada con ajuste",V717="Rechazada"),W717&lt;&gt;""),W717,""))</f>
        <v/>
      </c>
    </row>
    <row r="718" customFormat="false" ht="22.35" hidden="false" customHeight="false" outlineLevel="0" collapsed="false">
      <c r="A718" s="18" t="s">
        <v>3230</v>
      </c>
      <c r="B718" s="18" t="s">
        <v>60</v>
      </c>
      <c r="C718" s="18" t="s">
        <v>61</v>
      </c>
      <c r="D718" s="18" t="s">
        <v>3213</v>
      </c>
      <c r="E718" s="18" t="n">
        <v>3</v>
      </c>
      <c r="F718" s="18" t="s">
        <v>2398</v>
      </c>
      <c r="G718" s="18" t="s">
        <v>265</v>
      </c>
      <c r="H718" s="18" t="s">
        <v>117</v>
      </c>
      <c r="I718" s="18"/>
      <c r="J718" s="18"/>
      <c r="K718" s="18"/>
      <c r="L718" s="18" t="s">
        <v>109</v>
      </c>
      <c r="M718" s="18" t="s">
        <v>109</v>
      </c>
      <c r="N718" s="18"/>
      <c r="O718" s="18"/>
      <c r="P718" s="18" t="s">
        <v>3231</v>
      </c>
      <c r="Q718" s="18" t="s">
        <v>110</v>
      </c>
      <c r="R718" s="18" t="s">
        <v>1584</v>
      </c>
      <c r="S718" s="18" t="s">
        <v>112</v>
      </c>
      <c r="T718" s="18" t="s">
        <v>113</v>
      </c>
      <c r="U718" s="18"/>
      <c r="V718" s="19" t="s">
        <v>29</v>
      </c>
      <c r="W718" s="19"/>
      <c r="X718" s="19"/>
      <c r="Y718" s="20"/>
      <c r="Z718" s="19"/>
      <c r="AA718" s="18" t="str">
        <f aca="false">IF(OR(V718="Aprobada"),R718,IF(AND(OR(V718="Aprobada con ajuste",V718="Rechazada"),W718&lt;&gt;""),W718,""))</f>
        <v/>
      </c>
    </row>
    <row r="719" customFormat="false" ht="74.6" hidden="false" customHeight="false" outlineLevel="0" collapsed="false">
      <c r="A719" s="18" t="s">
        <v>3232</v>
      </c>
      <c r="B719" s="18" t="s">
        <v>60</v>
      </c>
      <c r="C719" s="18" t="s">
        <v>61</v>
      </c>
      <c r="D719" s="18" t="s">
        <v>3213</v>
      </c>
      <c r="E719" s="18" t="n">
        <v>3</v>
      </c>
      <c r="F719" s="18" t="s">
        <v>1592</v>
      </c>
      <c r="G719" s="18" t="s">
        <v>184</v>
      </c>
      <c r="H719" s="18" t="s">
        <v>117</v>
      </c>
      <c r="I719" s="18" t="s">
        <v>140</v>
      </c>
      <c r="J719" s="18"/>
      <c r="K719" s="18"/>
      <c r="L719" s="18" t="s">
        <v>109</v>
      </c>
      <c r="M719" s="18" t="s">
        <v>109</v>
      </c>
      <c r="N719" s="18"/>
      <c r="O719" s="18"/>
      <c r="P719" s="18" t="s">
        <v>3233</v>
      </c>
      <c r="Q719" s="18" t="s">
        <v>123</v>
      </c>
      <c r="R719" s="18" t="s">
        <v>3234</v>
      </c>
      <c r="S719" s="18" t="s">
        <v>125</v>
      </c>
      <c r="T719" s="18" t="s">
        <v>3235</v>
      </c>
      <c r="U719" s="18"/>
      <c r="V719" s="19" t="s">
        <v>29</v>
      </c>
      <c r="W719" s="19"/>
      <c r="X719" s="19"/>
      <c r="Y719" s="20"/>
      <c r="Z719" s="19"/>
      <c r="AA719" s="18" t="str">
        <f aca="false">IF(OR(V719="Aprobada"),R719,IF(AND(OR(V719="Aprobada con ajuste",V719="Rechazada"),W719&lt;&gt;""),W719,""))</f>
        <v/>
      </c>
    </row>
    <row r="720" customFormat="false" ht="22.35" hidden="false" customHeight="false" outlineLevel="0" collapsed="false">
      <c r="A720" s="18" t="s">
        <v>3236</v>
      </c>
      <c r="B720" s="18" t="s">
        <v>60</v>
      </c>
      <c r="C720" s="18" t="s">
        <v>61</v>
      </c>
      <c r="D720" s="18" t="s">
        <v>3213</v>
      </c>
      <c r="E720" s="18" t="n">
        <v>3</v>
      </c>
      <c r="F720" s="18" t="s">
        <v>1595</v>
      </c>
      <c r="G720" s="18" t="s">
        <v>265</v>
      </c>
      <c r="H720" s="18" t="s">
        <v>117</v>
      </c>
      <c r="I720" s="18"/>
      <c r="J720" s="18"/>
      <c r="K720" s="18"/>
      <c r="L720" s="18" t="s">
        <v>109</v>
      </c>
      <c r="M720" s="18" t="s">
        <v>109</v>
      </c>
      <c r="N720" s="18"/>
      <c r="O720" s="18"/>
      <c r="P720" s="18" t="s">
        <v>3237</v>
      </c>
      <c r="Q720" s="18" t="s">
        <v>110</v>
      </c>
      <c r="R720" s="18" t="s">
        <v>1443</v>
      </c>
      <c r="S720" s="18" t="s">
        <v>112</v>
      </c>
      <c r="T720" s="18" t="s">
        <v>113</v>
      </c>
      <c r="U720" s="18"/>
      <c r="V720" s="19" t="s">
        <v>29</v>
      </c>
      <c r="W720" s="19"/>
      <c r="X720" s="19"/>
      <c r="Y720" s="20"/>
      <c r="Z720" s="19"/>
      <c r="AA720" s="18" t="str">
        <f aca="false">IF(OR(V720="Aprobada"),R720,IF(AND(OR(V720="Aprobada con ajuste",V720="Rechazada"),W720&lt;&gt;""),W720,""))</f>
        <v/>
      </c>
    </row>
    <row r="721" customFormat="false" ht="22.35" hidden="false" customHeight="false" outlineLevel="0" collapsed="false">
      <c r="A721" s="18" t="s">
        <v>3238</v>
      </c>
      <c r="B721" s="18" t="s">
        <v>60</v>
      </c>
      <c r="C721" s="18" t="s">
        <v>61</v>
      </c>
      <c r="D721" s="18" t="s">
        <v>3213</v>
      </c>
      <c r="E721" s="18" t="n">
        <v>3</v>
      </c>
      <c r="F721" s="18" t="s">
        <v>1445</v>
      </c>
      <c r="G721" s="18" t="s">
        <v>116</v>
      </c>
      <c r="H721" s="18" t="s">
        <v>117</v>
      </c>
      <c r="I721" s="18" t="s">
        <v>140</v>
      </c>
      <c r="J721" s="18"/>
      <c r="K721" s="18"/>
      <c r="L721" s="18" t="s">
        <v>109</v>
      </c>
      <c r="M721" s="18" t="s">
        <v>109</v>
      </c>
      <c r="N721" s="18"/>
      <c r="O721" s="18"/>
      <c r="P721" s="18" t="s">
        <v>3239</v>
      </c>
      <c r="Q721" s="18" t="s">
        <v>110</v>
      </c>
      <c r="R721" s="18" t="s">
        <v>1447</v>
      </c>
      <c r="S721" s="18" t="s">
        <v>112</v>
      </c>
      <c r="T721" s="18" t="s">
        <v>113</v>
      </c>
      <c r="U721" s="18"/>
      <c r="V721" s="19" t="s">
        <v>29</v>
      </c>
      <c r="W721" s="19"/>
      <c r="X721" s="19"/>
      <c r="Y721" s="20"/>
      <c r="Z721" s="19"/>
      <c r="AA721" s="18" t="str">
        <f aca="false">IF(OR(V721="Aprobada"),R721,IF(AND(OR(V721="Aprobada con ajuste",V721="Rechazada"),W721&lt;&gt;""),W721,""))</f>
        <v/>
      </c>
    </row>
    <row r="722" customFormat="false" ht="95.5" hidden="false" customHeight="false" outlineLevel="0" collapsed="false">
      <c r="A722" s="18" t="s">
        <v>3240</v>
      </c>
      <c r="B722" s="18" t="s">
        <v>60</v>
      </c>
      <c r="C722" s="18" t="s">
        <v>61</v>
      </c>
      <c r="D722" s="18" t="s">
        <v>3241</v>
      </c>
      <c r="E722" s="18" t="n">
        <v>3</v>
      </c>
      <c r="F722" s="18" t="s">
        <v>2445</v>
      </c>
      <c r="G722" s="18" t="s">
        <v>139</v>
      </c>
      <c r="H722" s="18" t="s">
        <v>117</v>
      </c>
      <c r="I722" s="18"/>
      <c r="J722" s="18"/>
      <c r="K722" s="18"/>
      <c r="L722" s="18" t="s">
        <v>109</v>
      </c>
      <c r="M722" s="18" t="s">
        <v>109</v>
      </c>
      <c r="N722" s="18"/>
      <c r="O722" s="18"/>
      <c r="P722" s="18" t="s">
        <v>3242</v>
      </c>
      <c r="Q722" s="18" t="s">
        <v>123</v>
      </c>
      <c r="R722" s="18" t="s">
        <v>3243</v>
      </c>
      <c r="S722" s="18" t="s">
        <v>125</v>
      </c>
      <c r="T722" s="18" t="s">
        <v>3244</v>
      </c>
      <c r="U722" s="18"/>
      <c r="V722" s="19" t="s">
        <v>29</v>
      </c>
      <c r="W722" s="19"/>
      <c r="X722" s="19"/>
      <c r="Y722" s="20"/>
      <c r="Z722" s="19"/>
      <c r="AA722" s="18" t="str">
        <f aca="false">IF(OR(V722="Aprobada"),R722,IF(AND(OR(V722="Aprobada con ajuste",V722="Rechazada"),W722&lt;&gt;""),W722,""))</f>
        <v/>
      </c>
    </row>
    <row r="723" customFormat="false" ht="22.35" hidden="false" customHeight="false" outlineLevel="0" collapsed="false">
      <c r="A723" s="18" t="s">
        <v>3245</v>
      </c>
      <c r="B723" s="18" t="s">
        <v>60</v>
      </c>
      <c r="C723" s="18" t="s">
        <v>61</v>
      </c>
      <c r="D723" s="18" t="s">
        <v>3241</v>
      </c>
      <c r="E723" s="18" t="n">
        <v>3</v>
      </c>
      <c r="F723" s="18" t="s">
        <v>107</v>
      </c>
      <c r="G723" s="18" t="s">
        <v>151</v>
      </c>
      <c r="H723" s="18" t="s">
        <v>109</v>
      </c>
      <c r="I723" s="18" t="s">
        <v>140</v>
      </c>
      <c r="J723" s="18" t="s">
        <v>3246</v>
      </c>
      <c r="K723" s="18"/>
      <c r="L723" s="18" t="s">
        <v>117</v>
      </c>
      <c r="M723" s="18" t="s">
        <v>109</v>
      </c>
      <c r="N723" s="18"/>
      <c r="O723" s="18"/>
      <c r="P723" s="18" t="s">
        <v>3247</v>
      </c>
      <c r="Q723" s="18" t="s">
        <v>110</v>
      </c>
      <c r="R723" s="18" t="s">
        <v>3248</v>
      </c>
      <c r="S723" s="18" t="s">
        <v>112</v>
      </c>
      <c r="T723" s="18" t="s">
        <v>113</v>
      </c>
      <c r="U723" s="18"/>
      <c r="V723" s="19" t="s">
        <v>29</v>
      </c>
      <c r="W723" s="19"/>
      <c r="X723" s="19"/>
      <c r="Y723" s="20"/>
      <c r="Z723" s="19"/>
      <c r="AA723" s="18" t="str">
        <f aca="false">IF(OR(V723="Aprobada"),R723,IF(AND(OR(V723="Aprobada con ajuste",V723="Rechazada"),W723&lt;&gt;""),W723,""))</f>
        <v/>
      </c>
    </row>
    <row r="724" customFormat="false" ht="22.35" hidden="false" customHeight="false" outlineLevel="0" collapsed="false">
      <c r="A724" s="18" t="s">
        <v>3249</v>
      </c>
      <c r="B724" s="18" t="s">
        <v>60</v>
      </c>
      <c r="C724" s="18" t="s">
        <v>61</v>
      </c>
      <c r="D724" s="18" t="s">
        <v>3241</v>
      </c>
      <c r="E724" s="18" t="n">
        <v>3</v>
      </c>
      <c r="F724" s="18" t="s">
        <v>3250</v>
      </c>
      <c r="G724" s="18" t="s">
        <v>184</v>
      </c>
      <c r="H724" s="18" t="s">
        <v>117</v>
      </c>
      <c r="I724" s="18" t="s">
        <v>140</v>
      </c>
      <c r="J724" s="18"/>
      <c r="K724" s="18"/>
      <c r="L724" s="18" t="s">
        <v>109</v>
      </c>
      <c r="M724" s="18" t="s">
        <v>109</v>
      </c>
      <c r="N724" s="18"/>
      <c r="O724" s="18"/>
      <c r="P724" s="18" t="s">
        <v>3251</v>
      </c>
      <c r="Q724" s="18" t="s">
        <v>123</v>
      </c>
      <c r="R724" s="18" t="s">
        <v>3252</v>
      </c>
      <c r="S724" s="18" t="s">
        <v>125</v>
      </c>
      <c r="T724" s="18" t="s">
        <v>3253</v>
      </c>
      <c r="U724" s="18"/>
      <c r="V724" s="19" t="s">
        <v>29</v>
      </c>
      <c r="W724" s="19"/>
      <c r="X724" s="19"/>
      <c r="Y724" s="20"/>
      <c r="Z724" s="19"/>
      <c r="AA724" s="18" t="str">
        <f aca="false">IF(OR(V724="Aprobada"),R724,IF(AND(OR(V724="Aprobada con ajuste",V724="Rechazada"),W724&lt;&gt;""),W724,""))</f>
        <v/>
      </c>
    </row>
    <row r="725" customFormat="false" ht="22.35" hidden="false" customHeight="false" outlineLevel="0" collapsed="false">
      <c r="A725" s="18" t="s">
        <v>3254</v>
      </c>
      <c r="B725" s="18" t="s">
        <v>60</v>
      </c>
      <c r="C725" s="18" t="s">
        <v>61</v>
      </c>
      <c r="D725" s="18" t="s">
        <v>3241</v>
      </c>
      <c r="E725" s="18" t="n">
        <v>3</v>
      </c>
      <c r="F725" s="18" t="s">
        <v>532</v>
      </c>
      <c r="G725" s="18" t="s">
        <v>459</v>
      </c>
      <c r="H725" s="18" t="s">
        <v>117</v>
      </c>
      <c r="I725" s="18"/>
      <c r="J725" s="18"/>
      <c r="K725" s="18"/>
      <c r="L725" s="18" t="s">
        <v>109</v>
      </c>
      <c r="M725" s="18" t="s">
        <v>109</v>
      </c>
      <c r="N725" s="18"/>
      <c r="O725" s="18"/>
      <c r="P725" s="18" t="s">
        <v>3255</v>
      </c>
      <c r="Q725" s="18" t="s">
        <v>110</v>
      </c>
      <c r="R725" s="18" t="s">
        <v>533</v>
      </c>
      <c r="S725" s="18" t="s">
        <v>112</v>
      </c>
      <c r="T725" s="18" t="s">
        <v>113</v>
      </c>
      <c r="U725" s="18"/>
      <c r="V725" s="19" t="s">
        <v>29</v>
      </c>
      <c r="W725" s="19"/>
      <c r="X725" s="19"/>
      <c r="Y725" s="20"/>
      <c r="Z725" s="19"/>
      <c r="AA725" s="18" t="str">
        <f aca="false">IF(OR(V725="Aprobada"),R725,IF(AND(OR(V725="Aprobada con ajuste",V725="Rechazada"),W725&lt;&gt;""),W725,""))</f>
        <v/>
      </c>
    </row>
    <row r="726" customFormat="false" ht="64.15" hidden="false" customHeight="false" outlineLevel="0" collapsed="false">
      <c r="A726" s="18" t="s">
        <v>3256</v>
      </c>
      <c r="B726" s="18" t="s">
        <v>60</v>
      </c>
      <c r="C726" s="18" t="s">
        <v>61</v>
      </c>
      <c r="D726" s="18" t="s">
        <v>3257</v>
      </c>
      <c r="E726" s="18" t="n">
        <v>2</v>
      </c>
      <c r="F726" s="18" t="s">
        <v>1493</v>
      </c>
      <c r="G726" s="18" t="s">
        <v>116</v>
      </c>
      <c r="H726" s="18" t="s">
        <v>109</v>
      </c>
      <c r="I726" s="18"/>
      <c r="J726" s="18"/>
      <c r="K726" s="18"/>
      <c r="L726" s="18" t="s">
        <v>109</v>
      </c>
      <c r="M726" s="18" t="s">
        <v>109</v>
      </c>
      <c r="N726" s="18"/>
      <c r="O726" s="18"/>
      <c r="P726" s="18" t="s">
        <v>3258</v>
      </c>
      <c r="Q726" s="18" t="s">
        <v>134</v>
      </c>
      <c r="R726" s="18" t="s">
        <v>3259</v>
      </c>
      <c r="S726" s="18" t="s">
        <v>125</v>
      </c>
      <c r="T726" s="18" t="s">
        <v>2757</v>
      </c>
      <c r="U726" s="18"/>
      <c r="V726" s="19" t="s">
        <v>29</v>
      </c>
      <c r="W726" s="19"/>
      <c r="X726" s="19"/>
      <c r="Y726" s="20"/>
      <c r="Z726" s="19"/>
      <c r="AA726" s="18" t="str">
        <f aca="false">IF(OR(V726="Aprobada"),R726,IF(AND(OR(V726="Aprobada con ajuste",V726="Rechazada"),W726&lt;&gt;""),W726,""))</f>
        <v/>
      </c>
    </row>
    <row r="727" customFormat="false" ht="32.8" hidden="false" customHeight="false" outlineLevel="0" collapsed="false">
      <c r="A727" s="18" t="s">
        <v>3260</v>
      </c>
      <c r="B727" s="18" t="s">
        <v>60</v>
      </c>
      <c r="C727" s="18" t="s">
        <v>61</v>
      </c>
      <c r="D727" s="18" t="s">
        <v>3257</v>
      </c>
      <c r="E727" s="18" t="n">
        <v>2</v>
      </c>
      <c r="F727" s="18" t="s">
        <v>3099</v>
      </c>
      <c r="G727" s="18" t="s">
        <v>212</v>
      </c>
      <c r="H727" s="18" t="s">
        <v>109</v>
      </c>
      <c r="I727" s="18"/>
      <c r="J727" s="18"/>
      <c r="K727" s="18"/>
      <c r="L727" s="18" t="s">
        <v>109</v>
      </c>
      <c r="M727" s="18" t="s">
        <v>109</v>
      </c>
      <c r="N727" s="18"/>
      <c r="O727" s="18"/>
      <c r="P727" s="18" t="s">
        <v>3261</v>
      </c>
      <c r="Q727" s="18" t="s">
        <v>123</v>
      </c>
      <c r="R727" s="18" t="s">
        <v>3262</v>
      </c>
      <c r="S727" s="18" t="s">
        <v>112</v>
      </c>
      <c r="T727" s="18" t="s">
        <v>3263</v>
      </c>
      <c r="U727" s="18" t="s">
        <v>3264</v>
      </c>
      <c r="V727" s="19" t="s">
        <v>29</v>
      </c>
      <c r="W727" s="19"/>
      <c r="X727" s="19"/>
      <c r="Y727" s="20"/>
      <c r="Z727" s="19"/>
      <c r="AA727" s="18" t="str">
        <f aca="false">IF(OR(V727="Aprobada"),R727,IF(AND(OR(V727="Aprobada con ajuste",V727="Rechazada"),W727&lt;&gt;""),W727,""))</f>
        <v/>
      </c>
    </row>
    <row r="728" customFormat="false" ht="22.35" hidden="false" customHeight="false" outlineLevel="0" collapsed="false">
      <c r="A728" s="18" t="s">
        <v>3265</v>
      </c>
      <c r="B728" s="18" t="s">
        <v>60</v>
      </c>
      <c r="C728" s="18" t="s">
        <v>61</v>
      </c>
      <c r="D728" s="18" t="s">
        <v>3257</v>
      </c>
      <c r="E728" s="18" t="n">
        <v>2</v>
      </c>
      <c r="F728" s="18" t="s">
        <v>107</v>
      </c>
      <c r="G728" s="18" t="s">
        <v>151</v>
      </c>
      <c r="H728" s="18" t="s">
        <v>109</v>
      </c>
      <c r="I728" s="18" t="s">
        <v>140</v>
      </c>
      <c r="J728" s="18" t="s">
        <v>1429</v>
      </c>
      <c r="K728" s="18"/>
      <c r="L728" s="18" t="s">
        <v>117</v>
      </c>
      <c r="M728" s="18" t="s">
        <v>109</v>
      </c>
      <c r="N728" s="18"/>
      <c r="O728" s="18"/>
      <c r="P728" s="18" t="s">
        <v>3266</v>
      </c>
      <c r="Q728" s="18" t="s">
        <v>110</v>
      </c>
      <c r="R728" s="18" t="s">
        <v>3267</v>
      </c>
      <c r="S728" s="18" t="s">
        <v>112</v>
      </c>
      <c r="T728" s="18" t="s">
        <v>113</v>
      </c>
      <c r="U728" s="18"/>
      <c r="V728" s="19" t="s">
        <v>29</v>
      </c>
      <c r="W728" s="19"/>
      <c r="X728" s="19"/>
      <c r="Y728" s="20"/>
      <c r="Z728" s="19"/>
      <c r="AA728" s="18" t="str">
        <f aca="false">IF(OR(V728="Aprobada"),R728,IF(AND(OR(V728="Aprobada con ajuste",V728="Rechazada"),W728&lt;&gt;""),W728,""))</f>
        <v/>
      </c>
    </row>
    <row r="729" customFormat="false" ht="22.35" hidden="false" customHeight="false" outlineLevel="0" collapsed="false">
      <c r="A729" s="18" t="s">
        <v>3268</v>
      </c>
      <c r="B729" s="18" t="s">
        <v>60</v>
      </c>
      <c r="C729" s="18" t="s">
        <v>61</v>
      </c>
      <c r="D729" s="18" t="s">
        <v>3257</v>
      </c>
      <c r="E729" s="18" t="n">
        <v>2</v>
      </c>
      <c r="F729" s="18" t="s">
        <v>1379</v>
      </c>
      <c r="G729" s="18" t="s">
        <v>459</v>
      </c>
      <c r="H729" s="18" t="s">
        <v>117</v>
      </c>
      <c r="I729" s="18"/>
      <c r="J729" s="18"/>
      <c r="K729" s="18"/>
      <c r="L729" s="18" t="s">
        <v>109</v>
      </c>
      <c r="M729" s="18" t="s">
        <v>109</v>
      </c>
      <c r="N729" s="18"/>
      <c r="O729" s="18"/>
      <c r="P729" s="18" t="s">
        <v>3269</v>
      </c>
      <c r="Q729" s="18" t="s">
        <v>110</v>
      </c>
      <c r="R729" s="18" t="s">
        <v>1381</v>
      </c>
      <c r="S729" s="18" t="s">
        <v>112</v>
      </c>
      <c r="T729" s="18" t="s">
        <v>113</v>
      </c>
      <c r="U729" s="18"/>
      <c r="V729" s="19" t="s">
        <v>29</v>
      </c>
      <c r="W729" s="19"/>
      <c r="X729" s="19"/>
      <c r="Y729" s="20"/>
      <c r="Z729" s="19"/>
      <c r="AA729" s="18" t="str">
        <f aca="false">IF(OR(V729="Aprobada"),R729,IF(AND(OR(V729="Aprobada con ajuste",V729="Rechazada"),W729&lt;&gt;""),W729,""))</f>
        <v/>
      </c>
    </row>
    <row r="730" customFormat="false" ht="22.35" hidden="false" customHeight="false" outlineLevel="0" collapsed="false">
      <c r="A730" s="18" t="s">
        <v>3270</v>
      </c>
      <c r="B730" s="18" t="s">
        <v>60</v>
      </c>
      <c r="C730" s="18" t="s">
        <v>61</v>
      </c>
      <c r="D730" s="18" t="s">
        <v>3257</v>
      </c>
      <c r="E730" s="18" t="n">
        <v>2</v>
      </c>
      <c r="F730" s="18" t="s">
        <v>3271</v>
      </c>
      <c r="G730" s="18" t="s">
        <v>184</v>
      </c>
      <c r="H730" s="18" t="s">
        <v>109</v>
      </c>
      <c r="I730" s="18"/>
      <c r="J730" s="18"/>
      <c r="K730" s="18"/>
      <c r="L730" s="18" t="s">
        <v>109</v>
      </c>
      <c r="M730" s="18" t="s">
        <v>109</v>
      </c>
      <c r="N730" s="18"/>
      <c r="O730" s="18"/>
      <c r="P730" s="18" t="s">
        <v>3272</v>
      </c>
      <c r="Q730" s="18" t="s">
        <v>110</v>
      </c>
      <c r="R730" s="18" t="s">
        <v>185</v>
      </c>
      <c r="S730" s="18" t="s">
        <v>112</v>
      </c>
      <c r="T730" s="18" t="s">
        <v>113</v>
      </c>
      <c r="U730" s="18"/>
      <c r="V730" s="19" t="s">
        <v>29</v>
      </c>
      <c r="W730" s="19"/>
      <c r="X730" s="19"/>
      <c r="Y730" s="20"/>
      <c r="Z730" s="19"/>
      <c r="AA730" s="18" t="str">
        <f aca="false">IF(OR(V730="Aprobada"),R730,IF(AND(OR(V730="Aprobada con ajuste",V730="Rechazada"),W730&lt;&gt;""),W730,""))</f>
        <v/>
      </c>
    </row>
    <row r="731" customFormat="false" ht="22.35" hidden="false" customHeight="false" outlineLevel="0" collapsed="false">
      <c r="A731" s="18" t="s">
        <v>3273</v>
      </c>
      <c r="B731" s="18" t="s">
        <v>60</v>
      </c>
      <c r="C731" s="18" t="s">
        <v>61</v>
      </c>
      <c r="D731" s="18" t="s">
        <v>3257</v>
      </c>
      <c r="E731" s="18" t="n">
        <v>2</v>
      </c>
      <c r="F731" s="18" t="s">
        <v>1437</v>
      </c>
      <c r="G731" s="18" t="s">
        <v>184</v>
      </c>
      <c r="H731" s="18" t="s">
        <v>117</v>
      </c>
      <c r="I731" s="18" t="s">
        <v>140</v>
      </c>
      <c r="J731" s="18"/>
      <c r="K731" s="18"/>
      <c r="L731" s="18" t="s">
        <v>109</v>
      </c>
      <c r="M731" s="18" t="s">
        <v>109</v>
      </c>
      <c r="N731" s="18"/>
      <c r="O731" s="18"/>
      <c r="P731" s="18" t="s">
        <v>3274</v>
      </c>
      <c r="Q731" s="18" t="s">
        <v>110</v>
      </c>
      <c r="R731" s="18" t="s">
        <v>1439</v>
      </c>
      <c r="S731" s="18" t="s">
        <v>112</v>
      </c>
      <c r="T731" s="18" t="s">
        <v>113</v>
      </c>
      <c r="U731" s="18"/>
      <c r="V731" s="19" t="s">
        <v>29</v>
      </c>
      <c r="W731" s="19"/>
      <c r="X731" s="19"/>
      <c r="Y731" s="20"/>
      <c r="Z731" s="19"/>
      <c r="AA731" s="18" t="str">
        <f aca="false">IF(OR(V731="Aprobada"),R731,IF(AND(OR(V731="Aprobada con ajuste",V731="Rechazada"),W731&lt;&gt;""),W731,""))</f>
        <v/>
      </c>
    </row>
    <row r="732" customFormat="false" ht="22.35" hidden="false" customHeight="false" outlineLevel="0" collapsed="false">
      <c r="A732" s="18" t="s">
        <v>3275</v>
      </c>
      <c r="B732" s="18" t="s">
        <v>60</v>
      </c>
      <c r="C732" s="18" t="s">
        <v>61</v>
      </c>
      <c r="D732" s="18" t="s">
        <v>3257</v>
      </c>
      <c r="E732" s="18" t="n">
        <v>2</v>
      </c>
      <c r="F732" s="18" t="s">
        <v>1441</v>
      </c>
      <c r="G732" s="18" t="s">
        <v>459</v>
      </c>
      <c r="H732" s="18" t="s">
        <v>117</v>
      </c>
      <c r="I732" s="18"/>
      <c r="J732" s="18"/>
      <c r="K732" s="18"/>
      <c r="L732" s="18" t="s">
        <v>109</v>
      </c>
      <c r="M732" s="18" t="s">
        <v>109</v>
      </c>
      <c r="N732" s="18"/>
      <c r="O732" s="18"/>
      <c r="P732" s="18" t="s">
        <v>3276</v>
      </c>
      <c r="Q732" s="18" t="s">
        <v>110</v>
      </c>
      <c r="R732" s="18" t="s">
        <v>1443</v>
      </c>
      <c r="S732" s="18" t="s">
        <v>112</v>
      </c>
      <c r="T732" s="18" t="s">
        <v>113</v>
      </c>
      <c r="U732" s="18"/>
      <c r="V732" s="19" t="s">
        <v>29</v>
      </c>
      <c r="W732" s="19"/>
      <c r="X732" s="19"/>
      <c r="Y732" s="20"/>
      <c r="Z732" s="19"/>
      <c r="AA732" s="18" t="str">
        <f aca="false">IF(OR(V732="Aprobada"),R732,IF(AND(OR(V732="Aprobada con ajuste",V732="Rechazada"),W732&lt;&gt;""),W732,""))</f>
        <v/>
      </c>
    </row>
    <row r="733" customFormat="false" ht="22.35" hidden="false" customHeight="false" outlineLevel="0" collapsed="false">
      <c r="A733" s="18" t="s">
        <v>3277</v>
      </c>
      <c r="B733" s="18" t="s">
        <v>60</v>
      </c>
      <c r="C733" s="18" t="s">
        <v>61</v>
      </c>
      <c r="D733" s="18" t="s">
        <v>3257</v>
      </c>
      <c r="E733" s="18" t="n">
        <v>2</v>
      </c>
      <c r="F733" s="18" t="s">
        <v>1445</v>
      </c>
      <c r="G733" s="18" t="s">
        <v>116</v>
      </c>
      <c r="H733" s="18" t="s">
        <v>117</v>
      </c>
      <c r="I733" s="18" t="s">
        <v>140</v>
      </c>
      <c r="J733" s="18"/>
      <c r="K733" s="18"/>
      <c r="L733" s="18" t="s">
        <v>109</v>
      </c>
      <c r="M733" s="18" t="s">
        <v>109</v>
      </c>
      <c r="N733" s="18"/>
      <c r="O733" s="18"/>
      <c r="P733" s="18" t="s">
        <v>3278</v>
      </c>
      <c r="Q733" s="18" t="s">
        <v>110</v>
      </c>
      <c r="R733" s="18" t="s">
        <v>1447</v>
      </c>
      <c r="S733" s="18" t="s">
        <v>112</v>
      </c>
      <c r="T733" s="18" t="s">
        <v>113</v>
      </c>
      <c r="U733" s="18"/>
      <c r="V733" s="19" t="s">
        <v>29</v>
      </c>
      <c r="W733" s="19"/>
      <c r="X733" s="19"/>
      <c r="Y733" s="20"/>
      <c r="Z733" s="19"/>
      <c r="AA733" s="18" t="str">
        <f aca="false">IF(OR(V733="Aprobada"),R733,IF(AND(OR(V733="Aprobada con ajuste",V733="Rechazada"),W733&lt;&gt;""),W733,""))</f>
        <v/>
      </c>
    </row>
    <row r="734" customFormat="false" ht="126.85" hidden="false" customHeight="false" outlineLevel="0" collapsed="false">
      <c r="A734" s="18" t="s">
        <v>3279</v>
      </c>
      <c r="B734" s="18" t="s">
        <v>60</v>
      </c>
      <c r="C734" s="18" t="s">
        <v>61</v>
      </c>
      <c r="D734" s="18" t="s">
        <v>3280</v>
      </c>
      <c r="E734" s="18" t="n">
        <v>1</v>
      </c>
      <c r="F734" s="18" t="s">
        <v>1553</v>
      </c>
      <c r="G734" s="18" t="s">
        <v>167</v>
      </c>
      <c r="H734" s="18" t="s">
        <v>117</v>
      </c>
      <c r="I734" s="18" t="s">
        <v>140</v>
      </c>
      <c r="J734" s="18"/>
      <c r="K734" s="18"/>
      <c r="L734" s="18" t="s">
        <v>109</v>
      </c>
      <c r="M734" s="18" t="s">
        <v>109</v>
      </c>
      <c r="N734" s="18"/>
      <c r="O734" s="18"/>
      <c r="P734" s="18" t="s">
        <v>3281</v>
      </c>
      <c r="Q734" s="18" t="s">
        <v>123</v>
      </c>
      <c r="R734" s="18" t="s">
        <v>3282</v>
      </c>
      <c r="S734" s="18" t="s">
        <v>125</v>
      </c>
      <c r="T734" s="18" t="s">
        <v>3283</v>
      </c>
      <c r="U734" s="18"/>
      <c r="V734" s="19" t="s">
        <v>29</v>
      </c>
      <c r="W734" s="19"/>
      <c r="X734" s="19"/>
      <c r="Y734" s="20"/>
      <c r="Z734" s="19"/>
      <c r="AA734" s="18" t="str">
        <f aca="false">IF(OR(V734="Aprobada"),R734,IF(AND(OR(V734="Aprobada con ajuste",V734="Rechazada"),W734&lt;&gt;""),W734,""))</f>
        <v/>
      </c>
    </row>
    <row r="735" customFormat="false" ht="116.4" hidden="false" customHeight="false" outlineLevel="0" collapsed="false">
      <c r="A735" s="18" t="s">
        <v>3284</v>
      </c>
      <c r="B735" s="18" t="s">
        <v>60</v>
      </c>
      <c r="C735" s="18" t="s">
        <v>61</v>
      </c>
      <c r="D735" s="18" t="s">
        <v>3280</v>
      </c>
      <c r="E735" s="18" t="n">
        <v>1</v>
      </c>
      <c r="F735" s="18" t="s">
        <v>1102</v>
      </c>
      <c r="G735" s="18" t="s">
        <v>1509</v>
      </c>
      <c r="H735" s="18" t="s">
        <v>117</v>
      </c>
      <c r="I735" s="18" t="s">
        <v>140</v>
      </c>
      <c r="J735" s="18"/>
      <c r="K735" s="18"/>
      <c r="L735" s="18" t="s">
        <v>109</v>
      </c>
      <c r="M735" s="18" t="s">
        <v>109</v>
      </c>
      <c r="N735" s="18"/>
      <c r="O735" s="18"/>
      <c r="P735" s="18" t="s">
        <v>3285</v>
      </c>
      <c r="Q735" s="18" t="s">
        <v>123</v>
      </c>
      <c r="R735" s="18" t="s">
        <v>3286</v>
      </c>
      <c r="S735" s="18" t="s">
        <v>112</v>
      </c>
      <c r="T735" s="18" t="s">
        <v>3287</v>
      </c>
      <c r="U735" s="18" t="s">
        <v>1878</v>
      </c>
      <c r="V735" s="19" t="s">
        <v>29</v>
      </c>
      <c r="W735" s="19"/>
      <c r="X735" s="19"/>
      <c r="Y735" s="20"/>
      <c r="Z735" s="19"/>
      <c r="AA735" s="18" t="str">
        <f aca="false">IF(OR(V735="Aprobada"),R735,IF(AND(OR(V735="Aprobada con ajuste",V735="Rechazada"),W735&lt;&gt;""),W735,""))</f>
        <v/>
      </c>
    </row>
    <row r="736" customFormat="false" ht="43.25" hidden="false" customHeight="false" outlineLevel="0" collapsed="false">
      <c r="A736" s="18" t="s">
        <v>3288</v>
      </c>
      <c r="B736" s="18" t="s">
        <v>60</v>
      </c>
      <c r="C736" s="18" t="s">
        <v>61</v>
      </c>
      <c r="D736" s="18" t="s">
        <v>3280</v>
      </c>
      <c r="E736" s="18" t="n">
        <v>1</v>
      </c>
      <c r="F736" s="18" t="s">
        <v>3289</v>
      </c>
      <c r="G736" s="18" t="s">
        <v>265</v>
      </c>
      <c r="H736" s="18" t="s">
        <v>117</v>
      </c>
      <c r="I736" s="18"/>
      <c r="J736" s="18"/>
      <c r="K736" s="18"/>
      <c r="L736" s="18" t="s">
        <v>109</v>
      </c>
      <c r="M736" s="18" t="s">
        <v>109</v>
      </c>
      <c r="N736" s="18"/>
      <c r="O736" s="18"/>
      <c r="P736" s="18" t="s">
        <v>3290</v>
      </c>
      <c r="Q736" s="18" t="s">
        <v>134</v>
      </c>
      <c r="R736" s="18" t="s">
        <v>3291</v>
      </c>
      <c r="S736" s="18" t="s">
        <v>112</v>
      </c>
      <c r="T736" s="18" t="s">
        <v>3292</v>
      </c>
      <c r="U736" s="18" t="s">
        <v>3293</v>
      </c>
      <c r="V736" s="19" t="s">
        <v>29</v>
      </c>
      <c r="W736" s="19"/>
      <c r="X736" s="19"/>
      <c r="Y736" s="20"/>
      <c r="Z736" s="19"/>
      <c r="AA736" s="18" t="str">
        <f aca="false">IF(OR(V736="Aprobada"),R736,IF(AND(OR(V736="Aprobada con ajuste",V736="Rechazada"),W736&lt;&gt;""),W736,""))</f>
        <v/>
      </c>
    </row>
    <row r="737" customFormat="false" ht="53.7" hidden="false" customHeight="false" outlineLevel="0" collapsed="false">
      <c r="A737" s="18" t="s">
        <v>3294</v>
      </c>
      <c r="B737" s="18" t="s">
        <v>60</v>
      </c>
      <c r="C737" s="18" t="s">
        <v>61</v>
      </c>
      <c r="D737" s="18" t="s">
        <v>3280</v>
      </c>
      <c r="E737" s="18" t="n">
        <v>1</v>
      </c>
      <c r="F737" s="18" t="s">
        <v>1880</v>
      </c>
      <c r="G737" s="18" t="s">
        <v>394</v>
      </c>
      <c r="H737" s="18" t="s">
        <v>117</v>
      </c>
      <c r="I737" s="18" t="s">
        <v>140</v>
      </c>
      <c r="J737" s="18"/>
      <c r="K737" s="18"/>
      <c r="L737" s="18" t="s">
        <v>109</v>
      </c>
      <c r="M737" s="18" t="s">
        <v>109</v>
      </c>
      <c r="N737" s="18"/>
      <c r="O737" s="18"/>
      <c r="P737" s="18" t="s">
        <v>3295</v>
      </c>
      <c r="Q737" s="18" t="s">
        <v>110</v>
      </c>
      <c r="R737" s="18" t="s">
        <v>1882</v>
      </c>
      <c r="S737" s="18" t="s">
        <v>112</v>
      </c>
      <c r="T737" s="18" t="s">
        <v>113</v>
      </c>
      <c r="U737" s="18"/>
      <c r="V737" s="19" t="s">
        <v>29</v>
      </c>
      <c r="W737" s="19"/>
      <c r="X737" s="19"/>
      <c r="Y737" s="20"/>
      <c r="Z737" s="19"/>
      <c r="AA737" s="18" t="str">
        <f aca="false">IF(OR(V737="Aprobada"),R737,IF(AND(OR(V737="Aprobada con ajuste",V737="Rechazada"),W737&lt;&gt;""),W737,""))</f>
        <v/>
      </c>
    </row>
    <row r="738" customFormat="false" ht="74.6" hidden="false" customHeight="false" outlineLevel="0" collapsed="false">
      <c r="A738" s="18" t="s">
        <v>3296</v>
      </c>
      <c r="B738" s="18" t="s">
        <v>60</v>
      </c>
      <c r="C738" s="18" t="s">
        <v>61</v>
      </c>
      <c r="D738" s="18" t="s">
        <v>3280</v>
      </c>
      <c r="E738" s="18" t="n">
        <v>1</v>
      </c>
      <c r="F738" s="18" t="s">
        <v>1884</v>
      </c>
      <c r="G738" s="18" t="s">
        <v>139</v>
      </c>
      <c r="H738" s="18" t="s">
        <v>117</v>
      </c>
      <c r="I738" s="18"/>
      <c r="J738" s="18"/>
      <c r="K738" s="18"/>
      <c r="L738" s="18" t="s">
        <v>109</v>
      </c>
      <c r="M738" s="18" t="s">
        <v>109</v>
      </c>
      <c r="N738" s="18"/>
      <c r="O738" s="18"/>
      <c r="P738" s="18" t="s">
        <v>3297</v>
      </c>
      <c r="Q738" s="18" t="s">
        <v>123</v>
      </c>
      <c r="R738" s="18" t="s">
        <v>3298</v>
      </c>
      <c r="S738" s="18" t="s">
        <v>125</v>
      </c>
      <c r="T738" s="18" t="s">
        <v>3299</v>
      </c>
      <c r="U738" s="18"/>
      <c r="V738" s="19" t="s">
        <v>29</v>
      </c>
      <c r="W738" s="19"/>
      <c r="X738" s="19"/>
      <c r="Y738" s="20"/>
      <c r="Z738" s="19"/>
      <c r="AA738" s="18" t="str">
        <f aca="false">IF(OR(V738="Aprobada"),R738,IF(AND(OR(V738="Aprobada con ajuste",V738="Rechazada"),W738&lt;&gt;""),W738,""))</f>
        <v/>
      </c>
    </row>
    <row r="739" customFormat="false" ht="43.25" hidden="false" customHeight="false" outlineLevel="0" collapsed="false">
      <c r="A739" s="18" t="s">
        <v>3300</v>
      </c>
      <c r="B739" s="18" t="s">
        <v>60</v>
      </c>
      <c r="C739" s="18" t="s">
        <v>61</v>
      </c>
      <c r="D739" s="18" t="s">
        <v>3280</v>
      </c>
      <c r="E739" s="18" t="n">
        <v>1</v>
      </c>
      <c r="F739" s="18" t="s">
        <v>107</v>
      </c>
      <c r="G739" s="18" t="s">
        <v>151</v>
      </c>
      <c r="H739" s="18" t="s">
        <v>109</v>
      </c>
      <c r="I739" s="18" t="s">
        <v>140</v>
      </c>
      <c r="J739" s="18" t="s">
        <v>1889</v>
      </c>
      <c r="K739" s="18"/>
      <c r="L739" s="18" t="s">
        <v>117</v>
      </c>
      <c r="M739" s="18" t="s">
        <v>109</v>
      </c>
      <c r="N739" s="18"/>
      <c r="O739" s="18"/>
      <c r="P739" s="18" t="s">
        <v>3301</v>
      </c>
      <c r="Q739" s="18" t="s">
        <v>123</v>
      </c>
      <c r="R739" s="18" t="s">
        <v>3302</v>
      </c>
      <c r="S739" s="18" t="s">
        <v>125</v>
      </c>
      <c r="T739" s="18" t="s">
        <v>3303</v>
      </c>
      <c r="U739" s="18"/>
      <c r="V739" s="19" t="s">
        <v>29</v>
      </c>
      <c r="W739" s="19"/>
      <c r="X739" s="19"/>
      <c r="Y739" s="20"/>
      <c r="Z739" s="19"/>
      <c r="AA739" s="18" t="str">
        <f aca="false">IF(OR(V739="Aprobada"),R739,IF(AND(OR(V739="Aprobada con ajuste",V739="Rechazada"),W739&lt;&gt;""),W739,""))</f>
        <v/>
      </c>
    </row>
    <row r="740" customFormat="false" ht="95.5" hidden="false" customHeight="false" outlineLevel="0" collapsed="false">
      <c r="A740" s="18" t="s">
        <v>3304</v>
      </c>
      <c r="B740" s="18" t="s">
        <v>60</v>
      </c>
      <c r="C740" s="18" t="s">
        <v>61</v>
      </c>
      <c r="D740" s="18" t="s">
        <v>3280</v>
      </c>
      <c r="E740" s="18" t="n">
        <v>1</v>
      </c>
      <c r="F740" s="18" t="s">
        <v>115</v>
      </c>
      <c r="G740" s="18" t="s">
        <v>116</v>
      </c>
      <c r="H740" s="18" t="s">
        <v>117</v>
      </c>
      <c r="I740" s="18" t="s">
        <v>140</v>
      </c>
      <c r="J740" s="18"/>
      <c r="K740" s="18"/>
      <c r="L740" s="18" t="s">
        <v>109</v>
      </c>
      <c r="M740" s="18" t="s">
        <v>109</v>
      </c>
      <c r="N740" s="18"/>
      <c r="O740" s="18"/>
      <c r="P740" s="18" t="s">
        <v>3305</v>
      </c>
      <c r="Q740" s="18" t="s">
        <v>123</v>
      </c>
      <c r="R740" s="18" t="s">
        <v>3306</v>
      </c>
      <c r="S740" s="18" t="s">
        <v>125</v>
      </c>
      <c r="T740" s="18" t="s">
        <v>3307</v>
      </c>
      <c r="U740" s="18"/>
      <c r="V740" s="19" t="s">
        <v>29</v>
      </c>
      <c r="W740" s="19"/>
      <c r="X740" s="19"/>
      <c r="Y740" s="20"/>
      <c r="Z740" s="19"/>
      <c r="AA740" s="18" t="str">
        <f aca="false">IF(OR(V740="Aprobada"),R740,IF(AND(OR(V740="Aprobada con ajuste",V740="Rechazada"),W740&lt;&gt;""),W740,""))</f>
        <v/>
      </c>
    </row>
    <row r="741" customFormat="false" ht="22.35" hidden="false" customHeight="false" outlineLevel="0" collapsed="false">
      <c r="A741" s="18" t="s">
        <v>3308</v>
      </c>
      <c r="B741" s="18" t="s">
        <v>60</v>
      </c>
      <c r="C741" s="18" t="s">
        <v>61</v>
      </c>
      <c r="D741" s="18" t="s">
        <v>3280</v>
      </c>
      <c r="E741" s="18" t="n">
        <v>1</v>
      </c>
      <c r="F741" s="18" t="s">
        <v>1898</v>
      </c>
      <c r="G741" s="18" t="s">
        <v>459</v>
      </c>
      <c r="H741" s="18" t="s">
        <v>117</v>
      </c>
      <c r="I741" s="18"/>
      <c r="J741" s="18"/>
      <c r="K741" s="18"/>
      <c r="L741" s="18" t="s">
        <v>109</v>
      </c>
      <c r="M741" s="18" t="s">
        <v>109</v>
      </c>
      <c r="N741" s="18"/>
      <c r="O741" s="18"/>
      <c r="P741" s="18" t="s">
        <v>3309</v>
      </c>
      <c r="Q741" s="18" t="s">
        <v>110</v>
      </c>
      <c r="R741" s="18" t="s">
        <v>1900</v>
      </c>
      <c r="S741" s="18" t="s">
        <v>112</v>
      </c>
      <c r="T741" s="18" t="s">
        <v>113</v>
      </c>
      <c r="U741" s="18"/>
      <c r="V741" s="19" t="s">
        <v>29</v>
      </c>
      <c r="W741" s="19"/>
      <c r="X741" s="19"/>
      <c r="Y741" s="20"/>
      <c r="Z741" s="19"/>
      <c r="AA741" s="18" t="str">
        <f aca="false">IF(OR(V741="Aprobada"),R741,IF(AND(OR(V741="Aprobada con ajuste",V741="Rechazada"),W741&lt;&gt;""),W741,""))</f>
        <v/>
      </c>
    </row>
    <row r="742" customFormat="false" ht="22.35" hidden="false" customHeight="false" outlineLevel="0" collapsed="false">
      <c r="A742" s="18" t="s">
        <v>3310</v>
      </c>
      <c r="B742" s="18" t="s">
        <v>60</v>
      </c>
      <c r="C742" s="18" t="s">
        <v>61</v>
      </c>
      <c r="D742" s="18" t="s">
        <v>3280</v>
      </c>
      <c r="E742" s="18" t="n">
        <v>1</v>
      </c>
      <c r="F742" s="18" t="s">
        <v>1902</v>
      </c>
      <c r="G742" s="18" t="s">
        <v>184</v>
      </c>
      <c r="H742" s="18" t="s">
        <v>109</v>
      </c>
      <c r="I742" s="18"/>
      <c r="J742" s="18"/>
      <c r="K742" s="18"/>
      <c r="L742" s="18" t="s">
        <v>109</v>
      </c>
      <c r="M742" s="18" t="s">
        <v>109</v>
      </c>
      <c r="N742" s="18"/>
      <c r="O742" s="18"/>
      <c r="P742" s="18" t="s">
        <v>3311</v>
      </c>
      <c r="Q742" s="18" t="s">
        <v>110</v>
      </c>
      <c r="R742" s="18" t="s">
        <v>1904</v>
      </c>
      <c r="S742" s="18" t="s">
        <v>112</v>
      </c>
      <c r="T742" s="18" t="s">
        <v>113</v>
      </c>
      <c r="U742" s="18"/>
      <c r="V742" s="19" t="s">
        <v>29</v>
      </c>
      <c r="W742" s="19"/>
      <c r="X742" s="19"/>
      <c r="Y742" s="20"/>
      <c r="Z742" s="19"/>
      <c r="AA742" s="18" t="str">
        <f aca="false">IF(OR(V742="Aprobada"),R742,IF(AND(OR(V742="Aprobada con ajuste",V742="Rechazada"),W742&lt;&gt;""),W742,""))</f>
        <v/>
      </c>
    </row>
    <row r="743" customFormat="false" ht="22.35" hidden="false" customHeight="false" outlineLevel="0" collapsed="false">
      <c r="A743" s="18" t="s">
        <v>3312</v>
      </c>
      <c r="B743" s="18" t="s">
        <v>60</v>
      </c>
      <c r="C743" s="18" t="s">
        <v>61</v>
      </c>
      <c r="D743" s="18" t="s">
        <v>3280</v>
      </c>
      <c r="E743" s="18" t="n">
        <v>1</v>
      </c>
      <c r="F743" s="18" t="s">
        <v>1906</v>
      </c>
      <c r="G743" s="18" t="s">
        <v>459</v>
      </c>
      <c r="H743" s="18" t="s">
        <v>117</v>
      </c>
      <c r="I743" s="18"/>
      <c r="J743" s="18"/>
      <c r="K743" s="18"/>
      <c r="L743" s="18" t="s">
        <v>109</v>
      </c>
      <c r="M743" s="18" t="s">
        <v>109</v>
      </c>
      <c r="N743" s="18"/>
      <c r="O743" s="18"/>
      <c r="P743" s="18" t="s">
        <v>3313</v>
      </c>
      <c r="Q743" s="18" t="s">
        <v>134</v>
      </c>
      <c r="R743" s="18" t="s">
        <v>3314</v>
      </c>
      <c r="S743" s="18" t="s">
        <v>112</v>
      </c>
      <c r="T743" s="18" t="s">
        <v>3315</v>
      </c>
      <c r="U743" s="18" t="s">
        <v>2774</v>
      </c>
      <c r="V743" s="19" t="s">
        <v>29</v>
      </c>
      <c r="W743" s="19"/>
      <c r="X743" s="19"/>
      <c r="Y743" s="20"/>
      <c r="Z743" s="19"/>
      <c r="AA743" s="18" t="str">
        <f aca="false">IF(OR(V743="Aprobada"),R743,IF(AND(OR(V743="Aprobada con ajuste",V743="Rechazada"),W743&lt;&gt;""),W743,""))</f>
        <v/>
      </c>
    </row>
    <row r="744" customFormat="false" ht="168.65" hidden="false" customHeight="false" outlineLevel="0" collapsed="false">
      <c r="A744" s="18" t="s">
        <v>3316</v>
      </c>
      <c r="B744" s="18" t="s">
        <v>60</v>
      </c>
      <c r="C744" s="18" t="s">
        <v>61</v>
      </c>
      <c r="D744" s="18" t="s">
        <v>3317</v>
      </c>
      <c r="E744" s="18" t="n">
        <v>13</v>
      </c>
      <c r="F744" s="18" t="s">
        <v>150</v>
      </c>
      <c r="G744" s="18" t="s">
        <v>108</v>
      </c>
      <c r="H744" s="18" t="s">
        <v>109</v>
      </c>
      <c r="I744" s="18" t="s">
        <v>140</v>
      </c>
      <c r="J744" s="18" t="s">
        <v>3318</v>
      </c>
      <c r="K744" s="18"/>
      <c r="L744" s="18" t="s">
        <v>117</v>
      </c>
      <c r="M744" s="18" t="s">
        <v>109</v>
      </c>
      <c r="N744" s="18"/>
      <c r="O744" s="18" t="s">
        <v>3319</v>
      </c>
      <c r="P744" s="18" t="s">
        <v>3320</v>
      </c>
      <c r="Q744" s="18" t="s">
        <v>110</v>
      </c>
      <c r="R744" s="18" t="s">
        <v>3321</v>
      </c>
      <c r="S744" s="18" t="s">
        <v>112</v>
      </c>
      <c r="T744" s="18" t="s">
        <v>113</v>
      </c>
      <c r="U744" s="18"/>
      <c r="V744" s="19" t="s">
        <v>29</v>
      </c>
      <c r="W744" s="19"/>
      <c r="X744" s="19"/>
      <c r="Y744" s="20"/>
      <c r="Z744" s="19"/>
      <c r="AA744" s="18" t="str">
        <f aca="false">IF(OR(V744="Aprobada"),R744,IF(AND(OR(V744="Aprobada con ajuste",V744="Rechazada"),W744&lt;&gt;""),W744,""))</f>
        <v/>
      </c>
    </row>
    <row r="745" customFormat="false" ht="43.25" hidden="false" customHeight="false" outlineLevel="0" collapsed="false">
      <c r="A745" s="18" t="s">
        <v>3322</v>
      </c>
      <c r="B745" s="18" t="s">
        <v>60</v>
      </c>
      <c r="C745" s="18" t="s">
        <v>61</v>
      </c>
      <c r="D745" s="18" t="s">
        <v>3317</v>
      </c>
      <c r="E745" s="18" t="n">
        <v>13</v>
      </c>
      <c r="F745" s="18" t="s">
        <v>3323</v>
      </c>
      <c r="G745" s="18" t="s">
        <v>212</v>
      </c>
      <c r="H745" s="18" t="s">
        <v>109</v>
      </c>
      <c r="I745" s="18"/>
      <c r="J745" s="18"/>
      <c r="K745" s="18"/>
      <c r="L745" s="18" t="s">
        <v>109</v>
      </c>
      <c r="M745" s="18" t="s">
        <v>109</v>
      </c>
      <c r="N745" s="18"/>
      <c r="O745" s="18" t="s">
        <v>3319</v>
      </c>
      <c r="P745" s="18" t="s">
        <v>3324</v>
      </c>
      <c r="Q745" s="18" t="s">
        <v>123</v>
      </c>
      <c r="R745" s="18" t="s">
        <v>3325</v>
      </c>
      <c r="S745" s="18" t="s">
        <v>125</v>
      </c>
      <c r="T745" s="18" t="s">
        <v>3326</v>
      </c>
      <c r="U745" s="18" t="s">
        <v>3327</v>
      </c>
      <c r="V745" s="19" t="s">
        <v>29</v>
      </c>
      <c r="W745" s="19"/>
      <c r="X745" s="19"/>
      <c r="Y745" s="20"/>
      <c r="Z745" s="19"/>
      <c r="AA745" s="18" t="str">
        <f aca="false">IF(OR(V745="Aprobada"),R745,IF(AND(OR(V745="Aprobada con ajuste",V745="Rechazada"),W745&lt;&gt;""),W745,""))</f>
        <v/>
      </c>
    </row>
    <row r="746" customFormat="false" ht="64.15" hidden="false" customHeight="false" outlineLevel="0" collapsed="false">
      <c r="A746" s="18" t="s">
        <v>3328</v>
      </c>
      <c r="B746" s="18" t="s">
        <v>60</v>
      </c>
      <c r="C746" s="18" t="s">
        <v>61</v>
      </c>
      <c r="D746" s="18" t="s">
        <v>3317</v>
      </c>
      <c r="E746" s="18" t="n">
        <v>13</v>
      </c>
      <c r="F746" s="18" t="s">
        <v>3329</v>
      </c>
      <c r="G746" s="18" t="s">
        <v>116</v>
      </c>
      <c r="H746" s="18" t="s">
        <v>117</v>
      </c>
      <c r="I746" s="18"/>
      <c r="J746" s="18"/>
      <c r="K746" s="18"/>
      <c r="L746" s="18" t="s">
        <v>109</v>
      </c>
      <c r="M746" s="18" t="s">
        <v>109</v>
      </c>
      <c r="N746" s="18"/>
      <c r="O746" s="18"/>
      <c r="P746" s="18" t="s">
        <v>3330</v>
      </c>
      <c r="Q746" s="18" t="s">
        <v>123</v>
      </c>
      <c r="R746" s="18" t="s">
        <v>3331</v>
      </c>
      <c r="S746" s="18" t="s">
        <v>125</v>
      </c>
      <c r="T746" s="18" t="s">
        <v>3332</v>
      </c>
      <c r="U746" s="18"/>
      <c r="V746" s="19" t="s">
        <v>29</v>
      </c>
      <c r="W746" s="19"/>
      <c r="X746" s="19"/>
      <c r="Y746" s="20"/>
      <c r="Z746" s="19"/>
      <c r="AA746" s="18" t="str">
        <f aca="false">IF(OR(V746="Aprobada"),R746,IF(AND(OR(V746="Aprobada con ajuste",V746="Rechazada"),W746&lt;&gt;""),W746,""))</f>
        <v/>
      </c>
    </row>
    <row r="747" customFormat="false" ht="32.8" hidden="false" customHeight="false" outlineLevel="0" collapsed="false">
      <c r="A747" s="18" t="s">
        <v>3333</v>
      </c>
      <c r="B747" s="18" t="s">
        <v>60</v>
      </c>
      <c r="C747" s="18" t="s">
        <v>61</v>
      </c>
      <c r="D747" s="18" t="s">
        <v>3317</v>
      </c>
      <c r="E747" s="18" t="n">
        <v>13</v>
      </c>
      <c r="F747" s="18" t="s">
        <v>1030</v>
      </c>
      <c r="G747" s="18" t="s">
        <v>139</v>
      </c>
      <c r="H747" s="18" t="s">
        <v>109</v>
      </c>
      <c r="I747" s="18"/>
      <c r="J747" s="18"/>
      <c r="K747" s="18"/>
      <c r="L747" s="18" t="s">
        <v>109</v>
      </c>
      <c r="M747" s="18" t="s">
        <v>109</v>
      </c>
      <c r="N747" s="18"/>
      <c r="O747" s="18" t="s">
        <v>3334</v>
      </c>
      <c r="P747" s="18" t="s">
        <v>3335</v>
      </c>
      <c r="Q747" s="18" t="s">
        <v>123</v>
      </c>
      <c r="R747" s="18" t="s">
        <v>3336</v>
      </c>
      <c r="S747" s="18" t="s">
        <v>125</v>
      </c>
      <c r="T747" s="18" t="s">
        <v>3337</v>
      </c>
      <c r="U747" s="18"/>
      <c r="V747" s="19" t="s">
        <v>29</v>
      </c>
      <c r="W747" s="19"/>
      <c r="X747" s="19"/>
      <c r="Y747" s="20"/>
      <c r="Z747" s="19"/>
      <c r="AA747" s="18" t="str">
        <f aca="false">IF(OR(V747="Aprobada"),R747,IF(AND(OR(V747="Aprobada con ajuste",V747="Rechazada"),W747&lt;&gt;""),W747,""))</f>
        <v/>
      </c>
    </row>
    <row r="748" customFormat="false" ht="53.7" hidden="false" customHeight="false" outlineLevel="0" collapsed="false">
      <c r="A748" s="18" t="s">
        <v>3338</v>
      </c>
      <c r="B748" s="18" t="s">
        <v>60</v>
      </c>
      <c r="C748" s="18" t="s">
        <v>61</v>
      </c>
      <c r="D748" s="18" t="s">
        <v>3317</v>
      </c>
      <c r="E748" s="18" t="n">
        <v>13</v>
      </c>
      <c r="F748" s="18" t="s">
        <v>3339</v>
      </c>
      <c r="G748" s="18" t="s">
        <v>184</v>
      </c>
      <c r="H748" s="18" t="s">
        <v>109</v>
      </c>
      <c r="I748" s="18" t="s">
        <v>140</v>
      </c>
      <c r="J748" s="18"/>
      <c r="K748" s="18"/>
      <c r="L748" s="18" t="s">
        <v>109</v>
      </c>
      <c r="M748" s="18" t="s">
        <v>109</v>
      </c>
      <c r="N748" s="18"/>
      <c r="O748" s="18"/>
      <c r="P748" s="18" t="s">
        <v>3340</v>
      </c>
      <c r="Q748" s="18" t="s">
        <v>123</v>
      </c>
      <c r="R748" s="18" t="s">
        <v>3341</v>
      </c>
      <c r="S748" s="18" t="s">
        <v>125</v>
      </c>
      <c r="T748" s="18" t="s">
        <v>3342</v>
      </c>
      <c r="U748" s="18"/>
      <c r="V748" s="19" t="s">
        <v>29</v>
      </c>
      <c r="W748" s="19"/>
      <c r="X748" s="19"/>
      <c r="Y748" s="20"/>
      <c r="Z748" s="19"/>
      <c r="AA748" s="18" t="str">
        <f aca="false">IF(OR(V748="Aprobada"),R748,IF(AND(OR(V748="Aprobada con ajuste",V748="Rechazada"),W748&lt;&gt;""),W748,""))</f>
        <v/>
      </c>
    </row>
    <row r="749" customFormat="false" ht="43.25" hidden="false" customHeight="false" outlineLevel="0" collapsed="false">
      <c r="A749" s="18" t="s">
        <v>3343</v>
      </c>
      <c r="B749" s="18" t="s">
        <v>60</v>
      </c>
      <c r="C749" s="18" t="s">
        <v>61</v>
      </c>
      <c r="D749" s="18" t="s">
        <v>3317</v>
      </c>
      <c r="E749" s="18" t="n">
        <v>13</v>
      </c>
      <c r="F749" s="18" t="s">
        <v>3344</v>
      </c>
      <c r="G749" s="18" t="s">
        <v>184</v>
      </c>
      <c r="H749" s="18" t="s">
        <v>117</v>
      </c>
      <c r="I749" s="18" t="s">
        <v>140</v>
      </c>
      <c r="J749" s="18"/>
      <c r="K749" s="18"/>
      <c r="L749" s="18" t="s">
        <v>109</v>
      </c>
      <c r="M749" s="18" t="s">
        <v>109</v>
      </c>
      <c r="N749" s="18"/>
      <c r="O749" s="18"/>
      <c r="P749" s="18" t="s">
        <v>3345</v>
      </c>
      <c r="Q749" s="18" t="s">
        <v>123</v>
      </c>
      <c r="R749" s="18" t="s">
        <v>3346</v>
      </c>
      <c r="S749" s="18" t="s">
        <v>125</v>
      </c>
      <c r="T749" s="18" t="s">
        <v>3347</v>
      </c>
      <c r="U749" s="18"/>
      <c r="V749" s="19" t="s">
        <v>29</v>
      </c>
      <c r="W749" s="19"/>
      <c r="X749" s="19"/>
      <c r="Y749" s="20"/>
      <c r="Z749" s="19"/>
      <c r="AA749" s="18" t="str">
        <f aca="false">IF(OR(V749="Aprobada"),R749,IF(AND(OR(V749="Aprobada con ajuste",V749="Rechazada"),W749&lt;&gt;""),W749,""))</f>
        <v/>
      </c>
    </row>
    <row r="750" customFormat="false" ht="64.15" hidden="false" customHeight="false" outlineLevel="0" collapsed="false">
      <c r="A750" s="18" t="s">
        <v>3348</v>
      </c>
      <c r="B750" s="18" t="s">
        <v>60</v>
      </c>
      <c r="C750" s="18" t="s">
        <v>61</v>
      </c>
      <c r="D750" s="18" t="s">
        <v>3317</v>
      </c>
      <c r="E750" s="18" t="n">
        <v>13</v>
      </c>
      <c r="F750" s="18" t="s">
        <v>3349</v>
      </c>
      <c r="G750" s="18" t="s">
        <v>3350</v>
      </c>
      <c r="H750" s="18" t="s">
        <v>109</v>
      </c>
      <c r="I750" s="18" t="s">
        <v>140</v>
      </c>
      <c r="J750" s="18" t="s">
        <v>3351</v>
      </c>
      <c r="K750" s="18"/>
      <c r="L750" s="18" t="s">
        <v>117</v>
      </c>
      <c r="M750" s="18" t="s">
        <v>109</v>
      </c>
      <c r="N750" s="18"/>
      <c r="O750" s="18"/>
      <c r="P750" s="18" t="s">
        <v>3352</v>
      </c>
      <c r="Q750" s="18" t="s">
        <v>123</v>
      </c>
      <c r="R750" s="18" t="s">
        <v>3353</v>
      </c>
      <c r="S750" s="18" t="s">
        <v>125</v>
      </c>
      <c r="T750" s="18" t="s">
        <v>3354</v>
      </c>
      <c r="U750" s="18"/>
      <c r="V750" s="19" t="s">
        <v>29</v>
      </c>
      <c r="W750" s="19"/>
      <c r="X750" s="19"/>
      <c r="Y750" s="20"/>
      <c r="Z750" s="19"/>
      <c r="AA750" s="18" t="str">
        <f aca="false">IF(OR(V750="Aprobada"),R750,IF(AND(OR(V750="Aprobada con ajuste",V750="Rechazada"),W750&lt;&gt;""),W750,""))</f>
        <v/>
      </c>
    </row>
    <row r="751" customFormat="false" ht="179.1" hidden="false" customHeight="false" outlineLevel="0" collapsed="false">
      <c r="A751" s="18" t="s">
        <v>3355</v>
      </c>
      <c r="B751" s="18" t="s">
        <v>60</v>
      </c>
      <c r="C751" s="18" t="s">
        <v>61</v>
      </c>
      <c r="D751" s="18" t="s">
        <v>3356</v>
      </c>
      <c r="E751" s="18" t="n">
        <v>0</v>
      </c>
      <c r="F751" s="18" t="s">
        <v>150</v>
      </c>
      <c r="G751" s="18" t="s">
        <v>151</v>
      </c>
      <c r="H751" s="18" t="s">
        <v>109</v>
      </c>
      <c r="I751" s="18" t="s">
        <v>140</v>
      </c>
      <c r="J751" s="18" t="s">
        <v>3357</v>
      </c>
      <c r="K751" s="18"/>
      <c r="L751" s="18" t="s">
        <v>117</v>
      </c>
      <c r="M751" s="18" t="s">
        <v>109</v>
      </c>
      <c r="N751" s="18"/>
      <c r="O751" s="18" t="s">
        <v>3358</v>
      </c>
      <c r="P751" s="18" t="s">
        <v>3359</v>
      </c>
      <c r="Q751" s="18" t="s">
        <v>110</v>
      </c>
      <c r="R751" s="18" t="s">
        <v>3360</v>
      </c>
      <c r="S751" s="18" t="s">
        <v>112</v>
      </c>
      <c r="T751" s="18" t="s">
        <v>113</v>
      </c>
      <c r="U751" s="18"/>
      <c r="V751" s="19" t="s">
        <v>29</v>
      </c>
      <c r="W751" s="19"/>
      <c r="X751" s="19"/>
      <c r="Y751" s="20"/>
      <c r="Z751" s="19"/>
      <c r="AA751" s="18" t="str">
        <f aca="false">IF(OR(V751="Aprobada"),R751,IF(AND(OR(V751="Aprobada con ajuste",V751="Rechazada"),W751&lt;&gt;""),W751,""))</f>
        <v/>
      </c>
    </row>
    <row r="752" customFormat="false" ht="95.5" hidden="false" customHeight="false" outlineLevel="0" collapsed="false">
      <c r="A752" s="18" t="s">
        <v>3361</v>
      </c>
      <c r="B752" s="18" t="s">
        <v>60</v>
      </c>
      <c r="C752" s="18" t="s">
        <v>61</v>
      </c>
      <c r="D752" s="18" t="s">
        <v>3356</v>
      </c>
      <c r="E752" s="18" t="n">
        <v>0</v>
      </c>
      <c r="F752" s="18" t="s">
        <v>1553</v>
      </c>
      <c r="G752" s="18" t="s">
        <v>436</v>
      </c>
      <c r="H752" s="18" t="s">
        <v>109</v>
      </c>
      <c r="I752" s="18"/>
      <c r="J752" s="18"/>
      <c r="K752" s="18"/>
      <c r="L752" s="18" t="s">
        <v>109</v>
      </c>
      <c r="M752" s="18" t="s">
        <v>109</v>
      </c>
      <c r="N752" s="18"/>
      <c r="O752" s="18"/>
      <c r="P752" s="18" t="s">
        <v>3362</v>
      </c>
      <c r="Q752" s="18" t="s">
        <v>110</v>
      </c>
      <c r="R752" s="18" t="s">
        <v>3363</v>
      </c>
      <c r="S752" s="18" t="s">
        <v>112</v>
      </c>
      <c r="T752" s="18" t="s">
        <v>113</v>
      </c>
      <c r="U752" s="18"/>
      <c r="V752" s="19" t="s">
        <v>29</v>
      </c>
      <c r="W752" s="19"/>
      <c r="X752" s="19"/>
      <c r="Y752" s="20"/>
      <c r="Z752" s="19"/>
      <c r="AA752" s="18" t="str">
        <f aca="false">IF(OR(V752="Aprobada"),R752,IF(AND(OR(V752="Aprobada con ajuste",V752="Rechazada"),W752&lt;&gt;""),W752,""))</f>
        <v/>
      </c>
    </row>
    <row r="753" customFormat="false" ht="64.15" hidden="false" customHeight="false" outlineLevel="0" collapsed="false">
      <c r="A753" s="18" t="s">
        <v>3364</v>
      </c>
      <c r="B753" s="18" t="s">
        <v>60</v>
      </c>
      <c r="C753" s="18" t="s">
        <v>61</v>
      </c>
      <c r="D753" s="18" t="s">
        <v>3356</v>
      </c>
      <c r="E753" s="18" t="n">
        <v>0</v>
      </c>
      <c r="F753" s="18" t="s">
        <v>1880</v>
      </c>
      <c r="G753" s="18" t="s">
        <v>394</v>
      </c>
      <c r="H753" s="18" t="s">
        <v>109</v>
      </c>
      <c r="I753" s="18"/>
      <c r="J753" s="18"/>
      <c r="K753" s="18"/>
      <c r="L753" s="18" t="s">
        <v>109</v>
      </c>
      <c r="M753" s="18" t="s">
        <v>109</v>
      </c>
      <c r="N753" s="18"/>
      <c r="O753" s="18" t="s">
        <v>3365</v>
      </c>
      <c r="P753" s="18" t="s">
        <v>3366</v>
      </c>
      <c r="Q753" s="18" t="s">
        <v>110</v>
      </c>
      <c r="R753" s="18" t="s">
        <v>1882</v>
      </c>
      <c r="S753" s="18" t="s">
        <v>112</v>
      </c>
      <c r="T753" s="18" t="s">
        <v>113</v>
      </c>
      <c r="U753" s="18"/>
      <c r="V753" s="19" t="s">
        <v>29</v>
      </c>
      <c r="W753" s="19"/>
      <c r="X753" s="19"/>
      <c r="Y753" s="20"/>
      <c r="Z753" s="19"/>
      <c r="AA753" s="18" t="str">
        <f aca="false">IF(OR(V753="Aprobada"),R753,IF(AND(OR(V753="Aprobada con ajuste",V753="Rechazada"),W753&lt;&gt;""),W753,""))</f>
        <v/>
      </c>
    </row>
    <row r="754" customFormat="false" ht="85.05" hidden="false" customHeight="false" outlineLevel="0" collapsed="false">
      <c r="A754" s="18" t="s">
        <v>3367</v>
      </c>
      <c r="B754" s="18" t="s">
        <v>60</v>
      </c>
      <c r="C754" s="18" t="s">
        <v>61</v>
      </c>
      <c r="D754" s="18" t="s">
        <v>3356</v>
      </c>
      <c r="E754" s="18" t="n">
        <v>0</v>
      </c>
      <c r="F754" s="18" t="s">
        <v>3368</v>
      </c>
      <c r="G754" s="18" t="s">
        <v>1509</v>
      </c>
      <c r="H754" s="18" t="s">
        <v>117</v>
      </c>
      <c r="I754" s="18" t="s">
        <v>140</v>
      </c>
      <c r="J754" s="18"/>
      <c r="K754" s="18"/>
      <c r="L754" s="18" t="s">
        <v>109</v>
      </c>
      <c r="M754" s="18" t="s">
        <v>109</v>
      </c>
      <c r="N754" s="18"/>
      <c r="O754" s="18"/>
      <c r="P754" s="18" t="s">
        <v>3369</v>
      </c>
      <c r="Q754" s="18" t="s">
        <v>123</v>
      </c>
      <c r="R754" s="18" t="s">
        <v>3370</v>
      </c>
      <c r="S754" s="18" t="s">
        <v>125</v>
      </c>
      <c r="T754" s="18" t="s">
        <v>3371</v>
      </c>
      <c r="U754" s="18" t="s">
        <v>1646</v>
      </c>
      <c r="V754" s="19" t="s">
        <v>29</v>
      </c>
      <c r="W754" s="19"/>
      <c r="X754" s="19"/>
      <c r="Y754" s="20"/>
      <c r="Z754" s="19"/>
      <c r="AA754" s="18" t="str">
        <f aca="false">IF(OR(V754="Aprobada"),R754,IF(AND(OR(V754="Aprobada con ajuste",V754="Rechazada"),W754&lt;&gt;""),W754,""))</f>
        <v/>
      </c>
    </row>
    <row r="755" customFormat="false" ht="95.5" hidden="false" customHeight="false" outlineLevel="0" collapsed="false">
      <c r="A755" s="18" t="s">
        <v>3372</v>
      </c>
      <c r="B755" s="18" t="s">
        <v>60</v>
      </c>
      <c r="C755" s="18" t="s">
        <v>61</v>
      </c>
      <c r="D755" s="18" t="s">
        <v>3356</v>
      </c>
      <c r="E755" s="18" t="n">
        <v>0</v>
      </c>
      <c r="F755" s="18" t="s">
        <v>2731</v>
      </c>
      <c r="G755" s="18" t="s">
        <v>151</v>
      </c>
      <c r="H755" s="18" t="s">
        <v>117</v>
      </c>
      <c r="I755" s="18"/>
      <c r="J755" s="18"/>
      <c r="K755" s="18"/>
      <c r="L755" s="18" t="s">
        <v>109</v>
      </c>
      <c r="M755" s="18" t="s">
        <v>109</v>
      </c>
      <c r="N755" s="18"/>
      <c r="O755" s="18"/>
      <c r="P755" s="18" t="s">
        <v>3373</v>
      </c>
      <c r="Q755" s="18" t="s">
        <v>123</v>
      </c>
      <c r="R755" s="18" t="s">
        <v>3374</v>
      </c>
      <c r="S755" s="18" t="s">
        <v>125</v>
      </c>
      <c r="T755" s="18" t="s">
        <v>3375</v>
      </c>
      <c r="U755" s="18" t="s">
        <v>3376</v>
      </c>
      <c r="V755" s="19" t="s">
        <v>29</v>
      </c>
      <c r="W755" s="19"/>
      <c r="X755" s="19"/>
      <c r="Y755" s="20"/>
      <c r="Z755" s="19"/>
      <c r="AA755" s="18" t="str">
        <f aca="false">IF(OR(V755="Aprobada"),R755,IF(AND(OR(V755="Aprobada con ajuste",V755="Rechazada"),W755&lt;&gt;""),W755,""))</f>
        <v/>
      </c>
    </row>
    <row r="756" customFormat="false" ht="95.5" hidden="false" customHeight="false" outlineLevel="0" collapsed="false">
      <c r="A756" s="18" t="s">
        <v>3377</v>
      </c>
      <c r="B756" s="18" t="s">
        <v>60</v>
      </c>
      <c r="C756" s="18" t="s">
        <v>61</v>
      </c>
      <c r="D756" s="18" t="s">
        <v>3356</v>
      </c>
      <c r="E756" s="18" t="n">
        <v>0</v>
      </c>
      <c r="F756" s="18" t="s">
        <v>3378</v>
      </c>
      <c r="G756" s="18" t="s">
        <v>394</v>
      </c>
      <c r="H756" s="18" t="s">
        <v>117</v>
      </c>
      <c r="I756" s="18" t="s">
        <v>140</v>
      </c>
      <c r="J756" s="18"/>
      <c r="K756" s="18"/>
      <c r="L756" s="18" t="s">
        <v>109</v>
      </c>
      <c r="M756" s="18" t="s">
        <v>109</v>
      </c>
      <c r="N756" s="18"/>
      <c r="O756" s="18"/>
      <c r="P756" s="18" t="s">
        <v>3379</v>
      </c>
      <c r="Q756" s="18" t="s">
        <v>123</v>
      </c>
      <c r="R756" s="18" t="s">
        <v>3380</v>
      </c>
      <c r="S756" s="18" t="s">
        <v>125</v>
      </c>
      <c r="T756" s="18" t="s">
        <v>3381</v>
      </c>
      <c r="U756" s="18"/>
      <c r="V756" s="19" t="s">
        <v>29</v>
      </c>
      <c r="W756" s="19"/>
      <c r="X756" s="19"/>
      <c r="Y756" s="20"/>
      <c r="Z756" s="19"/>
      <c r="AA756" s="18" t="str">
        <f aca="false">IF(OR(V756="Aprobada"),R756,IF(AND(OR(V756="Aprobada con ajuste",V756="Rechazada"),W756&lt;&gt;""),W756,""))</f>
        <v/>
      </c>
    </row>
    <row r="757" customFormat="false" ht="43.25" hidden="false" customHeight="false" outlineLevel="0" collapsed="false">
      <c r="A757" s="18" t="s">
        <v>3382</v>
      </c>
      <c r="B757" s="18" t="s">
        <v>60</v>
      </c>
      <c r="C757" s="18" t="s">
        <v>61</v>
      </c>
      <c r="D757" s="18" t="s">
        <v>3356</v>
      </c>
      <c r="E757" s="18" t="n">
        <v>0</v>
      </c>
      <c r="F757" s="18" t="s">
        <v>3383</v>
      </c>
      <c r="G757" s="18" t="s">
        <v>394</v>
      </c>
      <c r="H757" s="18" t="s">
        <v>117</v>
      </c>
      <c r="I757" s="18" t="s">
        <v>140</v>
      </c>
      <c r="J757" s="18"/>
      <c r="K757" s="18"/>
      <c r="L757" s="18" t="s">
        <v>109</v>
      </c>
      <c r="M757" s="18" t="s">
        <v>109</v>
      </c>
      <c r="N757" s="18"/>
      <c r="O757" s="18"/>
      <c r="P757" s="18" t="s">
        <v>3384</v>
      </c>
      <c r="Q757" s="18" t="s">
        <v>134</v>
      </c>
      <c r="R757" s="18" t="s">
        <v>3385</v>
      </c>
      <c r="S757" s="18" t="s">
        <v>125</v>
      </c>
      <c r="T757" s="18" t="s">
        <v>3386</v>
      </c>
      <c r="U757" s="18"/>
      <c r="V757" s="19" t="s">
        <v>29</v>
      </c>
      <c r="W757" s="19"/>
      <c r="X757" s="19"/>
      <c r="Y757" s="20"/>
      <c r="Z757" s="19"/>
      <c r="AA757" s="18" t="str">
        <f aca="false">IF(OR(V757="Aprobada"),R757,IF(AND(OR(V757="Aprobada con ajuste",V757="Rechazada"),W757&lt;&gt;""),W757,""))</f>
        <v/>
      </c>
    </row>
    <row r="758" customFormat="false" ht="22.35" hidden="false" customHeight="false" outlineLevel="0" collapsed="false">
      <c r="A758" s="18" t="s">
        <v>3387</v>
      </c>
      <c r="B758" s="18" t="s">
        <v>60</v>
      </c>
      <c r="C758" s="18" t="s">
        <v>61</v>
      </c>
      <c r="D758" s="18" t="s">
        <v>3356</v>
      </c>
      <c r="E758" s="18" t="n">
        <v>0</v>
      </c>
      <c r="F758" s="18" t="s">
        <v>3388</v>
      </c>
      <c r="G758" s="18" t="s">
        <v>459</v>
      </c>
      <c r="H758" s="18" t="s">
        <v>117</v>
      </c>
      <c r="I758" s="18"/>
      <c r="J758" s="18"/>
      <c r="K758" s="18"/>
      <c r="L758" s="18" t="s">
        <v>109</v>
      </c>
      <c r="M758" s="18" t="s">
        <v>109</v>
      </c>
      <c r="N758" s="18"/>
      <c r="O758" s="18"/>
      <c r="P758" s="18" t="s">
        <v>3389</v>
      </c>
      <c r="Q758" s="18" t="s">
        <v>134</v>
      </c>
      <c r="R758" s="18" t="s">
        <v>3390</v>
      </c>
      <c r="S758" s="18" t="s">
        <v>112</v>
      </c>
      <c r="T758" s="18" t="s">
        <v>3315</v>
      </c>
      <c r="U758" s="18" t="s">
        <v>2774</v>
      </c>
      <c r="V758" s="19" t="s">
        <v>29</v>
      </c>
      <c r="W758" s="19"/>
      <c r="X758" s="19"/>
      <c r="Y758" s="20"/>
      <c r="Z758" s="19"/>
      <c r="AA758" s="18" t="str">
        <f aca="false">IF(OR(V758="Aprobada"),R758,IF(AND(OR(V758="Aprobada con ajuste",V758="Rechazada"),W758&lt;&gt;""),W758,""))</f>
        <v/>
      </c>
    </row>
    <row r="759" customFormat="false" ht="22.35" hidden="false" customHeight="false" outlineLevel="0" collapsed="false">
      <c r="A759" s="18" t="s">
        <v>3391</v>
      </c>
      <c r="B759" s="18" t="s">
        <v>60</v>
      </c>
      <c r="C759" s="18" t="s">
        <v>61</v>
      </c>
      <c r="D759" s="18" t="s">
        <v>3356</v>
      </c>
      <c r="E759" s="18" t="n">
        <v>0</v>
      </c>
      <c r="F759" s="18" t="s">
        <v>2137</v>
      </c>
      <c r="G759" s="18" t="s">
        <v>184</v>
      </c>
      <c r="H759" s="18" t="s">
        <v>117</v>
      </c>
      <c r="I759" s="18"/>
      <c r="J759" s="18"/>
      <c r="K759" s="18"/>
      <c r="L759" s="18" t="s">
        <v>109</v>
      </c>
      <c r="M759" s="18" t="s">
        <v>109</v>
      </c>
      <c r="N759" s="18"/>
      <c r="O759" s="18"/>
      <c r="P759" s="18" t="s">
        <v>3392</v>
      </c>
      <c r="Q759" s="18" t="s">
        <v>110</v>
      </c>
      <c r="R759" s="18" t="s">
        <v>2010</v>
      </c>
      <c r="S759" s="18" t="s">
        <v>112</v>
      </c>
      <c r="T759" s="18" t="s">
        <v>113</v>
      </c>
      <c r="U759" s="18"/>
      <c r="V759" s="19" t="s">
        <v>29</v>
      </c>
      <c r="W759" s="19"/>
      <c r="X759" s="19"/>
      <c r="Y759" s="20"/>
      <c r="Z759" s="19"/>
      <c r="AA759" s="18" t="str">
        <f aca="false">IF(OR(V759="Aprobada"),R759,IF(AND(OR(V759="Aprobada con ajuste",V759="Rechazada"),W759&lt;&gt;""),W759,""))</f>
        <v/>
      </c>
    </row>
    <row r="760" customFormat="false" ht="22.35" hidden="false" customHeight="false" outlineLevel="0" collapsed="false">
      <c r="A760" s="18" t="s">
        <v>3393</v>
      </c>
      <c r="B760" s="18" t="s">
        <v>60</v>
      </c>
      <c r="C760" s="18" t="s">
        <v>61</v>
      </c>
      <c r="D760" s="18" t="s">
        <v>3356</v>
      </c>
      <c r="E760" s="18" t="n">
        <v>0</v>
      </c>
      <c r="F760" s="18" t="s">
        <v>2142</v>
      </c>
      <c r="G760" s="18" t="s">
        <v>459</v>
      </c>
      <c r="H760" s="18" t="s">
        <v>117</v>
      </c>
      <c r="I760" s="18"/>
      <c r="J760" s="18"/>
      <c r="K760" s="18"/>
      <c r="L760" s="18" t="s">
        <v>109</v>
      </c>
      <c r="M760" s="18" t="s">
        <v>109</v>
      </c>
      <c r="N760" s="18"/>
      <c r="O760" s="18"/>
      <c r="P760" s="18" t="s">
        <v>3394</v>
      </c>
      <c r="Q760" s="18" t="s">
        <v>110</v>
      </c>
      <c r="R760" s="18" t="s">
        <v>1546</v>
      </c>
      <c r="S760" s="18" t="s">
        <v>112</v>
      </c>
      <c r="T760" s="18" t="s">
        <v>113</v>
      </c>
      <c r="U760" s="18"/>
      <c r="V760" s="19" t="s">
        <v>29</v>
      </c>
      <c r="W760" s="19"/>
      <c r="X760" s="19"/>
      <c r="Y760" s="20"/>
      <c r="Z760" s="19"/>
      <c r="AA760" s="18" t="str">
        <f aca="false">IF(OR(V760="Aprobada"),R760,IF(AND(OR(V760="Aprobada con ajuste",V760="Rechazada"),W760&lt;&gt;""),W760,""))</f>
        <v/>
      </c>
    </row>
    <row r="761" customFormat="false" ht="32.8" hidden="false" customHeight="false" outlineLevel="0" collapsed="false">
      <c r="A761" s="18" t="s">
        <v>3395</v>
      </c>
      <c r="B761" s="18" t="s">
        <v>60</v>
      </c>
      <c r="C761" s="18" t="s">
        <v>61</v>
      </c>
      <c r="D761" s="18" t="s">
        <v>3356</v>
      </c>
      <c r="E761" s="18" t="n">
        <v>0</v>
      </c>
      <c r="F761" s="18" t="s">
        <v>1548</v>
      </c>
      <c r="G761" s="18" t="s">
        <v>116</v>
      </c>
      <c r="H761" s="18" t="s">
        <v>117</v>
      </c>
      <c r="I761" s="18"/>
      <c r="J761" s="18"/>
      <c r="K761" s="18"/>
      <c r="L761" s="18" t="s">
        <v>109</v>
      </c>
      <c r="M761" s="18" t="s">
        <v>109</v>
      </c>
      <c r="N761" s="18"/>
      <c r="O761" s="18"/>
      <c r="P761" s="18" t="s">
        <v>3396</v>
      </c>
      <c r="Q761" s="18" t="s">
        <v>110</v>
      </c>
      <c r="R761" s="18" t="s">
        <v>1550</v>
      </c>
      <c r="S761" s="18" t="s">
        <v>112</v>
      </c>
      <c r="T761" s="18" t="s">
        <v>113</v>
      </c>
      <c r="U761" s="18"/>
      <c r="V761" s="19" t="s">
        <v>29</v>
      </c>
      <c r="W761" s="19"/>
      <c r="X761" s="19"/>
      <c r="Y761" s="20"/>
      <c r="Z761" s="19"/>
      <c r="AA761" s="18" t="str">
        <f aca="false">IF(OR(V761="Aprobada"),R761,IF(AND(OR(V761="Aprobada con ajuste",V761="Rechazada"),W761&lt;&gt;""),W761,""))</f>
        <v/>
      </c>
    </row>
    <row r="762" customFormat="false" ht="137.3" hidden="false" customHeight="false" outlineLevel="0" collapsed="false">
      <c r="A762" s="18" t="s">
        <v>3397</v>
      </c>
      <c r="B762" s="18" t="s">
        <v>60</v>
      </c>
      <c r="C762" s="18" t="s">
        <v>61</v>
      </c>
      <c r="D762" s="18" t="s">
        <v>3398</v>
      </c>
      <c r="E762" s="18" t="n">
        <v>2</v>
      </c>
      <c r="F762" s="18" t="s">
        <v>3399</v>
      </c>
      <c r="G762" s="18" t="s">
        <v>3400</v>
      </c>
      <c r="H762" s="18" t="s">
        <v>117</v>
      </c>
      <c r="I762" s="18" t="s">
        <v>140</v>
      </c>
      <c r="J762" s="18"/>
      <c r="K762" s="18"/>
      <c r="L762" s="18" t="s">
        <v>109</v>
      </c>
      <c r="M762" s="18" t="s">
        <v>109</v>
      </c>
      <c r="N762" s="18"/>
      <c r="O762" s="18"/>
      <c r="P762" s="18" t="s">
        <v>3401</v>
      </c>
      <c r="Q762" s="18" t="s">
        <v>123</v>
      </c>
      <c r="R762" s="18" t="s">
        <v>3402</v>
      </c>
      <c r="S762" s="18" t="s">
        <v>125</v>
      </c>
      <c r="T762" s="18" t="s">
        <v>3403</v>
      </c>
      <c r="U762" s="18"/>
      <c r="V762" s="19" t="s">
        <v>29</v>
      </c>
      <c r="W762" s="19"/>
      <c r="X762" s="19"/>
      <c r="Y762" s="20"/>
      <c r="Z762" s="19"/>
      <c r="AA762" s="18" t="str">
        <f aca="false">IF(OR(V762="Aprobada"),R762,IF(AND(OR(V762="Aprobada con ajuste",V762="Rechazada"),W762&lt;&gt;""),W762,""))</f>
        <v/>
      </c>
    </row>
    <row r="763" customFormat="false" ht="53.7" hidden="false" customHeight="false" outlineLevel="0" collapsed="false">
      <c r="A763" s="18" t="s">
        <v>3404</v>
      </c>
      <c r="B763" s="18" t="s">
        <v>60</v>
      </c>
      <c r="C763" s="18" t="s">
        <v>61</v>
      </c>
      <c r="D763" s="18" t="s">
        <v>3398</v>
      </c>
      <c r="E763" s="18" t="n">
        <v>2</v>
      </c>
      <c r="F763" s="18" t="s">
        <v>3405</v>
      </c>
      <c r="G763" s="18" t="s">
        <v>3400</v>
      </c>
      <c r="H763" s="18" t="s">
        <v>117</v>
      </c>
      <c r="I763" s="18" t="s">
        <v>140</v>
      </c>
      <c r="J763" s="18"/>
      <c r="K763" s="18"/>
      <c r="L763" s="18" t="s">
        <v>109</v>
      </c>
      <c r="M763" s="18" t="s">
        <v>109</v>
      </c>
      <c r="N763" s="18"/>
      <c r="O763" s="18"/>
      <c r="P763" s="18" t="s">
        <v>3406</v>
      </c>
      <c r="Q763" s="18" t="s">
        <v>134</v>
      </c>
      <c r="R763" s="18" t="s">
        <v>3407</v>
      </c>
      <c r="S763" s="18" t="s">
        <v>125</v>
      </c>
      <c r="T763" s="18" t="s">
        <v>3408</v>
      </c>
      <c r="U763" s="18"/>
      <c r="V763" s="19" t="s">
        <v>29</v>
      </c>
      <c r="W763" s="19"/>
      <c r="X763" s="19"/>
      <c r="Y763" s="20"/>
      <c r="Z763" s="19"/>
      <c r="AA763" s="18" t="str">
        <f aca="false">IF(OR(V763="Aprobada"),R763,IF(AND(OR(V763="Aprobada con ajuste",V763="Rechazada"),W763&lt;&gt;""),W763,""))</f>
        <v/>
      </c>
    </row>
    <row r="764" customFormat="false" ht="137.3" hidden="false" customHeight="false" outlineLevel="0" collapsed="false">
      <c r="A764" s="18" t="s">
        <v>3409</v>
      </c>
      <c r="B764" s="18" t="s">
        <v>60</v>
      </c>
      <c r="C764" s="18" t="s">
        <v>61</v>
      </c>
      <c r="D764" s="18" t="s">
        <v>3398</v>
      </c>
      <c r="E764" s="18" t="n">
        <v>2</v>
      </c>
      <c r="F764" s="18" t="s">
        <v>3410</v>
      </c>
      <c r="G764" s="18" t="s">
        <v>1509</v>
      </c>
      <c r="H764" s="18" t="s">
        <v>117</v>
      </c>
      <c r="I764" s="18" t="s">
        <v>140</v>
      </c>
      <c r="J764" s="18"/>
      <c r="K764" s="18"/>
      <c r="L764" s="18" t="s">
        <v>109</v>
      </c>
      <c r="M764" s="18" t="s">
        <v>109</v>
      </c>
      <c r="N764" s="18"/>
      <c r="O764" s="18"/>
      <c r="P764" s="18" t="s">
        <v>3411</v>
      </c>
      <c r="Q764" s="18" t="s">
        <v>123</v>
      </c>
      <c r="R764" s="18" t="s">
        <v>3412</v>
      </c>
      <c r="S764" s="18" t="s">
        <v>125</v>
      </c>
      <c r="T764" s="18" t="s">
        <v>3413</v>
      </c>
      <c r="U764" s="18" t="s">
        <v>1646</v>
      </c>
      <c r="V764" s="19" t="s">
        <v>29</v>
      </c>
      <c r="W764" s="19"/>
      <c r="X764" s="19"/>
      <c r="Y764" s="20"/>
      <c r="Z764" s="19"/>
      <c r="AA764" s="18" t="str">
        <f aca="false">IF(OR(V764="Aprobada"),R764,IF(AND(OR(V764="Aprobada con ajuste",V764="Rechazada"),W764&lt;&gt;""),W764,""))</f>
        <v/>
      </c>
    </row>
    <row r="765" customFormat="false" ht="105.95" hidden="false" customHeight="false" outlineLevel="0" collapsed="false">
      <c r="A765" s="18" t="s">
        <v>3414</v>
      </c>
      <c r="B765" s="18" t="s">
        <v>60</v>
      </c>
      <c r="C765" s="18" t="s">
        <v>61</v>
      </c>
      <c r="D765" s="18" t="s">
        <v>3398</v>
      </c>
      <c r="E765" s="18" t="n">
        <v>2</v>
      </c>
      <c r="F765" s="18" t="s">
        <v>1003</v>
      </c>
      <c r="G765" s="18" t="s">
        <v>116</v>
      </c>
      <c r="H765" s="18" t="s">
        <v>109</v>
      </c>
      <c r="I765" s="18"/>
      <c r="J765" s="18"/>
      <c r="K765" s="18"/>
      <c r="L765" s="18" t="s">
        <v>109</v>
      </c>
      <c r="M765" s="18" t="s">
        <v>109</v>
      </c>
      <c r="N765" s="18"/>
      <c r="O765" s="18"/>
      <c r="P765" s="18" t="s">
        <v>3415</v>
      </c>
      <c r="Q765" s="18" t="s">
        <v>123</v>
      </c>
      <c r="R765" s="18" t="s">
        <v>3416</v>
      </c>
      <c r="S765" s="18" t="s">
        <v>125</v>
      </c>
      <c r="T765" s="18" t="s">
        <v>3417</v>
      </c>
      <c r="U765" s="18"/>
      <c r="V765" s="19" t="s">
        <v>29</v>
      </c>
      <c r="W765" s="19"/>
      <c r="X765" s="19"/>
      <c r="Y765" s="20"/>
      <c r="Z765" s="19"/>
      <c r="AA765" s="18" t="str">
        <f aca="false">IF(OR(V765="Aprobada"),R765,IF(AND(OR(V765="Aprobada con ajuste",V765="Rechazada"),W765&lt;&gt;""),W765,""))</f>
        <v/>
      </c>
    </row>
    <row r="766" customFormat="false" ht="22.35" hidden="false" customHeight="false" outlineLevel="0" collapsed="false">
      <c r="A766" s="18" t="s">
        <v>3418</v>
      </c>
      <c r="B766" s="18" t="s">
        <v>60</v>
      </c>
      <c r="C766" s="18" t="s">
        <v>61</v>
      </c>
      <c r="D766" s="18" t="s">
        <v>3398</v>
      </c>
      <c r="E766" s="18" t="n">
        <v>2</v>
      </c>
      <c r="F766" s="18" t="s">
        <v>107</v>
      </c>
      <c r="G766" s="18" t="s">
        <v>151</v>
      </c>
      <c r="H766" s="18" t="s">
        <v>109</v>
      </c>
      <c r="I766" s="18" t="s">
        <v>140</v>
      </c>
      <c r="J766" s="18" t="s">
        <v>3419</v>
      </c>
      <c r="K766" s="18"/>
      <c r="L766" s="18" t="s">
        <v>117</v>
      </c>
      <c r="M766" s="18" t="s">
        <v>109</v>
      </c>
      <c r="N766" s="18"/>
      <c r="O766" s="18"/>
      <c r="P766" s="18" t="s">
        <v>3420</v>
      </c>
      <c r="Q766" s="18" t="s">
        <v>110</v>
      </c>
      <c r="R766" s="18" t="s">
        <v>3421</v>
      </c>
      <c r="S766" s="18" t="s">
        <v>112</v>
      </c>
      <c r="T766" s="18" t="s">
        <v>113</v>
      </c>
      <c r="U766" s="18"/>
      <c r="V766" s="19" t="s">
        <v>29</v>
      </c>
      <c r="W766" s="19"/>
      <c r="X766" s="19"/>
      <c r="Y766" s="20"/>
      <c r="Z766" s="19"/>
      <c r="AA766" s="18" t="str">
        <f aca="false">IF(OR(V766="Aprobada"),R766,IF(AND(OR(V766="Aprobada con ajuste",V766="Rechazada"),W766&lt;&gt;""),W766,""))</f>
        <v/>
      </c>
    </row>
    <row r="767" customFormat="false" ht="22.35" hidden="false" customHeight="false" outlineLevel="0" collapsed="false">
      <c r="A767" s="18" t="s">
        <v>3422</v>
      </c>
      <c r="B767" s="18" t="s">
        <v>60</v>
      </c>
      <c r="C767" s="18" t="s">
        <v>61</v>
      </c>
      <c r="D767" s="18" t="s">
        <v>3398</v>
      </c>
      <c r="E767" s="18" t="n">
        <v>2</v>
      </c>
      <c r="F767" s="18" t="s">
        <v>1379</v>
      </c>
      <c r="G767" s="18" t="s">
        <v>459</v>
      </c>
      <c r="H767" s="18" t="s">
        <v>117</v>
      </c>
      <c r="I767" s="18"/>
      <c r="J767" s="18"/>
      <c r="K767" s="18"/>
      <c r="L767" s="18" t="s">
        <v>109</v>
      </c>
      <c r="M767" s="18" t="s">
        <v>109</v>
      </c>
      <c r="N767" s="18"/>
      <c r="O767" s="18"/>
      <c r="P767" s="18" t="s">
        <v>3423</v>
      </c>
      <c r="Q767" s="18" t="s">
        <v>110</v>
      </c>
      <c r="R767" s="18" t="s">
        <v>1381</v>
      </c>
      <c r="S767" s="18" t="s">
        <v>112</v>
      </c>
      <c r="T767" s="18" t="s">
        <v>113</v>
      </c>
      <c r="U767" s="18"/>
      <c r="V767" s="19" t="s">
        <v>29</v>
      </c>
      <c r="W767" s="19"/>
      <c r="X767" s="19"/>
      <c r="Y767" s="20"/>
      <c r="Z767" s="19"/>
      <c r="AA767" s="18" t="str">
        <f aca="false">IF(OR(V767="Aprobada"),R767,IF(AND(OR(V767="Aprobada con ajuste",V767="Rechazada"),W767&lt;&gt;""),W767,""))</f>
        <v/>
      </c>
    </row>
    <row r="768" customFormat="false" ht="22.35" hidden="false" customHeight="false" outlineLevel="0" collapsed="false">
      <c r="A768" s="18" t="s">
        <v>3424</v>
      </c>
      <c r="B768" s="18" t="s">
        <v>60</v>
      </c>
      <c r="C768" s="18" t="s">
        <v>61</v>
      </c>
      <c r="D768" s="18" t="s">
        <v>3398</v>
      </c>
      <c r="E768" s="18" t="n">
        <v>2</v>
      </c>
      <c r="F768" s="18" t="s">
        <v>3271</v>
      </c>
      <c r="G768" s="18" t="s">
        <v>184</v>
      </c>
      <c r="H768" s="18" t="s">
        <v>109</v>
      </c>
      <c r="I768" s="18"/>
      <c r="J768" s="18"/>
      <c r="K768" s="18"/>
      <c r="L768" s="18" t="s">
        <v>109</v>
      </c>
      <c r="M768" s="18" t="s">
        <v>109</v>
      </c>
      <c r="N768" s="18"/>
      <c r="O768" s="18"/>
      <c r="P768" s="18" t="s">
        <v>3425</v>
      </c>
      <c r="Q768" s="18" t="s">
        <v>110</v>
      </c>
      <c r="R768" s="18" t="s">
        <v>185</v>
      </c>
      <c r="S768" s="18" t="s">
        <v>112</v>
      </c>
      <c r="T768" s="18" t="s">
        <v>113</v>
      </c>
      <c r="U768" s="18"/>
      <c r="V768" s="19" t="s">
        <v>29</v>
      </c>
      <c r="W768" s="19"/>
      <c r="X768" s="19"/>
      <c r="Y768" s="20"/>
      <c r="Z768" s="19"/>
      <c r="AA768" s="18" t="str">
        <f aca="false">IF(OR(V768="Aprobada"),R768,IF(AND(OR(V768="Aprobada con ajuste",V768="Rechazada"),W768&lt;&gt;""),W768,""))</f>
        <v/>
      </c>
    </row>
    <row r="769" customFormat="false" ht="32.8" hidden="false" customHeight="false" outlineLevel="0" collapsed="false">
      <c r="A769" s="18" t="s">
        <v>3426</v>
      </c>
      <c r="B769" s="18" t="s">
        <v>60</v>
      </c>
      <c r="C769" s="18" t="s">
        <v>61</v>
      </c>
      <c r="D769" s="18" t="s">
        <v>3398</v>
      </c>
      <c r="E769" s="18" t="n">
        <v>2</v>
      </c>
      <c r="F769" s="18" t="s">
        <v>3427</v>
      </c>
      <c r="G769" s="18" t="s">
        <v>184</v>
      </c>
      <c r="H769" s="18" t="s">
        <v>117</v>
      </c>
      <c r="I769" s="18" t="s">
        <v>140</v>
      </c>
      <c r="J769" s="18"/>
      <c r="K769" s="18"/>
      <c r="L769" s="18" t="s">
        <v>109</v>
      </c>
      <c r="M769" s="18" t="s">
        <v>109</v>
      </c>
      <c r="N769" s="18"/>
      <c r="O769" s="18"/>
      <c r="P769" s="18" t="s">
        <v>3428</v>
      </c>
      <c r="Q769" s="18" t="s">
        <v>134</v>
      </c>
      <c r="R769" s="18" t="s">
        <v>3429</v>
      </c>
      <c r="S769" s="18" t="s">
        <v>125</v>
      </c>
      <c r="T769" s="18" t="s">
        <v>3430</v>
      </c>
      <c r="U769" s="18"/>
      <c r="V769" s="19" t="s">
        <v>29</v>
      </c>
      <c r="W769" s="19"/>
      <c r="X769" s="19"/>
      <c r="Y769" s="20"/>
      <c r="Z769" s="19"/>
      <c r="AA769" s="18" t="str">
        <f aca="false">IF(OR(V769="Aprobada"),R769,IF(AND(OR(V769="Aprobada con ajuste",V769="Rechazada"),W769&lt;&gt;""),W769,""))</f>
        <v/>
      </c>
    </row>
    <row r="770" customFormat="false" ht="22.35" hidden="false" customHeight="false" outlineLevel="0" collapsed="false">
      <c r="A770" s="18" t="s">
        <v>3431</v>
      </c>
      <c r="B770" s="18" t="s">
        <v>60</v>
      </c>
      <c r="C770" s="18" t="s">
        <v>61</v>
      </c>
      <c r="D770" s="18" t="s">
        <v>3398</v>
      </c>
      <c r="E770" s="18" t="n">
        <v>2</v>
      </c>
      <c r="F770" s="18" t="s">
        <v>3432</v>
      </c>
      <c r="G770" s="18" t="s">
        <v>459</v>
      </c>
      <c r="H770" s="18" t="s">
        <v>117</v>
      </c>
      <c r="I770" s="18"/>
      <c r="J770" s="18"/>
      <c r="K770" s="18"/>
      <c r="L770" s="18" t="s">
        <v>109</v>
      </c>
      <c r="M770" s="18" t="s">
        <v>109</v>
      </c>
      <c r="N770" s="18"/>
      <c r="O770" s="18"/>
      <c r="P770" s="18" t="s">
        <v>3433</v>
      </c>
      <c r="Q770" s="18" t="s">
        <v>134</v>
      </c>
      <c r="R770" s="18" t="s">
        <v>3434</v>
      </c>
      <c r="S770" s="18" t="s">
        <v>112</v>
      </c>
      <c r="T770" s="18" t="s">
        <v>3435</v>
      </c>
      <c r="U770" s="18" t="s">
        <v>2774</v>
      </c>
      <c r="V770" s="19" t="s">
        <v>29</v>
      </c>
      <c r="W770" s="19"/>
      <c r="X770" s="19"/>
      <c r="Y770" s="20"/>
      <c r="Z770" s="19"/>
      <c r="AA770" s="18" t="str">
        <f aca="false">IF(OR(V770="Aprobada"),R770,IF(AND(OR(V770="Aprobada con ajuste",V770="Rechazada"),W770&lt;&gt;""),W770,""))</f>
        <v/>
      </c>
    </row>
    <row r="771" customFormat="false" ht="22.35" hidden="false" customHeight="false" outlineLevel="0" collapsed="false">
      <c r="A771" s="18" t="s">
        <v>3436</v>
      </c>
      <c r="B771" s="18" t="s">
        <v>60</v>
      </c>
      <c r="C771" s="18" t="s">
        <v>61</v>
      </c>
      <c r="D771" s="18" t="s">
        <v>3398</v>
      </c>
      <c r="E771" s="18" t="n">
        <v>2</v>
      </c>
      <c r="F771" s="18" t="s">
        <v>3437</v>
      </c>
      <c r="G771" s="18" t="s">
        <v>116</v>
      </c>
      <c r="H771" s="18" t="s">
        <v>117</v>
      </c>
      <c r="I771" s="18" t="s">
        <v>140</v>
      </c>
      <c r="J771" s="18"/>
      <c r="K771" s="18"/>
      <c r="L771" s="18" t="s">
        <v>109</v>
      </c>
      <c r="M771" s="18" t="s">
        <v>109</v>
      </c>
      <c r="N771" s="18"/>
      <c r="O771" s="18"/>
      <c r="P771" s="18" t="s">
        <v>3438</v>
      </c>
      <c r="Q771" s="18" t="s">
        <v>110</v>
      </c>
      <c r="R771" s="18" t="s">
        <v>3439</v>
      </c>
      <c r="S771" s="18" t="s">
        <v>112</v>
      </c>
      <c r="T771" s="18" t="s">
        <v>113</v>
      </c>
      <c r="U771" s="18"/>
      <c r="V771" s="19" t="s">
        <v>29</v>
      </c>
      <c r="W771" s="19"/>
      <c r="X771" s="19"/>
      <c r="Y771" s="20"/>
      <c r="Z771" s="19"/>
      <c r="AA771" s="18" t="str">
        <f aca="false">IF(OR(V771="Aprobada"),R771,IF(AND(OR(V771="Aprobada con ajuste",V771="Rechazada"),W771&lt;&gt;""),W771,""))</f>
        <v/>
      </c>
    </row>
    <row r="772" customFormat="false" ht="53.7" hidden="false" customHeight="false" outlineLevel="0" collapsed="false">
      <c r="A772" s="18" t="s">
        <v>3440</v>
      </c>
      <c r="B772" s="18" t="s">
        <v>60</v>
      </c>
      <c r="C772" s="18" t="s">
        <v>61</v>
      </c>
      <c r="D772" s="18" t="s">
        <v>3441</v>
      </c>
      <c r="E772" s="18" t="n">
        <v>12</v>
      </c>
      <c r="F772" s="18" t="s">
        <v>3442</v>
      </c>
      <c r="G772" s="18" t="s">
        <v>151</v>
      </c>
      <c r="H772" s="18" t="s">
        <v>109</v>
      </c>
      <c r="I772" s="18" t="s">
        <v>140</v>
      </c>
      <c r="J772" s="18" t="s">
        <v>3443</v>
      </c>
      <c r="K772" s="18"/>
      <c r="L772" s="18" t="s">
        <v>117</v>
      </c>
      <c r="M772" s="18" t="s">
        <v>109</v>
      </c>
      <c r="N772" s="18"/>
      <c r="O772" s="18"/>
      <c r="P772" s="18" t="s">
        <v>3444</v>
      </c>
      <c r="Q772" s="18" t="s">
        <v>134</v>
      </c>
      <c r="R772" s="18" t="s">
        <v>3445</v>
      </c>
      <c r="S772" s="18" t="s">
        <v>125</v>
      </c>
      <c r="T772" s="18" t="s">
        <v>246</v>
      </c>
      <c r="U772" s="18"/>
      <c r="V772" s="19" t="s">
        <v>29</v>
      </c>
      <c r="W772" s="19"/>
      <c r="X772" s="19"/>
      <c r="Y772" s="20"/>
      <c r="Z772" s="19"/>
      <c r="AA772" s="18" t="str">
        <f aca="false">IF(OR(V772="Aprobada"),R772,IF(AND(OR(V772="Aprobada con ajuste",V772="Rechazada"),W772&lt;&gt;""),W772,""))</f>
        <v/>
      </c>
    </row>
    <row r="773" customFormat="false" ht="64.15" hidden="false" customHeight="false" outlineLevel="0" collapsed="false">
      <c r="A773" s="18" t="s">
        <v>3446</v>
      </c>
      <c r="B773" s="18" t="s">
        <v>60</v>
      </c>
      <c r="C773" s="18" t="s">
        <v>61</v>
      </c>
      <c r="D773" s="18" t="s">
        <v>3441</v>
      </c>
      <c r="E773" s="18" t="n">
        <v>12</v>
      </c>
      <c r="F773" s="18" t="s">
        <v>115</v>
      </c>
      <c r="G773" s="18" t="s">
        <v>116</v>
      </c>
      <c r="H773" s="18" t="s">
        <v>117</v>
      </c>
      <c r="I773" s="18" t="s">
        <v>140</v>
      </c>
      <c r="J773" s="18"/>
      <c r="K773" s="18"/>
      <c r="L773" s="18" t="s">
        <v>109</v>
      </c>
      <c r="M773" s="18" t="s">
        <v>109</v>
      </c>
      <c r="N773" s="18"/>
      <c r="O773" s="18"/>
      <c r="P773" s="18" t="s">
        <v>3447</v>
      </c>
      <c r="Q773" s="18" t="s">
        <v>123</v>
      </c>
      <c r="R773" s="18" t="s">
        <v>3448</v>
      </c>
      <c r="S773" s="18" t="s">
        <v>125</v>
      </c>
      <c r="T773" s="18" t="s">
        <v>3449</v>
      </c>
      <c r="U773" s="18"/>
      <c r="V773" s="19" t="s">
        <v>29</v>
      </c>
      <c r="W773" s="19"/>
      <c r="X773" s="19"/>
      <c r="Y773" s="20"/>
      <c r="Z773" s="19"/>
      <c r="AA773" s="18" t="str">
        <f aca="false">IF(OR(V773="Aprobada"),R773,IF(AND(OR(V773="Aprobada con ajuste",V773="Rechazada"),W773&lt;&gt;""),W773,""))</f>
        <v/>
      </c>
    </row>
    <row r="774" customFormat="false" ht="53.7" hidden="false" customHeight="false" outlineLevel="0" collapsed="false">
      <c r="A774" s="18" t="s">
        <v>3450</v>
      </c>
      <c r="B774" s="18" t="s">
        <v>60</v>
      </c>
      <c r="C774" s="18" t="s">
        <v>61</v>
      </c>
      <c r="D774" s="18" t="s">
        <v>3441</v>
      </c>
      <c r="E774" s="18" t="n">
        <v>12</v>
      </c>
      <c r="F774" s="18" t="s">
        <v>3451</v>
      </c>
      <c r="G774" s="18" t="s">
        <v>139</v>
      </c>
      <c r="H774" s="18" t="s">
        <v>109</v>
      </c>
      <c r="I774" s="18"/>
      <c r="J774" s="18"/>
      <c r="K774" s="18"/>
      <c r="L774" s="18" t="s">
        <v>109</v>
      </c>
      <c r="M774" s="18" t="s">
        <v>109</v>
      </c>
      <c r="N774" s="18"/>
      <c r="O774" s="18"/>
      <c r="P774" s="18" t="s">
        <v>3452</v>
      </c>
      <c r="Q774" s="18" t="s">
        <v>123</v>
      </c>
      <c r="R774" s="18" t="s">
        <v>3453</v>
      </c>
      <c r="S774" s="18" t="s">
        <v>125</v>
      </c>
      <c r="T774" s="18" t="s">
        <v>3454</v>
      </c>
      <c r="U774" s="18"/>
      <c r="V774" s="19" t="s">
        <v>29</v>
      </c>
      <c r="W774" s="19"/>
      <c r="X774" s="19"/>
      <c r="Y774" s="20"/>
      <c r="Z774" s="19"/>
      <c r="AA774" s="18" t="str">
        <f aca="false">IF(OR(V774="Aprobada"),R774,IF(AND(OR(V774="Aprobada con ajuste",V774="Rechazada"),W774&lt;&gt;""),W774,""))</f>
        <v/>
      </c>
    </row>
    <row r="775" customFormat="false" ht="22.35" hidden="false" customHeight="false" outlineLevel="0" collapsed="false">
      <c r="A775" s="18" t="s">
        <v>3455</v>
      </c>
      <c r="B775" s="18" t="s">
        <v>60</v>
      </c>
      <c r="C775" s="18" t="s">
        <v>61</v>
      </c>
      <c r="D775" s="18" t="s">
        <v>3441</v>
      </c>
      <c r="E775" s="18" t="n">
        <v>12</v>
      </c>
      <c r="F775" s="18" t="s">
        <v>952</v>
      </c>
      <c r="G775" s="18" t="s">
        <v>121</v>
      </c>
      <c r="H775" s="18" t="s">
        <v>109</v>
      </c>
      <c r="I775" s="18"/>
      <c r="J775" s="18"/>
      <c r="K775" s="18"/>
      <c r="L775" s="18" t="s">
        <v>109</v>
      </c>
      <c r="M775" s="18" t="s">
        <v>109</v>
      </c>
      <c r="N775" s="18"/>
      <c r="O775" s="18"/>
      <c r="P775" s="18" t="s">
        <v>3456</v>
      </c>
      <c r="Q775" s="18" t="s">
        <v>110</v>
      </c>
      <c r="R775" s="18" t="s">
        <v>1135</v>
      </c>
      <c r="S775" s="18" t="s">
        <v>112</v>
      </c>
      <c r="T775" s="18" t="s">
        <v>113</v>
      </c>
      <c r="U775" s="18"/>
      <c r="V775" s="19" t="s">
        <v>29</v>
      </c>
      <c r="W775" s="19"/>
      <c r="X775" s="19"/>
      <c r="Y775" s="20"/>
      <c r="Z775" s="19"/>
      <c r="AA775" s="18" t="str">
        <f aca="false">IF(OR(V775="Aprobada"),R775,IF(AND(OR(V775="Aprobada con ajuste",V775="Rechazada"),W775&lt;&gt;""),W775,""))</f>
        <v/>
      </c>
    </row>
    <row r="776" customFormat="false" ht="22.35" hidden="false" customHeight="false" outlineLevel="0" collapsed="false">
      <c r="A776" s="18" t="s">
        <v>3457</v>
      </c>
      <c r="B776" s="18" t="s">
        <v>60</v>
      </c>
      <c r="C776" s="18" t="s">
        <v>61</v>
      </c>
      <c r="D776" s="18" t="s">
        <v>3441</v>
      </c>
      <c r="E776" s="18" t="n">
        <v>12</v>
      </c>
      <c r="F776" s="18" t="s">
        <v>3458</v>
      </c>
      <c r="G776" s="18" t="s">
        <v>121</v>
      </c>
      <c r="H776" s="18" t="s">
        <v>117</v>
      </c>
      <c r="I776" s="18"/>
      <c r="J776" s="18"/>
      <c r="K776" s="18"/>
      <c r="L776" s="18" t="s">
        <v>109</v>
      </c>
      <c r="M776" s="18" t="s">
        <v>109</v>
      </c>
      <c r="N776" s="18"/>
      <c r="O776" s="18"/>
      <c r="P776" s="18" t="s">
        <v>3459</v>
      </c>
      <c r="Q776" s="18" t="s">
        <v>134</v>
      </c>
      <c r="R776" s="18" t="s">
        <v>294</v>
      </c>
      <c r="S776" s="18" t="s">
        <v>112</v>
      </c>
      <c r="T776" s="18" t="s">
        <v>3460</v>
      </c>
      <c r="U776" s="18" t="s">
        <v>3461</v>
      </c>
      <c r="V776" s="19" t="s">
        <v>29</v>
      </c>
      <c r="W776" s="19"/>
      <c r="X776" s="19"/>
      <c r="Y776" s="20"/>
      <c r="Z776" s="19"/>
      <c r="AA776" s="18" t="str">
        <f aca="false">IF(OR(V776="Aprobada"),R776,IF(AND(OR(V776="Aprobada con ajuste",V776="Rechazada"),W776&lt;&gt;""),W776,""))</f>
        <v/>
      </c>
    </row>
    <row r="777" customFormat="false" ht="199.95" hidden="false" customHeight="false" outlineLevel="0" collapsed="false">
      <c r="A777" s="18" t="s">
        <v>3462</v>
      </c>
      <c r="B777" s="18" t="s">
        <v>60</v>
      </c>
      <c r="C777" s="18" t="s">
        <v>61</v>
      </c>
      <c r="D777" s="18" t="s">
        <v>3463</v>
      </c>
      <c r="E777" s="18" t="n">
        <v>1</v>
      </c>
      <c r="F777" s="18" t="s">
        <v>150</v>
      </c>
      <c r="G777" s="18" t="s">
        <v>151</v>
      </c>
      <c r="H777" s="18" t="s">
        <v>109</v>
      </c>
      <c r="I777" s="18" t="s">
        <v>140</v>
      </c>
      <c r="J777" s="18" t="s">
        <v>3464</v>
      </c>
      <c r="K777" s="18"/>
      <c r="L777" s="18" t="s">
        <v>117</v>
      </c>
      <c r="M777" s="18" t="s">
        <v>109</v>
      </c>
      <c r="N777" s="18"/>
      <c r="O777" s="18"/>
      <c r="P777" s="18" t="s">
        <v>3465</v>
      </c>
      <c r="Q777" s="18" t="s">
        <v>123</v>
      </c>
      <c r="R777" s="18" t="s">
        <v>3466</v>
      </c>
      <c r="S777" s="18" t="s">
        <v>125</v>
      </c>
      <c r="T777" s="18" t="s">
        <v>3467</v>
      </c>
      <c r="U777" s="18"/>
      <c r="V777" s="19" t="s">
        <v>29</v>
      </c>
      <c r="W777" s="19"/>
      <c r="X777" s="19"/>
      <c r="Y777" s="20"/>
      <c r="Z777" s="19"/>
      <c r="AA777" s="18" t="str">
        <f aca="false">IF(OR(V777="Aprobada"),R777,IF(AND(OR(V777="Aprobada con ajuste",V777="Rechazada"),W777&lt;&gt;""),W777,""))</f>
        <v/>
      </c>
    </row>
    <row r="778" customFormat="false" ht="95.5" hidden="false" customHeight="false" outlineLevel="0" collapsed="false">
      <c r="A778" s="18" t="s">
        <v>3468</v>
      </c>
      <c r="B778" s="18" t="s">
        <v>60</v>
      </c>
      <c r="C778" s="18" t="s">
        <v>61</v>
      </c>
      <c r="D778" s="18" t="s">
        <v>3463</v>
      </c>
      <c r="E778" s="18" t="n">
        <v>1</v>
      </c>
      <c r="F778" s="18" t="s">
        <v>1018</v>
      </c>
      <c r="G778" s="18" t="s">
        <v>116</v>
      </c>
      <c r="H778" s="18" t="s">
        <v>109</v>
      </c>
      <c r="I778" s="18" t="s">
        <v>140</v>
      </c>
      <c r="J778" s="18"/>
      <c r="K778" s="18"/>
      <c r="L778" s="18" t="s">
        <v>109</v>
      </c>
      <c r="M778" s="18" t="s">
        <v>109</v>
      </c>
      <c r="N778" s="18"/>
      <c r="O778" s="18"/>
      <c r="P778" s="18" t="s">
        <v>3469</v>
      </c>
      <c r="Q778" s="18" t="s">
        <v>123</v>
      </c>
      <c r="R778" s="18" t="s">
        <v>3470</v>
      </c>
      <c r="S778" s="18" t="s">
        <v>125</v>
      </c>
      <c r="T778" s="18" t="s">
        <v>3471</v>
      </c>
      <c r="U778" s="18"/>
      <c r="V778" s="19" t="s">
        <v>29</v>
      </c>
      <c r="W778" s="19"/>
      <c r="X778" s="19"/>
      <c r="Y778" s="20"/>
      <c r="Z778" s="19"/>
      <c r="AA778" s="18" t="str">
        <f aca="false">IF(OR(V778="Aprobada"),R778,IF(AND(OR(V778="Aprobada con ajuste",V778="Rechazada"),W778&lt;&gt;""),W778,""))</f>
        <v/>
      </c>
    </row>
    <row r="779" customFormat="false" ht="74.6" hidden="false" customHeight="false" outlineLevel="0" collapsed="false">
      <c r="A779" s="18" t="s">
        <v>3472</v>
      </c>
      <c r="B779" s="18" t="s">
        <v>60</v>
      </c>
      <c r="C779" s="18" t="s">
        <v>61</v>
      </c>
      <c r="D779" s="18" t="s">
        <v>3463</v>
      </c>
      <c r="E779" s="18" t="n">
        <v>1</v>
      </c>
      <c r="F779" s="18" t="s">
        <v>2807</v>
      </c>
      <c r="G779" s="18" t="s">
        <v>394</v>
      </c>
      <c r="H779" s="18" t="s">
        <v>117</v>
      </c>
      <c r="I779" s="18" t="s">
        <v>140</v>
      </c>
      <c r="J779" s="18"/>
      <c r="K779" s="18"/>
      <c r="L779" s="18" t="s">
        <v>109</v>
      </c>
      <c r="M779" s="18" t="s">
        <v>109</v>
      </c>
      <c r="N779" s="18"/>
      <c r="O779" s="18"/>
      <c r="P779" s="18" t="s">
        <v>3473</v>
      </c>
      <c r="Q779" s="18" t="s">
        <v>123</v>
      </c>
      <c r="R779" s="18" t="s">
        <v>3474</v>
      </c>
      <c r="S779" s="18" t="s">
        <v>125</v>
      </c>
      <c r="T779" s="18" t="s">
        <v>3475</v>
      </c>
      <c r="U779" s="18"/>
      <c r="V779" s="19" t="s">
        <v>29</v>
      </c>
      <c r="W779" s="19"/>
      <c r="X779" s="19"/>
      <c r="Y779" s="20"/>
      <c r="Z779" s="19"/>
      <c r="AA779" s="18" t="str">
        <f aca="false">IF(OR(V779="Aprobada"),R779,IF(AND(OR(V779="Aprobada con ajuste",V779="Rechazada"),W779&lt;&gt;""),W779,""))</f>
        <v/>
      </c>
    </row>
    <row r="780" customFormat="false" ht="43.25" hidden="false" customHeight="false" outlineLevel="0" collapsed="false">
      <c r="A780" s="18" t="s">
        <v>3476</v>
      </c>
      <c r="B780" s="18" t="s">
        <v>60</v>
      </c>
      <c r="C780" s="18" t="s">
        <v>61</v>
      </c>
      <c r="D780" s="18" t="s">
        <v>3463</v>
      </c>
      <c r="E780" s="18" t="n">
        <v>1</v>
      </c>
      <c r="F780" s="18" t="s">
        <v>2812</v>
      </c>
      <c r="G780" s="18" t="s">
        <v>394</v>
      </c>
      <c r="H780" s="18" t="s">
        <v>117</v>
      </c>
      <c r="I780" s="18" t="s">
        <v>140</v>
      </c>
      <c r="J780" s="18"/>
      <c r="K780" s="18"/>
      <c r="L780" s="18" t="s">
        <v>109</v>
      </c>
      <c r="M780" s="18" t="s">
        <v>109</v>
      </c>
      <c r="N780" s="18"/>
      <c r="O780" s="18"/>
      <c r="P780" s="18" t="s">
        <v>3477</v>
      </c>
      <c r="Q780" s="18" t="s">
        <v>134</v>
      </c>
      <c r="R780" s="18" t="s">
        <v>3478</v>
      </c>
      <c r="S780" s="18" t="s">
        <v>125</v>
      </c>
      <c r="T780" s="18" t="s">
        <v>3479</v>
      </c>
      <c r="U780" s="18"/>
      <c r="V780" s="19" t="s">
        <v>29</v>
      </c>
      <c r="W780" s="19"/>
      <c r="X780" s="19"/>
      <c r="Y780" s="20"/>
      <c r="Z780" s="19"/>
      <c r="AA780" s="18" t="str">
        <f aca="false">IF(OR(V780="Aprobada"),R780,IF(AND(OR(V780="Aprobada con ajuste",V780="Rechazada"),W780&lt;&gt;""),W780,""))</f>
        <v/>
      </c>
    </row>
    <row r="781" customFormat="false" ht="85.05" hidden="false" customHeight="false" outlineLevel="0" collapsed="false">
      <c r="A781" s="18" t="s">
        <v>3480</v>
      </c>
      <c r="B781" s="18" t="s">
        <v>60</v>
      </c>
      <c r="C781" s="18" t="s">
        <v>61</v>
      </c>
      <c r="D781" s="18" t="s">
        <v>3463</v>
      </c>
      <c r="E781" s="18" t="n">
        <v>1</v>
      </c>
      <c r="F781" s="18" t="s">
        <v>3481</v>
      </c>
      <c r="G781" s="18" t="s">
        <v>394</v>
      </c>
      <c r="H781" s="18" t="s">
        <v>109</v>
      </c>
      <c r="I781" s="18"/>
      <c r="J781" s="18"/>
      <c r="K781" s="18"/>
      <c r="L781" s="18" t="s">
        <v>109</v>
      </c>
      <c r="M781" s="18" t="s">
        <v>109</v>
      </c>
      <c r="N781" s="18"/>
      <c r="O781" s="18" t="s">
        <v>3482</v>
      </c>
      <c r="P781" s="18" t="s">
        <v>3483</v>
      </c>
      <c r="Q781" s="18" t="s">
        <v>123</v>
      </c>
      <c r="R781" s="18" t="s">
        <v>3484</v>
      </c>
      <c r="S781" s="18" t="s">
        <v>125</v>
      </c>
      <c r="T781" s="18" t="s">
        <v>3485</v>
      </c>
      <c r="U781" s="18"/>
      <c r="V781" s="19" t="s">
        <v>29</v>
      </c>
      <c r="W781" s="19"/>
      <c r="X781" s="19"/>
      <c r="Y781" s="20"/>
      <c r="Z781" s="19"/>
      <c r="AA781" s="18" t="str">
        <f aca="false">IF(OR(V781="Aprobada"),R781,IF(AND(OR(V781="Aprobada con ajuste",V781="Rechazada"),W781&lt;&gt;""),W781,""))</f>
        <v/>
      </c>
    </row>
    <row r="782" customFormat="false" ht="43.25" hidden="false" customHeight="false" outlineLevel="0" collapsed="false">
      <c r="A782" s="18" t="s">
        <v>3486</v>
      </c>
      <c r="B782" s="18" t="s">
        <v>60</v>
      </c>
      <c r="C782" s="18" t="s">
        <v>61</v>
      </c>
      <c r="D782" s="18" t="s">
        <v>3463</v>
      </c>
      <c r="E782" s="18" t="n">
        <v>1</v>
      </c>
      <c r="F782" s="18" t="s">
        <v>1379</v>
      </c>
      <c r="G782" s="18" t="s">
        <v>459</v>
      </c>
      <c r="H782" s="18" t="s">
        <v>117</v>
      </c>
      <c r="I782" s="18"/>
      <c r="J782" s="18"/>
      <c r="K782" s="18"/>
      <c r="L782" s="18" t="s">
        <v>109</v>
      </c>
      <c r="M782" s="18" t="s">
        <v>109</v>
      </c>
      <c r="N782" s="18"/>
      <c r="O782" s="18"/>
      <c r="P782" s="18" t="s">
        <v>3487</v>
      </c>
      <c r="Q782" s="18" t="s">
        <v>123</v>
      </c>
      <c r="R782" s="18" t="s">
        <v>3488</v>
      </c>
      <c r="S782" s="18" t="s">
        <v>125</v>
      </c>
      <c r="T782" s="18" t="s">
        <v>3489</v>
      </c>
      <c r="U782" s="18" t="s">
        <v>3490</v>
      </c>
      <c r="V782" s="19" t="s">
        <v>29</v>
      </c>
      <c r="W782" s="19"/>
      <c r="X782" s="19"/>
      <c r="Y782" s="20"/>
      <c r="Z782" s="19"/>
      <c r="AA782" s="18" t="str">
        <f aca="false">IF(OR(V782="Aprobada"),R782,IF(AND(OR(V782="Aprobada con ajuste",V782="Rechazada"),W782&lt;&gt;""),W782,""))</f>
        <v/>
      </c>
    </row>
    <row r="783" customFormat="false" ht="85.05" hidden="false" customHeight="false" outlineLevel="0" collapsed="false">
      <c r="A783" s="18" t="s">
        <v>3491</v>
      </c>
      <c r="B783" s="18" t="s">
        <v>60</v>
      </c>
      <c r="C783" s="18" t="s">
        <v>61</v>
      </c>
      <c r="D783" s="18" t="s">
        <v>3492</v>
      </c>
      <c r="E783" s="18" t="n">
        <v>4</v>
      </c>
      <c r="F783" s="18" t="s">
        <v>3493</v>
      </c>
      <c r="G783" s="18" t="s">
        <v>394</v>
      </c>
      <c r="H783" s="18" t="s">
        <v>109</v>
      </c>
      <c r="I783" s="18"/>
      <c r="J783" s="18"/>
      <c r="K783" s="18"/>
      <c r="L783" s="18" t="s">
        <v>109</v>
      </c>
      <c r="M783" s="18" t="s">
        <v>109</v>
      </c>
      <c r="N783" s="18"/>
      <c r="O783" s="18" t="s">
        <v>3494</v>
      </c>
      <c r="P783" s="18" t="s">
        <v>3495</v>
      </c>
      <c r="Q783" s="18" t="s">
        <v>123</v>
      </c>
      <c r="R783" s="18" t="s">
        <v>3496</v>
      </c>
      <c r="S783" s="18" t="s">
        <v>125</v>
      </c>
      <c r="T783" s="18" t="s">
        <v>3497</v>
      </c>
      <c r="U783" s="18"/>
      <c r="V783" s="19" t="s">
        <v>29</v>
      </c>
      <c r="W783" s="19"/>
      <c r="X783" s="19"/>
      <c r="Y783" s="20"/>
      <c r="Z783" s="19"/>
      <c r="AA783" s="18" t="str">
        <f aca="false">IF(OR(V783="Aprobada"),R783,IF(AND(OR(V783="Aprobada con ajuste",V783="Rechazada"),W783&lt;&gt;""),W783,""))</f>
        <v/>
      </c>
    </row>
    <row r="784" customFormat="false" ht="64.15" hidden="false" customHeight="false" outlineLevel="0" collapsed="false">
      <c r="A784" s="18" t="s">
        <v>3498</v>
      </c>
      <c r="B784" s="18" t="s">
        <v>60</v>
      </c>
      <c r="C784" s="18" t="s">
        <v>61</v>
      </c>
      <c r="D784" s="18" t="s">
        <v>3492</v>
      </c>
      <c r="E784" s="18" t="n">
        <v>4</v>
      </c>
      <c r="F784" s="18" t="s">
        <v>3442</v>
      </c>
      <c r="G784" s="18" t="s">
        <v>108</v>
      </c>
      <c r="H784" s="18" t="s">
        <v>109</v>
      </c>
      <c r="I784" s="18" t="s">
        <v>140</v>
      </c>
      <c r="J784" s="18" t="s">
        <v>3499</v>
      </c>
      <c r="K784" s="18"/>
      <c r="L784" s="18" t="s">
        <v>117</v>
      </c>
      <c r="M784" s="18" t="s">
        <v>109</v>
      </c>
      <c r="N784" s="18"/>
      <c r="O784" s="18"/>
      <c r="P784" s="18" t="s">
        <v>3500</v>
      </c>
      <c r="Q784" s="18" t="s">
        <v>134</v>
      </c>
      <c r="R784" s="18" t="s">
        <v>3501</v>
      </c>
      <c r="S784" s="18" t="s">
        <v>125</v>
      </c>
      <c r="T784" s="18" t="s">
        <v>246</v>
      </c>
      <c r="U784" s="18"/>
      <c r="V784" s="19" t="s">
        <v>29</v>
      </c>
      <c r="W784" s="19"/>
      <c r="X784" s="19"/>
      <c r="Y784" s="20"/>
      <c r="Z784" s="19"/>
      <c r="AA784" s="18" t="str">
        <f aca="false">IF(OR(V784="Aprobada"),R784,IF(AND(OR(V784="Aprobada con ajuste",V784="Rechazada"),W784&lt;&gt;""),W784,""))</f>
        <v/>
      </c>
    </row>
    <row r="785" customFormat="false" ht="64.15" hidden="false" customHeight="false" outlineLevel="0" collapsed="false">
      <c r="A785" s="18" t="s">
        <v>3502</v>
      </c>
      <c r="B785" s="18" t="s">
        <v>60</v>
      </c>
      <c r="C785" s="18" t="s">
        <v>61</v>
      </c>
      <c r="D785" s="18" t="s">
        <v>3492</v>
      </c>
      <c r="E785" s="18" t="n">
        <v>4</v>
      </c>
      <c r="F785" s="18" t="s">
        <v>3503</v>
      </c>
      <c r="G785" s="18" t="s">
        <v>116</v>
      </c>
      <c r="H785" s="18" t="s">
        <v>117</v>
      </c>
      <c r="I785" s="18" t="s">
        <v>140</v>
      </c>
      <c r="J785" s="18"/>
      <c r="K785" s="18"/>
      <c r="L785" s="18" t="s">
        <v>109</v>
      </c>
      <c r="M785" s="18" t="s">
        <v>109</v>
      </c>
      <c r="N785" s="18"/>
      <c r="O785" s="18"/>
      <c r="P785" s="18" t="s">
        <v>3504</v>
      </c>
      <c r="Q785" s="18" t="s">
        <v>123</v>
      </c>
      <c r="R785" s="18" t="s">
        <v>3505</v>
      </c>
      <c r="S785" s="18" t="s">
        <v>125</v>
      </c>
      <c r="T785" s="18" t="s">
        <v>3506</v>
      </c>
      <c r="U785" s="18"/>
      <c r="V785" s="19" t="s">
        <v>29</v>
      </c>
      <c r="W785" s="19"/>
      <c r="X785" s="19"/>
      <c r="Y785" s="20"/>
      <c r="Z785" s="19"/>
      <c r="AA785" s="18" t="str">
        <f aca="false">IF(OR(V785="Aprobada"),R785,IF(AND(OR(V785="Aprobada con ajuste",V785="Rechazada"),W785&lt;&gt;""),W785,""))</f>
        <v/>
      </c>
    </row>
    <row r="786" customFormat="false" ht="32.8" hidden="false" customHeight="false" outlineLevel="0" collapsed="false">
      <c r="A786" s="18" t="s">
        <v>3507</v>
      </c>
      <c r="B786" s="18" t="s">
        <v>60</v>
      </c>
      <c r="C786" s="18" t="s">
        <v>61</v>
      </c>
      <c r="D786" s="18" t="s">
        <v>3492</v>
      </c>
      <c r="E786" s="18" t="n">
        <v>4</v>
      </c>
      <c r="F786" s="18" t="s">
        <v>1379</v>
      </c>
      <c r="G786" s="18" t="s">
        <v>121</v>
      </c>
      <c r="H786" s="18" t="s">
        <v>117</v>
      </c>
      <c r="I786" s="18"/>
      <c r="J786" s="18"/>
      <c r="K786" s="18"/>
      <c r="L786" s="18" t="s">
        <v>109</v>
      </c>
      <c r="M786" s="18" t="s">
        <v>109</v>
      </c>
      <c r="N786" s="18"/>
      <c r="O786" s="18"/>
      <c r="P786" s="18" t="s">
        <v>3508</v>
      </c>
      <c r="Q786" s="18" t="s">
        <v>110</v>
      </c>
      <c r="R786" s="18" t="s">
        <v>1381</v>
      </c>
      <c r="S786" s="18" t="s">
        <v>112</v>
      </c>
      <c r="T786" s="18" t="s">
        <v>113</v>
      </c>
      <c r="U786" s="18"/>
      <c r="V786" s="19" t="s">
        <v>29</v>
      </c>
      <c r="W786" s="19"/>
      <c r="X786" s="19"/>
      <c r="Y786" s="20"/>
      <c r="Z786" s="19"/>
      <c r="AA786" s="18" t="str">
        <f aca="false">IF(OR(V786="Aprobada"),R786,IF(AND(OR(V786="Aprobada con ajuste",V786="Rechazada"),W786&lt;&gt;""),W786,""))</f>
        <v/>
      </c>
    </row>
    <row r="787" customFormat="false" ht="32.8" hidden="false" customHeight="false" outlineLevel="0" collapsed="false">
      <c r="A787" s="18" t="s">
        <v>3509</v>
      </c>
      <c r="B787" s="18" t="s">
        <v>60</v>
      </c>
      <c r="C787" s="18" t="s">
        <v>61</v>
      </c>
      <c r="D787" s="18" t="s">
        <v>3492</v>
      </c>
      <c r="E787" s="18" t="n">
        <v>4</v>
      </c>
      <c r="F787" s="18" t="s">
        <v>3510</v>
      </c>
      <c r="G787" s="18" t="s">
        <v>121</v>
      </c>
      <c r="H787" s="18" t="s">
        <v>117</v>
      </c>
      <c r="I787" s="18"/>
      <c r="J787" s="18"/>
      <c r="K787" s="18"/>
      <c r="L787" s="18" t="s">
        <v>109</v>
      </c>
      <c r="M787" s="18" t="s">
        <v>109</v>
      </c>
      <c r="N787" s="18"/>
      <c r="O787" s="18"/>
      <c r="P787" s="18" t="s">
        <v>3511</v>
      </c>
      <c r="Q787" s="18" t="s">
        <v>134</v>
      </c>
      <c r="R787" s="18" t="s">
        <v>3512</v>
      </c>
      <c r="S787" s="18" t="s">
        <v>112</v>
      </c>
      <c r="T787" s="18" t="s">
        <v>3513</v>
      </c>
      <c r="U787" s="18" t="s">
        <v>3461</v>
      </c>
      <c r="V787" s="19" t="s">
        <v>29</v>
      </c>
      <c r="W787" s="19"/>
      <c r="X787" s="19"/>
      <c r="Y787" s="20"/>
      <c r="Z787" s="19"/>
      <c r="AA787" s="18" t="str">
        <f aca="false">IF(OR(V787="Aprobada"),R787,IF(AND(OR(V787="Aprobada con ajuste",V787="Rechazada"),W787&lt;&gt;""),W787,""))</f>
        <v/>
      </c>
    </row>
    <row r="788" customFormat="false" ht="95.5" hidden="false" customHeight="false" outlineLevel="0" collapsed="false">
      <c r="A788" s="18" t="s">
        <v>3514</v>
      </c>
      <c r="B788" s="18" t="s">
        <v>60</v>
      </c>
      <c r="C788" s="18" t="s">
        <v>61</v>
      </c>
      <c r="D788" s="18" t="s">
        <v>3515</v>
      </c>
      <c r="E788" s="18" t="n">
        <v>2</v>
      </c>
      <c r="F788" s="18" t="s">
        <v>1102</v>
      </c>
      <c r="G788" s="18" t="s">
        <v>1509</v>
      </c>
      <c r="H788" s="18" t="s">
        <v>109</v>
      </c>
      <c r="I788" s="18" t="s">
        <v>140</v>
      </c>
      <c r="J788" s="18"/>
      <c r="K788" s="18"/>
      <c r="L788" s="18" t="s">
        <v>117</v>
      </c>
      <c r="M788" s="18" t="s">
        <v>109</v>
      </c>
      <c r="N788" s="18"/>
      <c r="O788" s="18"/>
      <c r="P788" s="18" t="s">
        <v>3516</v>
      </c>
      <c r="Q788" s="18" t="s">
        <v>134</v>
      </c>
      <c r="R788" s="18" t="s">
        <v>3517</v>
      </c>
      <c r="S788" s="18" t="s">
        <v>125</v>
      </c>
      <c r="T788" s="18" t="s">
        <v>3518</v>
      </c>
      <c r="U788" s="18"/>
      <c r="V788" s="19" t="s">
        <v>29</v>
      </c>
      <c r="W788" s="19"/>
      <c r="X788" s="19"/>
      <c r="Y788" s="20"/>
      <c r="Z788" s="19"/>
      <c r="AA788" s="18" t="str">
        <f aca="false">IF(OR(V788="Aprobada"),R788,IF(AND(OR(V788="Aprobada con ajuste",V788="Rechazada"),W788&lt;&gt;""),W788,""))</f>
        <v/>
      </c>
    </row>
    <row r="789" customFormat="false" ht="53.7" hidden="false" customHeight="false" outlineLevel="0" collapsed="false">
      <c r="A789" s="18" t="s">
        <v>3519</v>
      </c>
      <c r="B789" s="18" t="s">
        <v>60</v>
      </c>
      <c r="C789" s="18" t="s">
        <v>61</v>
      </c>
      <c r="D789" s="18" t="s">
        <v>3515</v>
      </c>
      <c r="E789" s="18" t="n">
        <v>2</v>
      </c>
      <c r="F789" s="18" t="s">
        <v>1637</v>
      </c>
      <c r="G789" s="18" t="s">
        <v>145</v>
      </c>
      <c r="H789" s="18" t="s">
        <v>109</v>
      </c>
      <c r="I789" s="18"/>
      <c r="J789" s="18"/>
      <c r="K789" s="18"/>
      <c r="L789" s="18" t="s">
        <v>117</v>
      </c>
      <c r="M789" s="18" t="s">
        <v>109</v>
      </c>
      <c r="N789" s="18"/>
      <c r="O789" s="18"/>
      <c r="P789" s="18" t="s">
        <v>3520</v>
      </c>
      <c r="Q789" s="18" t="s">
        <v>123</v>
      </c>
      <c r="R789" s="18" t="s">
        <v>3521</v>
      </c>
      <c r="S789" s="18" t="s">
        <v>125</v>
      </c>
      <c r="T789" s="18" t="s">
        <v>3522</v>
      </c>
      <c r="U789" s="18"/>
      <c r="V789" s="19" t="s">
        <v>29</v>
      </c>
      <c r="W789" s="19"/>
      <c r="X789" s="19"/>
      <c r="Y789" s="20"/>
      <c r="Z789" s="19"/>
      <c r="AA789" s="18" t="str">
        <f aca="false">IF(OR(V789="Aprobada"),R789,IF(AND(OR(V789="Aprobada con ajuste",V789="Rechazada"),W789&lt;&gt;""),W789,""))</f>
        <v/>
      </c>
    </row>
    <row r="790" customFormat="false" ht="179.1" hidden="false" customHeight="false" outlineLevel="0" collapsed="false">
      <c r="A790" s="18" t="s">
        <v>3523</v>
      </c>
      <c r="B790" s="18" t="s">
        <v>60</v>
      </c>
      <c r="C790" s="18" t="s">
        <v>61</v>
      </c>
      <c r="D790" s="18" t="s">
        <v>3524</v>
      </c>
      <c r="E790" s="18" t="n">
        <v>1</v>
      </c>
      <c r="F790" s="18" t="s">
        <v>3525</v>
      </c>
      <c r="G790" s="18" t="s">
        <v>1509</v>
      </c>
      <c r="H790" s="18" t="s">
        <v>109</v>
      </c>
      <c r="I790" s="18" t="s">
        <v>140</v>
      </c>
      <c r="J790" s="18"/>
      <c r="K790" s="18"/>
      <c r="L790" s="18" t="s">
        <v>109</v>
      </c>
      <c r="M790" s="18" t="s">
        <v>109</v>
      </c>
      <c r="N790" s="18"/>
      <c r="O790" s="18"/>
      <c r="P790" s="18" t="s">
        <v>3526</v>
      </c>
      <c r="Q790" s="18" t="s">
        <v>123</v>
      </c>
      <c r="R790" s="18" t="s">
        <v>3527</v>
      </c>
      <c r="S790" s="18" t="s">
        <v>125</v>
      </c>
      <c r="T790" s="18" t="s">
        <v>3528</v>
      </c>
      <c r="U790" s="18" t="s">
        <v>1646</v>
      </c>
      <c r="V790" s="19" t="s">
        <v>29</v>
      </c>
      <c r="W790" s="19"/>
      <c r="X790" s="19"/>
      <c r="Y790" s="20"/>
      <c r="Z790" s="19"/>
      <c r="AA790" s="18" t="str">
        <f aca="false">IF(OR(V790="Aprobada"),R790,IF(AND(OR(V790="Aprobada con ajuste",V790="Rechazada"),W790&lt;&gt;""),W790,""))</f>
        <v/>
      </c>
    </row>
    <row r="791" customFormat="false" ht="53.7" hidden="false" customHeight="false" outlineLevel="0" collapsed="false">
      <c r="A791" s="18" t="s">
        <v>3529</v>
      </c>
      <c r="B791" s="18" t="s">
        <v>60</v>
      </c>
      <c r="C791" s="18" t="s">
        <v>61</v>
      </c>
      <c r="D791" s="18" t="s">
        <v>3524</v>
      </c>
      <c r="E791" s="18" t="n">
        <v>1</v>
      </c>
      <c r="F791" s="18" t="s">
        <v>914</v>
      </c>
      <c r="G791" s="18" t="s">
        <v>116</v>
      </c>
      <c r="H791" s="18" t="s">
        <v>117</v>
      </c>
      <c r="I791" s="18"/>
      <c r="J791" s="18"/>
      <c r="K791" s="18"/>
      <c r="L791" s="18" t="s">
        <v>109</v>
      </c>
      <c r="M791" s="18" t="s">
        <v>109</v>
      </c>
      <c r="N791" s="18"/>
      <c r="O791" s="18"/>
      <c r="P791" s="18" t="s">
        <v>3530</v>
      </c>
      <c r="Q791" s="18" t="s">
        <v>110</v>
      </c>
      <c r="R791" s="18" t="s">
        <v>2258</v>
      </c>
      <c r="S791" s="18" t="s">
        <v>112</v>
      </c>
      <c r="T791" s="18" t="s">
        <v>113</v>
      </c>
      <c r="U791" s="18"/>
      <c r="V791" s="19" t="s">
        <v>29</v>
      </c>
      <c r="W791" s="19"/>
      <c r="X791" s="19"/>
      <c r="Y791" s="20"/>
      <c r="Z791" s="19"/>
      <c r="AA791" s="18" t="str">
        <f aca="false">IF(OR(V791="Aprobada"),R791,IF(AND(OR(V791="Aprobada con ajuste",V791="Rechazada"),W791&lt;&gt;""),W791,""))</f>
        <v/>
      </c>
    </row>
    <row r="792" customFormat="false" ht="22.35" hidden="false" customHeight="false" outlineLevel="0" collapsed="false">
      <c r="A792" s="18" t="s">
        <v>3531</v>
      </c>
      <c r="B792" s="18" t="s">
        <v>60</v>
      </c>
      <c r="C792" s="18" t="s">
        <v>61</v>
      </c>
      <c r="D792" s="18" t="s">
        <v>3524</v>
      </c>
      <c r="E792" s="18" t="n">
        <v>1</v>
      </c>
      <c r="F792" s="18" t="s">
        <v>1675</v>
      </c>
      <c r="G792" s="18" t="s">
        <v>459</v>
      </c>
      <c r="H792" s="18" t="s">
        <v>117</v>
      </c>
      <c r="I792" s="18"/>
      <c r="J792" s="18"/>
      <c r="K792" s="18"/>
      <c r="L792" s="18" t="s">
        <v>109</v>
      </c>
      <c r="M792" s="18" t="s">
        <v>109</v>
      </c>
      <c r="N792" s="18"/>
      <c r="O792" s="18"/>
      <c r="P792" s="18" t="s">
        <v>3532</v>
      </c>
      <c r="Q792" s="18" t="s">
        <v>134</v>
      </c>
      <c r="R792" s="18" t="s">
        <v>3533</v>
      </c>
      <c r="S792" s="18" t="s">
        <v>112</v>
      </c>
      <c r="T792" s="18" t="s">
        <v>3534</v>
      </c>
      <c r="U792" s="18" t="s">
        <v>2774</v>
      </c>
      <c r="V792" s="19" t="s">
        <v>29</v>
      </c>
      <c r="W792" s="19"/>
      <c r="X792" s="19"/>
      <c r="Y792" s="20"/>
      <c r="Z792" s="19"/>
      <c r="AA792" s="18" t="str">
        <f aca="false">IF(OR(V792="Aprobada"),R792,IF(AND(OR(V792="Aprobada con ajuste",V792="Rechazada"),W792&lt;&gt;""),W792,""))</f>
        <v/>
      </c>
    </row>
    <row r="793" customFormat="false" ht="22.35" hidden="false" customHeight="false" outlineLevel="0" collapsed="false">
      <c r="A793" s="18" t="s">
        <v>3535</v>
      </c>
      <c r="B793" s="18" t="s">
        <v>60</v>
      </c>
      <c r="C793" s="18" t="s">
        <v>61</v>
      </c>
      <c r="D793" s="18" t="s">
        <v>3524</v>
      </c>
      <c r="E793" s="18" t="n">
        <v>1</v>
      </c>
      <c r="F793" s="18" t="s">
        <v>3536</v>
      </c>
      <c r="G793" s="18" t="s">
        <v>184</v>
      </c>
      <c r="H793" s="18" t="s">
        <v>109</v>
      </c>
      <c r="I793" s="18"/>
      <c r="J793" s="18"/>
      <c r="K793" s="18"/>
      <c r="L793" s="18" t="s">
        <v>109</v>
      </c>
      <c r="M793" s="18" t="s">
        <v>109</v>
      </c>
      <c r="N793" s="18"/>
      <c r="O793" s="18"/>
      <c r="P793" s="18" t="s">
        <v>3537</v>
      </c>
      <c r="Q793" s="18" t="s">
        <v>134</v>
      </c>
      <c r="R793" s="18" t="s">
        <v>3538</v>
      </c>
      <c r="S793" s="18" t="s">
        <v>125</v>
      </c>
      <c r="T793" s="18" t="s">
        <v>1537</v>
      </c>
      <c r="U793" s="18"/>
      <c r="V793" s="19" t="s">
        <v>29</v>
      </c>
      <c r="W793" s="19"/>
      <c r="X793" s="19"/>
      <c r="Y793" s="20"/>
      <c r="Z793" s="19"/>
      <c r="AA793" s="18" t="str">
        <f aca="false">IF(OR(V793="Aprobada"),R793,IF(AND(OR(V793="Aprobada con ajuste",V793="Rechazada"),W793&lt;&gt;""),W793,""))</f>
        <v/>
      </c>
    </row>
    <row r="794" customFormat="false" ht="189.55" hidden="false" customHeight="false" outlineLevel="0" collapsed="false">
      <c r="A794" s="18" t="s">
        <v>3539</v>
      </c>
      <c r="B794" s="18" t="s">
        <v>60</v>
      </c>
      <c r="C794" s="18" t="s">
        <v>61</v>
      </c>
      <c r="D794" s="18" t="s">
        <v>3540</v>
      </c>
      <c r="E794" s="18" t="n">
        <v>4</v>
      </c>
      <c r="F794" s="18" t="s">
        <v>150</v>
      </c>
      <c r="G794" s="18" t="s">
        <v>108</v>
      </c>
      <c r="H794" s="18" t="s">
        <v>109</v>
      </c>
      <c r="I794" s="18" t="s">
        <v>140</v>
      </c>
      <c r="J794" s="18" t="s">
        <v>3541</v>
      </c>
      <c r="K794" s="18"/>
      <c r="L794" s="18" t="s">
        <v>117</v>
      </c>
      <c r="M794" s="18" t="s">
        <v>109</v>
      </c>
      <c r="N794" s="18"/>
      <c r="O794" s="18"/>
      <c r="P794" s="18" t="s">
        <v>3542</v>
      </c>
      <c r="Q794" s="18" t="s">
        <v>123</v>
      </c>
      <c r="R794" s="18" t="s">
        <v>3543</v>
      </c>
      <c r="S794" s="18" t="s">
        <v>125</v>
      </c>
      <c r="T794" s="18" t="s">
        <v>3544</v>
      </c>
      <c r="U794" s="18"/>
      <c r="V794" s="19" t="s">
        <v>29</v>
      </c>
      <c r="W794" s="19"/>
      <c r="X794" s="19"/>
      <c r="Y794" s="20"/>
      <c r="Z794" s="19"/>
      <c r="AA794" s="18" t="str">
        <f aca="false">IF(OR(V794="Aprobada"),R794,IF(AND(OR(V794="Aprobada con ajuste",V794="Rechazada"),W794&lt;&gt;""),W794,""))</f>
        <v/>
      </c>
    </row>
    <row r="795" customFormat="false" ht="64.15" hidden="false" customHeight="false" outlineLevel="0" collapsed="false">
      <c r="A795" s="18" t="s">
        <v>3545</v>
      </c>
      <c r="B795" s="18" t="s">
        <v>60</v>
      </c>
      <c r="C795" s="18" t="s">
        <v>61</v>
      </c>
      <c r="D795" s="18" t="s">
        <v>3540</v>
      </c>
      <c r="E795" s="18" t="n">
        <v>4</v>
      </c>
      <c r="F795" s="18" t="s">
        <v>1018</v>
      </c>
      <c r="G795" s="18" t="s">
        <v>1802</v>
      </c>
      <c r="H795" s="18" t="s">
        <v>117</v>
      </c>
      <c r="I795" s="18"/>
      <c r="J795" s="18"/>
      <c r="K795" s="18"/>
      <c r="L795" s="18" t="s">
        <v>109</v>
      </c>
      <c r="M795" s="18" t="s">
        <v>109</v>
      </c>
      <c r="N795" s="18"/>
      <c r="O795" s="18"/>
      <c r="P795" s="18" t="s">
        <v>3546</v>
      </c>
      <c r="Q795" s="18" t="s">
        <v>110</v>
      </c>
      <c r="R795" s="18" t="s">
        <v>3547</v>
      </c>
      <c r="S795" s="18" t="s">
        <v>112</v>
      </c>
      <c r="T795" s="18" t="s">
        <v>113</v>
      </c>
      <c r="U795" s="18"/>
      <c r="V795" s="19" t="s">
        <v>29</v>
      </c>
      <c r="W795" s="19"/>
      <c r="X795" s="19"/>
      <c r="Y795" s="20"/>
      <c r="Z795" s="19"/>
      <c r="AA795" s="18" t="str">
        <f aca="false">IF(OR(V795="Aprobada"),R795,IF(AND(OR(V795="Aprobada con ajuste",V795="Rechazada"),W795&lt;&gt;""),W795,""))</f>
        <v/>
      </c>
    </row>
    <row r="796" customFormat="false" ht="22.35" hidden="false" customHeight="false" outlineLevel="0" collapsed="false">
      <c r="A796" s="18" t="s">
        <v>3548</v>
      </c>
      <c r="B796" s="18" t="s">
        <v>60</v>
      </c>
      <c r="C796" s="18" t="s">
        <v>61</v>
      </c>
      <c r="D796" s="18" t="s">
        <v>3540</v>
      </c>
      <c r="E796" s="18" t="n">
        <v>4</v>
      </c>
      <c r="F796" s="18" t="s">
        <v>947</v>
      </c>
      <c r="G796" s="18" t="s">
        <v>459</v>
      </c>
      <c r="H796" s="18" t="s">
        <v>117</v>
      </c>
      <c r="I796" s="18"/>
      <c r="J796" s="18"/>
      <c r="K796" s="18"/>
      <c r="L796" s="18" t="s">
        <v>109</v>
      </c>
      <c r="M796" s="18" t="s">
        <v>109</v>
      </c>
      <c r="N796" s="18"/>
      <c r="O796" s="18"/>
      <c r="P796" s="18" t="s">
        <v>3549</v>
      </c>
      <c r="Q796" s="18" t="s">
        <v>110</v>
      </c>
      <c r="R796" s="18" t="s">
        <v>2199</v>
      </c>
      <c r="S796" s="18" t="s">
        <v>112</v>
      </c>
      <c r="T796" s="18" t="s">
        <v>113</v>
      </c>
      <c r="U796" s="18"/>
      <c r="V796" s="19" t="s">
        <v>29</v>
      </c>
      <c r="W796" s="19"/>
      <c r="X796" s="19"/>
      <c r="Y796" s="20"/>
      <c r="Z796" s="19"/>
      <c r="AA796" s="18" t="str">
        <f aca="false">IF(OR(V796="Aprobada"),R796,IF(AND(OR(V796="Aprobada con ajuste",V796="Rechazada"),W796&lt;&gt;""),W796,""))</f>
        <v/>
      </c>
    </row>
    <row r="797" customFormat="false" ht="210.4" hidden="false" customHeight="false" outlineLevel="0" collapsed="false">
      <c r="A797" s="18" t="s">
        <v>3550</v>
      </c>
      <c r="B797" s="18" t="s">
        <v>60</v>
      </c>
      <c r="C797" s="18" t="s">
        <v>61</v>
      </c>
      <c r="D797" s="18" t="s">
        <v>3551</v>
      </c>
      <c r="E797" s="18" t="n">
        <v>1</v>
      </c>
      <c r="F797" s="18" t="s">
        <v>150</v>
      </c>
      <c r="G797" s="18" t="s">
        <v>151</v>
      </c>
      <c r="H797" s="18" t="s">
        <v>109</v>
      </c>
      <c r="I797" s="18" t="s">
        <v>140</v>
      </c>
      <c r="J797" s="18" t="s">
        <v>3552</v>
      </c>
      <c r="K797" s="18"/>
      <c r="L797" s="18" t="s">
        <v>117</v>
      </c>
      <c r="M797" s="18" t="s">
        <v>109</v>
      </c>
      <c r="N797" s="18"/>
      <c r="O797" s="18"/>
      <c r="P797" s="18" t="s">
        <v>3553</v>
      </c>
      <c r="Q797" s="18" t="s">
        <v>123</v>
      </c>
      <c r="R797" s="18" t="s">
        <v>3554</v>
      </c>
      <c r="S797" s="18" t="s">
        <v>125</v>
      </c>
      <c r="T797" s="18" t="s">
        <v>3555</v>
      </c>
      <c r="U797" s="18"/>
      <c r="V797" s="19" t="s">
        <v>29</v>
      </c>
      <c r="W797" s="19"/>
      <c r="X797" s="19"/>
      <c r="Y797" s="20"/>
      <c r="Z797" s="19"/>
      <c r="AA797" s="18" t="str">
        <f aca="false">IF(OR(V797="Aprobada"),R797,IF(AND(OR(V797="Aprobada con ajuste",V797="Rechazada"),W797&lt;&gt;""),W797,""))</f>
        <v/>
      </c>
    </row>
    <row r="798" customFormat="false" ht="53.7" hidden="false" customHeight="false" outlineLevel="0" collapsed="false">
      <c r="A798" s="18" t="s">
        <v>3556</v>
      </c>
      <c r="B798" s="18" t="s">
        <v>60</v>
      </c>
      <c r="C798" s="18" t="s">
        <v>61</v>
      </c>
      <c r="D798" s="18" t="s">
        <v>3551</v>
      </c>
      <c r="E798" s="18" t="n">
        <v>1</v>
      </c>
      <c r="F798" s="18" t="s">
        <v>2738</v>
      </c>
      <c r="G798" s="18" t="s">
        <v>459</v>
      </c>
      <c r="H798" s="18" t="s">
        <v>109</v>
      </c>
      <c r="I798" s="18"/>
      <c r="J798" s="18"/>
      <c r="K798" s="18"/>
      <c r="L798" s="18" t="s">
        <v>109</v>
      </c>
      <c r="M798" s="18" t="s">
        <v>109</v>
      </c>
      <c r="N798" s="18"/>
      <c r="O798" s="18"/>
      <c r="P798" s="18" t="s">
        <v>3557</v>
      </c>
      <c r="Q798" s="18" t="s">
        <v>134</v>
      </c>
      <c r="R798" s="18" t="s">
        <v>3558</v>
      </c>
      <c r="S798" s="18" t="s">
        <v>125</v>
      </c>
      <c r="T798" s="18" t="s">
        <v>3559</v>
      </c>
      <c r="U798" s="18"/>
      <c r="V798" s="19" t="s">
        <v>29</v>
      </c>
      <c r="W798" s="19"/>
      <c r="X798" s="19"/>
      <c r="Y798" s="20"/>
      <c r="Z798" s="19"/>
      <c r="AA798" s="18" t="str">
        <f aca="false">IF(OR(V798="Aprobada"),R798,IF(AND(OR(V798="Aprobada con ajuste",V798="Rechazada"),W798&lt;&gt;""),W798,""))</f>
        <v/>
      </c>
    </row>
    <row r="799" customFormat="false" ht="53.7" hidden="false" customHeight="false" outlineLevel="0" collapsed="false">
      <c r="A799" s="18" t="s">
        <v>3560</v>
      </c>
      <c r="B799" s="18" t="s">
        <v>60</v>
      </c>
      <c r="C799" s="18" t="s">
        <v>61</v>
      </c>
      <c r="D799" s="18" t="s">
        <v>3551</v>
      </c>
      <c r="E799" s="18" t="n">
        <v>1</v>
      </c>
      <c r="F799" s="18" t="s">
        <v>2554</v>
      </c>
      <c r="G799" s="18" t="s">
        <v>167</v>
      </c>
      <c r="H799" s="18" t="s">
        <v>117</v>
      </c>
      <c r="I799" s="18"/>
      <c r="J799" s="18"/>
      <c r="K799" s="18"/>
      <c r="L799" s="18" t="s">
        <v>109</v>
      </c>
      <c r="M799" s="18" t="s">
        <v>109</v>
      </c>
      <c r="N799" s="18"/>
      <c r="O799" s="18"/>
      <c r="P799" s="18" t="s">
        <v>3561</v>
      </c>
      <c r="Q799" s="18" t="s">
        <v>110</v>
      </c>
      <c r="R799" s="18" t="s">
        <v>2797</v>
      </c>
      <c r="S799" s="18" t="s">
        <v>112</v>
      </c>
      <c r="T799" s="18" t="s">
        <v>113</v>
      </c>
      <c r="U799" s="18"/>
      <c r="V799" s="19" t="s">
        <v>29</v>
      </c>
      <c r="W799" s="19"/>
      <c r="X799" s="19"/>
      <c r="Y799" s="20"/>
      <c r="Z799" s="19"/>
      <c r="AA799" s="18" t="str">
        <f aca="false">IF(OR(V799="Aprobada"),R799,IF(AND(OR(V799="Aprobada con ajuste",V799="Rechazada"),W799&lt;&gt;""),W799,""))</f>
        <v/>
      </c>
    </row>
    <row r="800" customFormat="false" ht="105.95" hidden="false" customHeight="false" outlineLevel="0" collapsed="false">
      <c r="A800" s="18" t="s">
        <v>3562</v>
      </c>
      <c r="B800" s="18" t="s">
        <v>60</v>
      </c>
      <c r="C800" s="18" t="s">
        <v>61</v>
      </c>
      <c r="D800" s="18" t="s">
        <v>3551</v>
      </c>
      <c r="E800" s="18" t="n">
        <v>1</v>
      </c>
      <c r="F800" s="18" t="s">
        <v>2560</v>
      </c>
      <c r="G800" s="18" t="s">
        <v>394</v>
      </c>
      <c r="H800" s="18" t="s">
        <v>109</v>
      </c>
      <c r="I800" s="18"/>
      <c r="J800" s="18"/>
      <c r="K800" s="18"/>
      <c r="L800" s="18" t="s">
        <v>109</v>
      </c>
      <c r="M800" s="18" t="s">
        <v>109</v>
      </c>
      <c r="N800" s="18"/>
      <c r="O800" s="18"/>
      <c r="P800" s="18" t="s">
        <v>3563</v>
      </c>
      <c r="Q800" s="18" t="s">
        <v>123</v>
      </c>
      <c r="R800" s="18" t="s">
        <v>3564</v>
      </c>
      <c r="S800" s="18" t="s">
        <v>125</v>
      </c>
      <c r="T800" s="18" t="s">
        <v>3565</v>
      </c>
      <c r="U800" s="18"/>
      <c r="V800" s="19" t="s">
        <v>29</v>
      </c>
      <c r="W800" s="19"/>
      <c r="X800" s="19"/>
      <c r="Y800" s="20"/>
      <c r="Z800" s="19"/>
      <c r="AA800" s="18" t="str">
        <f aca="false">IF(OR(V800="Aprobada"),R800,IF(AND(OR(V800="Aprobada con ajuste",V800="Rechazada"),W800&lt;&gt;""),W800,""))</f>
        <v/>
      </c>
    </row>
    <row r="801" customFormat="false" ht="116.4" hidden="false" customHeight="false" outlineLevel="0" collapsed="false">
      <c r="A801" s="18" t="s">
        <v>3566</v>
      </c>
      <c r="B801" s="18" t="s">
        <v>60</v>
      </c>
      <c r="C801" s="18" t="s">
        <v>61</v>
      </c>
      <c r="D801" s="18" t="s">
        <v>3551</v>
      </c>
      <c r="E801" s="18" t="n">
        <v>1</v>
      </c>
      <c r="F801" s="18" t="s">
        <v>3567</v>
      </c>
      <c r="G801" s="18" t="s">
        <v>145</v>
      </c>
      <c r="H801" s="18" t="s">
        <v>109</v>
      </c>
      <c r="I801" s="18"/>
      <c r="J801" s="18"/>
      <c r="K801" s="18"/>
      <c r="L801" s="18" t="s">
        <v>109</v>
      </c>
      <c r="M801" s="18" t="s">
        <v>109</v>
      </c>
      <c r="N801" s="18"/>
      <c r="O801" s="18"/>
      <c r="P801" s="18" t="s">
        <v>3568</v>
      </c>
      <c r="Q801" s="18" t="s">
        <v>123</v>
      </c>
      <c r="R801" s="18" t="s">
        <v>3569</v>
      </c>
      <c r="S801" s="18" t="s">
        <v>125</v>
      </c>
      <c r="T801" s="18" t="s">
        <v>3570</v>
      </c>
      <c r="U801" s="18"/>
      <c r="V801" s="19" t="s">
        <v>29</v>
      </c>
      <c r="W801" s="19"/>
      <c r="X801" s="19"/>
      <c r="Y801" s="20"/>
      <c r="Z801" s="19"/>
      <c r="AA801" s="18" t="str">
        <f aca="false">IF(OR(V801="Aprobada"),R801,IF(AND(OR(V801="Aprobada con ajuste",V801="Rechazada"),W801&lt;&gt;""),W801,""))</f>
        <v/>
      </c>
    </row>
    <row r="802" customFormat="false" ht="43.25" hidden="false" customHeight="false" outlineLevel="0" collapsed="false">
      <c r="A802" s="18" t="s">
        <v>3571</v>
      </c>
      <c r="B802" s="18" t="s">
        <v>60</v>
      </c>
      <c r="C802" s="18" t="s">
        <v>61</v>
      </c>
      <c r="D802" s="18" t="s">
        <v>3551</v>
      </c>
      <c r="E802" s="18" t="n">
        <v>1</v>
      </c>
      <c r="F802" s="18" t="s">
        <v>2751</v>
      </c>
      <c r="G802" s="18" t="s">
        <v>1802</v>
      </c>
      <c r="H802" s="18" t="s">
        <v>109</v>
      </c>
      <c r="I802" s="18"/>
      <c r="J802" s="18"/>
      <c r="K802" s="18"/>
      <c r="L802" s="18" t="s">
        <v>109</v>
      </c>
      <c r="M802" s="18" t="s">
        <v>109</v>
      </c>
      <c r="N802" s="18"/>
      <c r="O802" s="18"/>
      <c r="P802" s="18" t="s">
        <v>3572</v>
      </c>
      <c r="Q802" s="18" t="s">
        <v>134</v>
      </c>
      <c r="R802" s="18" t="s">
        <v>3573</v>
      </c>
      <c r="S802" s="18" t="s">
        <v>125</v>
      </c>
      <c r="T802" s="18" t="s">
        <v>1805</v>
      </c>
      <c r="U802" s="18"/>
      <c r="V802" s="19" t="s">
        <v>29</v>
      </c>
      <c r="W802" s="19"/>
      <c r="X802" s="19"/>
      <c r="Y802" s="20"/>
      <c r="Z802" s="19"/>
      <c r="AA802" s="18" t="str">
        <f aca="false">IF(OR(V802="Aprobada"),R802,IF(AND(OR(V802="Aprobada con ajuste",V802="Rechazada"),W802&lt;&gt;""),W802,""))</f>
        <v/>
      </c>
    </row>
    <row r="803" customFormat="false" ht="64.15" hidden="false" customHeight="false" outlineLevel="0" collapsed="false">
      <c r="A803" s="18" t="s">
        <v>3574</v>
      </c>
      <c r="B803" s="18" t="s">
        <v>60</v>
      </c>
      <c r="C803" s="18" t="s">
        <v>61</v>
      </c>
      <c r="D803" s="18" t="s">
        <v>3551</v>
      </c>
      <c r="E803" s="18" t="n">
        <v>1</v>
      </c>
      <c r="F803" s="18" t="s">
        <v>996</v>
      </c>
      <c r="G803" s="18" t="s">
        <v>116</v>
      </c>
      <c r="H803" s="18" t="s">
        <v>109</v>
      </c>
      <c r="I803" s="18"/>
      <c r="J803" s="18"/>
      <c r="K803" s="18"/>
      <c r="L803" s="18" t="s">
        <v>109</v>
      </c>
      <c r="M803" s="18" t="s">
        <v>109</v>
      </c>
      <c r="N803" s="18"/>
      <c r="O803" s="18"/>
      <c r="P803" s="18" t="s">
        <v>3575</v>
      </c>
      <c r="Q803" s="18" t="s">
        <v>134</v>
      </c>
      <c r="R803" s="18" t="s">
        <v>3576</v>
      </c>
      <c r="S803" s="18" t="s">
        <v>125</v>
      </c>
      <c r="T803" s="18" t="s">
        <v>2757</v>
      </c>
      <c r="U803" s="18"/>
      <c r="V803" s="19" t="s">
        <v>29</v>
      </c>
      <c r="W803" s="19"/>
      <c r="X803" s="19"/>
      <c r="Y803" s="20"/>
      <c r="Z803" s="19"/>
      <c r="AA803" s="18" t="str">
        <f aca="false">IF(OR(V803="Aprobada"),R803,IF(AND(OR(V803="Aprobada con ajuste",V803="Rechazada"),W803&lt;&gt;""),W803,""))</f>
        <v/>
      </c>
    </row>
    <row r="804" customFormat="false" ht="85.05" hidden="false" customHeight="false" outlineLevel="0" collapsed="false">
      <c r="A804" s="18" t="s">
        <v>3577</v>
      </c>
      <c r="B804" s="18" t="s">
        <v>60</v>
      </c>
      <c r="C804" s="18" t="s">
        <v>61</v>
      </c>
      <c r="D804" s="18" t="s">
        <v>3551</v>
      </c>
      <c r="E804" s="18" t="n">
        <v>1</v>
      </c>
      <c r="F804" s="18" t="s">
        <v>2765</v>
      </c>
      <c r="G804" s="18" t="s">
        <v>116</v>
      </c>
      <c r="H804" s="18" t="s">
        <v>117</v>
      </c>
      <c r="I804" s="18" t="s">
        <v>140</v>
      </c>
      <c r="J804" s="18"/>
      <c r="K804" s="18"/>
      <c r="L804" s="18" t="s">
        <v>109</v>
      </c>
      <c r="M804" s="18" t="s">
        <v>109</v>
      </c>
      <c r="N804" s="18"/>
      <c r="O804" s="18"/>
      <c r="P804" s="18" t="s">
        <v>3578</v>
      </c>
      <c r="Q804" s="18" t="s">
        <v>123</v>
      </c>
      <c r="R804" s="18" t="s">
        <v>3579</v>
      </c>
      <c r="S804" s="18" t="s">
        <v>112</v>
      </c>
      <c r="T804" s="18" t="s">
        <v>3580</v>
      </c>
      <c r="U804" s="18"/>
      <c r="V804" s="19" t="s">
        <v>29</v>
      </c>
      <c r="W804" s="19"/>
      <c r="X804" s="19"/>
      <c r="Y804" s="20"/>
      <c r="Z804" s="19"/>
      <c r="AA804" s="18" t="str">
        <f aca="false">IF(OR(V804="Aprobada"),R804,IF(AND(OR(V804="Aprobada con ajuste",V804="Rechazada"),W804&lt;&gt;""),W804,""))</f>
        <v/>
      </c>
    </row>
    <row r="805" customFormat="false" ht="74.6" hidden="false" customHeight="false" outlineLevel="0" collapsed="false">
      <c r="A805" s="18" t="s">
        <v>3581</v>
      </c>
      <c r="B805" s="18" t="s">
        <v>60</v>
      </c>
      <c r="C805" s="18" t="s">
        <v>61</v>
      </c>
      <c r="D805" s="18" t="s">
        <v>3551</v>
      </c>
      <c r="E805" s="18" t="n">
        <v>1</v>
      </c>
      <c r="F805" s="18" t="s">
        <v>3582</v>
      </c>
      <c r="G805" s="18" t="s">
        <v>145</v>
      </c>
      <c r="H805" s="18" t="s">
        <v>117</v>
      </c>
      <c r="I805" s="18" t="s">
        <v>140</v>
      </c>
      <c r="J805" s="18"/>
      <c r="K805" s="18"/>
      <c r="L805" s="18" t="s">
        <v>109</v>
      </c>
      <c r="M805" s="18" t="s">
        <v>109</v>
      </c>
      <c r="N805" s="18"/>
      <c r="O805" s="18"/>
      <c r="P805" s="18" t="s">
        <v>3583</v>
      </c>
      <c r="Q805" s="18" t="s">
        <v>123</v>
      </c>
      <c r="R805" s="18" t="s">
        <v>3584</v>
      </c>
      <c r="S805" s="18" t="s">
        <v>125</v>
      </c>
      <c r="T805" s="18" t="s">
        <v>3585</v>
      </c>
      <c r="U805" s="18"/>
      <c r="V805" s="19" t="s">
        <v>29</v>
      </c>
      <c r="W805" s="19"/>
      <c r="X805" s="19"/>
      <c r="Y805" s="20"/>
      <c r="Z805" s="19"/>
      <c r="AA805" s="18" t="str">
        <f aca="false">IF(OR(V805="Aprobada"),R805,IF(AND(OR(V805="Aprobada con ajuste",V805="Rechazada"),W805&lt;&gt;""),W805,""))</f>
        <v/>
      </c>
    </row>
    <row r="806" customFormat="false" ht="22.35" hidden="false" customHeight="false" outlineLevel="0" collapsed="false">
      <c r="A806" s="18" t="s">
        <v>3586</v>
      </c>
      <c r="B806" s="18" t="s">
        <v>60</v>
      </c>
      <c r="C806" s="18" t="s">
        <v>61</v>
      </c>
      <c r="D806" s="18" t="s">
        <v>3551</v>
      </c>
      <c r="E806" s="18" t="n">
        <v>1</v>
      </c>
      <c r="F806" s="18" t="s">
        <v>2770</v>
      </c>
      <c r="G806" s="18" t="s">
        <v>121</v>
      </c>
      <c r="H806" s="18" t="s">
        <v>117</v>
      </c>
      <c r="I806" s="18"/>
      <c r="J806" s="18"/>
      <c r="K806" s="18"/>
      <c r="L806" s="18" t="s">
        <v>109</v>
      </c>
      <c r="M806" s="18" t="s">
        <v>109</v>
      </c>
      <c r="N806" s="18"/>
      <c r="O806" s="18"/>
      <c r="P806" s="18" t="s">
        <v>3587</v>
      </c>
      <c r="Q806" s="18" t="s">
        <v>134</v>
      </c>
      <c r="R806" s="18" t="s">
        <v>3588</v>
      </c>
      <c r="S806" s="18" t="s">
        <v>112</v>
      </c>
      <c r="T806" s="18" t="s">
        <v>3589</v>
      </c>
      <c r="U806" s="18" t="s">
        <v>2774</v>
      </c>
      <c r="V806" s="19" t="s">
        <v>29</v>
      </c>
      <c r="W806" s="19"/>
      <c r="X806" s="19"/>
      <c r="Y806" s="20"/>
      <c r="Z806" s="19"/>
      <c r="AA806" s="18" t="str">
        <f aca="false">IF(OR(V806="Aprobada"),R806,IF(AND(OR(V806="Aprobada con ajuste",V806="Rechazada"),W806&lt;&gt;""),W806,""))</f>
        <v/>
      </c>
    </row>
    <row r="807" customFormat="false" ht="22.35" hidden="false" customHeight="false" outlineLevel="0" collapsed="false">
      <c r="A807" s="18" t="s">
        <v>3590</v>
      </c>
      <c r="B807" s="18" t="s">
        <v>60</v>
      </c>
      <c r="C807" s="18" t="s">
        <v>61</v>
      </c>
      <c r="D807" s="18" t="s">
        <v>3551</v>
      </c>
      <c r="E807" s="18" t="n">
        <v>1</v>
      </c>
      <c r="F807" s="18" t="s">
        <v>2776</v>
      </c>
      <c r="G807" s="18" t="s">
        <v>184</v>
      </c>
      <c r="H807" s="18" t="s">
        <v>117</v>
      </c>
      <c r="I807" s="18" t="s">
        <v>140</v>
      </c>
      <c r="J807" s="18"/>
      <c r="K807" s="18"/>
      <c r="L807" s="18" t="s">
        <v>109</v>
      </c>
      <c r="M807" s="18" t="s">
        <v>109</v>
      </c>
      <c r="N807" s="18"/>
      <c r="O807" s="18"/>
      <c r="P807" s="18" t="s">
        <v>3591</v>
      </c>
      <c r="Q807" s="18" t="s">
        <v>134</v>
      </c>
      <c r="R807" s="18" t="s">
        <v>3592</v>
      </c>
      <c r="S807" s="18" t="s">
        <v>125</v>
      </c>
      <c r="T807" s="18" t="s">
        <v>3593</v>
      </c>
      <c r="U807" s="18"/>
      <c r="V807" s="19" t="s">
        <v>29</v>
      </c>
      <c r="W807" s="19"/>
      <c r="X807" s="19"/>
      <c r="Y807" s="20"/>
      <c r="Z807" s="19"/>
      <c r="AA807" s="18" t="str">
        <f aca="false">IF(OR(V807="Aprobada"),R807,IF(AND(OR(V807="Aprobada con ajuste",V807="Rechazada"),W807&lt;&gt;""),W807,""))</f>
        <v/>
      </c>
    </row>
    <row r="808" customFormat="false" ht="22.35" hidden="false" customHeight="false" outlineLevel="0" collapsed="false">
      <c r="A808" s="18" t="s">
        <v>3594</v>
      </c>
      <c r="B808" s="18" t="s">
        <v>60</v>
      </c>
      <c r="C808" s="18" t="s">
        <v>61</v>
      </c>
      <c r="D808" s="18" t="s">
        <v>3551</v>
      </c>
      <c r="E808" s="18" t="n">
        <v>1</v>
      </c>
      <c r="F808" s="18" t="s">
        <v>1379</v>
      </c>
      <c r="G808" s="18" t="s">
        <v>121</v>
      </c>
      <c r="H808" s="18" t="s">
        <v>117</v>
      </c>
      <c r="I808" s="18"/>
      <c r="J808" s="18"/>
      <c r="K808" s="18"/>
      <c r="L808" s="18" t="s">
        <v>109</v>
      </c>
      <c r="M808" s="18" t="s">
        <v>109</v>
      </c>
      <c r="N808" s="18"/>
      <c r="O808" s="18"/>
      <c r="P808" s="18" t="s">
        <v>3595</v>
      </c>
      <c r="Q808" s="18" t="s">
        <v>110</v>
      </c>
      <c r="R808" s="18" t="s">
        <v>1381</v>
      </c>
      <c r="S808" s="18" t="s">
        <v>112</v>
      </c>
      <c r="T808" s="18" t="s">
        <v>113</v>
      </c>
      <c r="U808" s="18"/>
      <c r="V808" s="19" t="s">
        <v>29</v>
      </c>
      <c r="W808" s="19"/>
      <c r="X808" s="19"/>
      <c r="Y808" s="20"/>
      <c r="Z808" s="19"/>
      <c r="AA808" s="18" t="str">
        <f aca="false">IF(OR(V808="Aprobada"),R808,IF(AND(OR(V808="Aprobada con ajuste",V808="Rechazada"),W808&lt;&gt;""),W808,""))</f>
        <v/>
      </c>
    </row>
    <row r="809" customFormat="false" ht="64.15" hidden="false" customHeight="false" outlineLevel="0" collapsed="false">
      <c r="A809" s="18" t="s">
        <v>3596</v>
      </c>
      <c r="B809" s="18" t="s">
        <v>60</v>
      </c>
      <c r="C809" s="18" t="s">
        <v>61</v>
      </c>
      <c r="D809" s="18" t="s">
        <v>3597</v>
      </c>
      <c r="E809" s="18" t="n">
        <v>1</v>
      </c>
      <c r="F809" s="18" t="s">
        <v>1996</v>
      </c>
      <c r="G809" s="18" t="s">
        <v>394</v>
      </c>
      <c r="H809" s="18" t="s">
        <v>109</v>
      </c>
      <c r="I809" s="18"/>
      <c r="J809" s="18"/>
      <c r="K809" s="18"/>
      <c r="L809" s="18" t="s">
        <v>109</v>
      </c>
      <c r="M809" s="18" t="s">
        <v>109</v>
      </c>
      <c r="N809" s="18"/>
      <c r="O809" s="18"/>
      <c r="P809" s="18" t="s">
        <v>3598</v>
      </c>
      <c r="Q809" s="18" t="s">
        <v>123</v>
      </c>
      <c r="R809" s="18" t="s">
        <v>3599</v>
      </c>
      <c r="S809" s="18" t="s">
        <v>125</v>
      </c>
      <c r="T809" s="18" t="s">
        <v>3600</v>
      </c>
      <c r="U809" s="18"/>
      <c r="V809" s="19" t="s">
        <v>29</v>
      </c>
      <c r="W809" s="19"/>
      <c r="X809" s="19"/>
      <c r="Y809" s="20"/>
      <c r="Z809" s="19"/>
      <c r="AA809" s="18" t="str">
        <f aca="false">IF(OR(V809="Aprobada"),R809,IF(AND(OR(V809="Aprobada con ajuste",V809="Rechazada"),W809&lt;&gt;""),W809,""))</f>
        <v/>
      </c>
    </row>
    <row r="810" customFormat="false" ht="116.4" hidden="false" customHeight="false" outlineLevel="0" collapsed="false">
      <c r="A810" s="18" t="s">
        <v>3601</v>
      </c>
      <c r="B810" s="18" t="s">
        <v>60</v>
      </c>
      <c r="C810" s="18" t="s">
        <v>61</v>
      </c>
      <c r="D810" s="18" t="s">
        <v>3597</v>
      </c>
      <c r="E810" s="18" t="n">
        <v>1</v>
      </c>
      <c r="F810" s="18" t="s">
        <v>2571</v>
      </c>
      <c r="G810" s="18" t="s">
        <v>249</v>
      </c>
      <c r="H810" s="18" t="s">
        <v>109</v>
      </c>
      <c r="I810" s="18"/>
      <c r="J810" s="18"/>
      <c r="K810" s="18"/>
      <c r="L810" s="18" t="s">
        <v>109</v>
      </c>
      <c r="M810" s="18" t="s">
        <v>109</v>
      </c>
      <c r="N810" s="18"/>
      <c r="O810" s="18" t="s">
        <v>3602</v>
      </c>
      <c r="P810" s="18" t="s">
        <v>3603</v>
      </c>
      <c r="Q810" s="18" t="s">
        <v>123</v>
      </c>
      <c r="R810" s="18" t="s">
        <v>3604</v>
      </c>
      <c r="S810" s="18" t="s">
        <v>125</v>
      </c>
      <c r="T810" s="18" t="s">
        <v>3605</v>
      </c>
      <c r="U810" s="18"/>
      <c r="V810" s="19" t="s">
        <v>29</v>
      </c>
      <c r="W810" s="19"/>
      <c r="X810" s="19"/>
      <c r="Y810" s="20"/>
      <c r="Z810" s="19"/>
      <c r="AA810" s="18" t="str">
        <f aca="false">IF(OR(V810="Aprobada"),R810,IF(AND(OR(V810="Aprobada con ajuste",V810="Rechazada"),W810&lt;&gt;""),W810,""))</f>
        <v/>
      </c>
    </row>
    <row r="811" customFormat="false" ht="126.85" hidden="false" customHeight="false" outlineLevel="0" collapsed="false">
      <c r="A811" s="18" t="s">
        <v>3606</v>
      </c>
      <c r="B811" s="18" t="s">
        <v>60</v>
      </c>
      <c r="C811" s="18" t="s">
        <v>61</v>
      </c>
      <c r="D811" s="18" t="s">
        <v>3597</v>
      </c>
      <c r="E811" s="18" t="n">
        <v>1</v>
      </c>
      <c r="F811" s="18" t="s">
        <v>129</v>
      </c>
      <c r="G811" s="18" t="s">
        <v>459</v>
      </c>
      <c r="H811" s="18" t="s">
        <v>109</v>
      </c>
      <c r="I811" s="18"/>
      <c r="J811" s="18"/>
      <c r="K811" s="18"/>
      <c r="L811" s="18" t="s">
        <v>109</v>
      </c>
      <c r="M811" s="18" t="s">
        <v>109</v>
      </c>
      <c r="N811" s="18"/>
      <c r="O811" s="18"/>
      <c r="P811" s="18" t="s">
        <v>3607</v>
      </c>
      <c r="Q811" s="18" t="s">
        <v>123</v>
      </c>
      <c r="R811" s="18" t="s">
        <v>3608</v>
      </c>
      <c r="S811" s="18" t="s">
        <v>125</v>
      </c>
      <c r="T811" s="18" t="s">
        <v>3609</v>
      </c>
      <c r="U811" s="18"/>
      <c r="V811" s="19" t="s">
        <v>29</v>
      </c>
      <c r="W811" s="19"/>
      <c r="X811" s="19"/>
      <c r="Y811" s="20"/>
      <c r="Z811" s="19"/>
      <c r="AA811" s="18" t="str">
        <f aca="false">IF(OR(V811="Aprobada"),R811,IF(AND(OR(V811="Aprobada con ajuste",V811="Rechazada"),W811&lt;&gt;""),W811,""))</f>
        <v/>
      </c>
    </row>
    <row r="812" customFormat="false" ht="32.8" hidden="false" customHeight="false" outlineLevel="0" collapsed="false">
      <c r="A812" s="18" t="s">
        <v>3610</v>
      </c>
      <c r="B812" s="18" t="s">
        <v>60</v>
      </c>
      <c r="C812" s="18" t="s">
        <v>61</v>
      </c>
      <c r="D812" s="18" t="s">
        <v>3597</v>
      </c>
      <c r="E812" s="18" t="n">
        <v>1</v>
      </c>
      <c r="F812" s="18" t="s">
        <v>2950</v>
      </c>
      <c r="G812" s="18" t="s">
        <v>459</v>
      </c>
      <c r="H812" s="18" t="s">
        <v>117</v>
      </c>
      <c r="I812" s="18"/>
      <c r="J812" s="18"/>
      <c r="K812" s="18"/>
      <c r="L812" s="18" t="s">
        <v>109</v>
      </c>
      <c r="M812" s="18" t="s">
        <v>109</v>
      </c>
      <c r="N812" s="18"/>
      <c r="O812" s="18"/>
      <c r="P812" s="18" t="s">
        <v>3611</v>
      </c>
      <c r="Q812" s="18" t="s">
        <v>134</v>
      </c>
      <c r="R812" s="18" t="s">
        <v>3612</v>
      </c>
      <c r="S812" s="18" t="s">
        <v>125</v>
      </c>
      <c r="T812" s="18" t="s">
        <v>1531</v>
      </c>
      <c r="U812" s="18"/>
      <c r="V812" s="19" t="s">
        <v>29</v>
      </c>
      <c r="W812" s="19"/>
      <c r="X812" s="19"/>
      <c r="Y812" s="20"/>
      <c r="Z812" s="19"/>
      <c r="AA812" s="18" t="str">
        <f aca="false">IF(OR(V812="Aprobada"),R812,IF(AND(OR(V812="Aprobada con ajuste",V812="Rechazada"),W812&lt;&gt;""),W812,""))</f>
        <v/>
      </c>
    </row>
    <row r="813" customFormat="false" ht="43.25" hidden="false" customHeight="false" outlineLevel="0" collapsed="false">
      <c r="A813" s="18" t="s">
        <v>3613</v>
      </c>
      <c r="B813" s="18" t="s">
        <v>60</v>
      </c>
      <c r="C813" s="18" t="s">
        <v>61</v>
      </c>
      <c r="D813" s="18" t="s">
        <v>3597</v>
      </c>
      <c r="E813" s="18" t="n">
        <v>1</v>
      </c>
      <c r="F813" s="18" t="s">
        <v>2954</v>
      </c>
      <c r="G813" s="18" t="s">
        <v>459</v>
      </c>
      <c r="H813" s="18" t="s">
        <v>117</v>
      </c>
      <c r="I813" s="18"/>
      <c r="J813" s="18"/>
      <c r="K813" s="18"/>
      <c r="L813" s="18" t="s">
        <v>109</v>
      </c>
      <c r="M813" s="18" t="s">
        <v>109</v>
      </c>
      <c r="N813" s="18"/>
      <c r="O813" s="18"/>
      <c r="P813" s="18" t="s">
        <v>3614</v>
      </c>
      <c r="Q813" s="18" t="s">
        <v>110</v>
      </c>
      <c r="R813" s="18" t="s">
        <v>2956</v>
      </c>
      <c r="S813" s="18" t="s">
        <v>112</v>
      </c>
      <c r="T813" s="18" t="s">
        <v>113</v>
      </c>
      <c r="U813" s="18"/>
      <c r="V813" s="19" t="s">
        <v>29</v>
      </c>
      <c r="W813" s="19"/>
      <c r="X813" s="19"/>
      <c r="Y813" s="20"/>
      <c r="Z813" s="19"/>
      <c r="AA813" s="18" t="str">
        <f aca="false">IF(OR(V813="Aprobada"),R813,IF(AND(OR(V813="Aprobada con ajuste",V813="Rechazada"),W813&lt;&gt;""),W813,""))</f>
        <v/>
      </c>
    </row>
    <row r="814" customFormat="false" ht="22.35" hidden="false" customHeight="false" outlineLevel="0" collapsed="false">
      <c r="A814" s="18" t="s">
        <v>3615</v>
      </c>
      <c r="B814" s="18" t="s">
        <v>60</v>
      </c>
      <c r="C814" s="18" t="s">
        <v>61</v>
      </c>
      <c r="D814" s="18" t="s">
        <v>3597</v>
      </c>
      <c r="E814" s="18" t="n">
        <v>1</v>
      </c>
      <c r="F814" s="18" t="s">
        <v>2001</v>
      </c>
      <c r="G814" s="18" t="s">
        <v>459</v>
      </c>
      <c r="H814" s="18" t="s">
        <v>117</v>
      </c>
      <c r="I814" s="18"/>
      <c r="J814" s="18"/>
      <c r="K814" s="18"/>
      <c r="L814" s="18" t="s">
        <v>109</v>
      </c>
      <c r="M814" s="18" t="s">
        <v>109</v>
      </c>
      <c r="N814" s="18"/>
      <c r="O814" s="18"/>
      <c r="P814" s="18" t="s">
        <v>3616</v>
      </c>
      <c r="Q814" s="18" t="s">
        <v>134</v>
      </c>
      <c r="R814" s="18" t="s">
        <v>3617</v>
      </c>
      <c r="S814" s="18" t="s">
        <v>112</v>
      </c>
      <c r="T814" s="18" t="s">
        <v>3315</v>
      </c>
      <c r="U814" s="18" t="s">
        <v>3618</v>
      </c>
      <c r="V814" s="19" t="s">
        <v>29</v>
      </c>
      <c r="W814" s="19"/>
      <c r="X814" s="19"/>
      <c r="Y814" s="20"/>
      <c r="Z814" s="19"/>
      <c r="AA814" s="18" t="str">
        <f aca="false">IF(OR(V814="Aprobada"),R814,IF(AND(OR(V814="Aprobada con ajuste",V814="Rechazada"),W814&lt;&gt;""),W814,""))</f>
        <v/>
      </c>
    </row>
    <row r="815" customFormat="false" ht="22.35" hidden="false" customHeight="false" outlineLevel="0" collapsed="false">
      <c r="A815" s="18" t="s">
        <v>3619</v>
      </c>
      <c r="B815" s="18" t="s">
        <v>60</v>
      </c>
      <c r="C815" s="18" t="s">
        <v>61</v>
      </c>
      <c r="D815" s="18" t="s">
        <v>3597</v>
      </c>
      <c r="E815" s="18" t="n">
        <v>1</v>
      </c>
      <c r="F815" s="18" t="s">
        <v>107</v>
      </c>
      <c r="G815" s="18" t="s">
        <v>151</v>
      </c>
      <c r="H815" s="18" t="s">
        <v>109</v>
      </c>
      <c r="I815" s="18" t="s">
        <v>140</v>
      </c>
      <c r="J815" s="18" t="s">
        <v>2965</v>
      </c>
      <c r="K815" s="18"/>
      <c r="L815" s="18" t="s">
        <v>117</v>
      </c>
      <c r="M815" s="18" t="s">
        <v>109</v>
      </c>
      <c r="N815" s="18"/>
      <c r="O815" s="18"/>
      <c r="P815" s="18" t="s">
        <v>3620</v>
      </c>
      <c r="Q815" s="18" t="s">
        <v>110</v>
      </c>
      <c r="R815" s="18" t="s">
        <v>3621</v>
      </c>
      <c r="S815" s="18" t="s">
        <v>112</v>
      </c>
      <c r="T815" s="18" t="s">
        <v>113</v>
      </c>
      <c r="U815" s="18"/>
      <c r="V815" s="19" t="s">
        <v>29</v>
      </c>
      <c r="W815" s="19"/>
      <c r="X815" s="19"/>
      <c r="Y815" s="20"/>
      <c r="Z815" s="19"/>
      <c r="AA815" s="18" t="str">
        <f aca="false">IF(OR(V815="Aprobada"),R815,IF(AND(OR(V815="Aprobada con ajuste",V815="Rechazada"),W815&lt;&gt;""),W815,""))</f>
        <v/>
      </c>
    </row>
    <row r="816" customFormat="false" ht="116.4" hidden="false" customHeight="false" outlineLevel="0" collapsed="false">
      <c r="A816" s="18" t="s">
        <v>3622</v>
      </c>
      <c r="B816" s="18" t="s">
        <v>60</v>
      </c>
      <c r="C816" s="18" t="s">
        <v>61</v>
      </c>
      <c r="D816" s="18" t="s">
        <v>3597</v>
      </c>
      <c r="E816" s="18" t="n">
        <v>1</v>
      </c>
      <c r="F816" s="18" t="s">
        <v>3623</v>
      </c>
      <c r="G816" s="18" t="s">
        <v>184</v>
      </c>
      <c r="H816" s="18" t="s">
        <v>117</v>
      </c>
      <c r="I816" s="18"/>
      <c r="J816" s="18"/>
      <c r="K816" s="18"/>
      <c r="L816" s="18" t="s">
        <v>109</v>
      </c>
      <c r="M816" s="18" t="s">
        <v>109</v>
      </c>
      <c r="N816" s="18"/>
      <c r="O816" s="18"/>
      <c r="P816" s="18" t="s">
        <v>3624</v>
      </c>
      <c r="Q816" s="18" t="s">
        <v>123</v>
      </c>
      <c r="R816" s="18" t="s">
        <v>3625</v>
      </c>
      <c r="S816" s="18" t="s">
        <v>125</v>
      </c>
      <c r="T816" s="18" t="s">
        <v>3626</v>
      </c>
      <c r="U816" s="18"/>
      <c r="V816" s="19" t="s">
        <v>29</v>
      </c>
      <c r="W816" s="19"/>
      <c r="X816" s="19"/>
      <c r="Y816" s="20"/>
      <c r="Z816" s="19"/>
      <c r="AA816" s="18" t="str">
        <f aca="false">IF(OR(V816="Aprobada"),R816,IF(AND(OR(V816="Aprobada con ajuste",V816="Rechazada"),W816&lt;&gt;""),W816,""))</f>
        <v/>
      </c>
    </row>
    <row r="817" customFormat="false" ht="22.35" hidden="false" customHeight="false" outlineLevel="0" collapsed="false">
      <c r="A817" s="18" t="s">
        <v>3627</v>
      </c>
      <c r="B817" s="18" t="s">
        <v>60</v>
      </c>
      <c r="C817" s="18" t="s">
        <v>61</v>
      </c>
      <c r="D817" s="18" t="s">
        <v>3597</v>
      </c>
      <c r="E817" s="18" t="n">
        <v>1</v>
      </c>
      <c r="F817" s="18" t="s">
        <v>2969</v>
      </c>
      <c r="G817" s="18" t="s">
        <v>184</v>
      </c>
      <c r="H817" s="18" t="s">
        <v>117</v>
      </c>
      <c r="I817" s="18" t="s">
        <v>140</v>
      </c>
      <c r="J817" s="18"/>
      <c r="K817" s="18"/>
      <c r="L817" s="18" t="s">
        <v>109</v>
      </c>
      <c r="M817" s="18" t="s">
        <v>109</v>
      </c>
      <c r="N817" s="18"/>
      <c r="O817" s="18"/>
      <c r="P817" s="18" t="s">
        <v>3628</v>
      </c>
      <c r="Q817" s="18" t="s">
        <v>134</v>
      </c>
      <c r="R817" s="18" t="s">
        <v>3629</v>
      </c>
      <c r="S817" s="18" t="s">
        <v>125</v>
      </c>
      <c r="T817" s="18" t="s">
        <v>2972</v>
      </c>
      <c r="U817" s="18"/>
      <c r="V817" s="19" t="s">
        <v>29</v>
      </c>
      <c r="W817" s="19"/>
      <c r="X817" s="19"/>
      <c r="Y817" s="20"/>
      <c r="Z817" s="19"/>
      <c r="AA817" s="18" t="str">
        <f aca="false">IF(OR(V817="Aprobada"),R817,IF(AND(OR(V817="Aprobada con ajuste",V817="Rechazada"),W817&lt;&gt;""),W817,""))</f>
        <v/>
      </c>
    </row>
    <row r="818" customFormat="false" ht="22.35" hidden="false" customHeight="false" outlineLevel="0" collapsed="false">
      <c r="A818" s="18" t="s">
        <v>3630</v>
      </c>
      <c r="B818" s="18" t="s">
        <v>60</v>
      </c>
      <c r="C818" s="18" t="s">
        <v>61</v>
      </c>
      <c r="D818" s="18" t="s">
        <v>3597</v>
      </c>
      <c r="E818" s="18" t="n">
        <v>1</v>
      </c>
      <c r="F818" s="18" t="s">
        <v>2974</v>
      </c>
      <c r="G818" s="18" t="s">
        <v>459</v>
      </c>
      <c r="H818" s="18" t="s">
        <v>117</v>
      </c>
      <c r="I818" s="18"/>
      <c r="J818" s="18"/>
      <c r="K818" s="18"/>
      <c r="L818" s="18" t="s">
        <v>109</v>
      </c>
      <c r="M818" s="18" t="s">
        <v>109</v>
      </c>
      <c r="N818" s="18"/>
      <c r="O818" s="18"/>
      <c r="P818" s="18" t="s">
        <v>3631</v>
      </c>
      <c r="Q818" s="18" t="s">
        <v>134</v>
      </c>
      <c r="R818" s="18" t="s">
        <v>3632</v>
      </c>
      <c r="S818" s="18" t="s">
        <v>112</v>
      </c>
      <c r="T818" s="18" t="s">
        <v>2977</v>
      </c>
      <c r="U818" s="18" t="s">
        <v>2774</v>
      </c>
      <c r="V818" s="19" t="s">
        <v>29</v>
      </c>
      <c r="W818" s="19"/>
      <c r="X818" s="19"/>
      <c r="Y818" s="20"/>
      <c r="Z818" s="19"/>
      <c r="AA818" s="18" t="str">
        <f aca="false">IF(OR(V818="Aprobada"),R818,IF(AND(OR(V818="Aprobada con ajuste",V818="Rechazada"),W818&lt;&gt;""),W818,""))</f>
        <v/>
      </c>
    </row>
    <row r="819" customFormat="false" ht="22.35" hidden="false" customHeight="false" outlineLevel="0" collapsed="false">
      <c r="A819" s="18" t="s">
        <v>3633</v>
      </c>
      <c r="B819" s="18" t="s">
        <v>60</v>
      </c>
      <c r="C819" s="18" t="s">
        <v>61</v>
      </c>
      <c r="D819" s="18" t="s">
        <v>3597</v>
      </c>
      <c r="E819" s="18" t="n">
        <v>1</v>
      </c>
      <c r="F819" s="18" t="s">
        <v>2979</v>
      </c>
      <c r="G819" s="18" t="s">
        <v>116</v>
      </c>
      <c r="H819" s="18" t="s">
        <v>117</v>
      </c>
      <c r="I819" s="18" t="s">
        <v>140</v>
      </c>
      <c r="J819" s="18"/>
      <c r="K819" s="18"/>
      <c r="L819" s="18" t="s">
        <v>109</v>
      </c>
      <c r="M819" s="18" t="s">
        <v>109</v>
      </c>
      <c r="N819" s="18"/>
      <c r="O819" s="18"/>
      <c r="P819" s="18" t="s">
        <v>3634</v>
      </c>
      <c r="Q819" s="18" t="s">
        <v>110</v>
      </c>
      <c r="R819" s="18" t="s">
        <v>2981</v>
      </c>
      <c r="S819" s="18" t="s">
        <v>112</v>
      </c>
      <c r="T819" s="18" t="s">
        <v>113</v>
      </c>
      <c r="U819" s="18"/>
      <c r="V819" s="19" t="s">
        <v>29</v>
      </c>
      <c r="W819" s="19"/>
      <c r="X819" s="19"/>
      <c r="Y819" s="20"/>
      <c r="Z819" s="19"/>
      <c r="AA819" s="18" t="str">
        <f aca="false">IF(OR(V819="Aprobada"),R819,IF(AND(OR(V819="Aprobada con ajuste",V819="Rechazada"),W819&lt;&gt;""),W819,""))</f>
        <v/>
      </c>
    </row>
    <row r="820" customFormat="false" ht="64.15" hidden="false" customHeight="false" outlineLevel="0" collapsed="false">
      <c r="A820" s="18" t="s">
        <v>3635</v>
      </c>
      <c r="B820" s="18" t="s">
        <v>60</v>
      </c>
      <c r="C820" s="18" t="s">
        <v>61</v>
      </c>
      <c r="D820" s="18" t="s">
        <v>3636</v>
      </c>
      <c r="E820" s="18" t="n">
        <v>1</v>
      </c>
      <c r="F820" s="18" t="s">
        <v>2609</v>
      </c>
      <c r="G820" s="18" t="s">
        <v>394</v>
      </c>
      <c r="H820" s="18" t="s">
        <v>109</v>
      </c>
      <c r="I820" s="18"/>
      <c r="J820" s="18"/>
      <c r="K820" s="18"/>
      <c r="L820" s="18" t="s">
        <v>109</v>
      </c>
      <c r="M820" s="18" t="s">
        <v>109</v>
      </c>
      <c r="N820" s="18"/>
      <c r="O820" s="18"/>
      <c r="P820" s="18" t="s">
        <v>3637</v>
      </c>
      <c r="Q820" s="18" t="s">
        <v>123</v>
      </c>
      <c r="R820" s="18" t="s">
        <v>3638</v>
      </c>
      <c r="S820" s="18" t="s">
        <v>125</v>
      </c>
      <c r="T820" s="18" t="s">
        <v>3639</v>
      </c>
      <c r="U820" s="18"/>
      <c r="V820" s="19" t="s">
        <v>29</v>
      </c>
      <c r="W820" s="19"/>
      <c r="X820" s="19"/>
      <c r="Y820" s="20"/>
      <c r="Z820" s="19"/>
      <c r="AA820" s="18" t="str">
        <f aca="false">IF(OR(V820="Aprobada"),R820,IF(AND(OR(V820="Aprobada con ajuste",V820="Rechazada"),W820&lt;&gt;""),W820,""))</f>
        <v/>
      </c>
    </row>
    <row r="821" customFormat="false" ht="22.35" hidden="false" customHeight="false" outlineLevel="0" collapsed="false">
      <c r="A821" s="18" t="s">
        <v>3640</v>
      </c>
      <c r="B821" s="18" t="s">
        <v>60</v>
      </c>
      <c r="C821" s="18" t="s">
        <v>61</v>
      </c>
      <c r="D821" s="18" t="s">
        <v>3636</v>
      </c>
      <c r="E821" s="18" t="n">
        <v>1</v>
      </c>
      <c r="F821" s="18" t="s">
        <v>1379</v>
      </c>
      <c r="G821" s="18" t="s">
        <v>459</v>
      </c>
      <c r="H821" s="18" t="s">
        <v>117</v>
      </c>
      <c r="I821" s="18"/>
      <c r="J821" s="18"/>
      <c r="K821" s="18"/>
      <c r="L821" s="18" t="s">
        <v>109</v>
      </c>
      <c r="M821" s="18" t="s">
        <v>109</v>
      </c>
      <c r="N821" s="18"/>
      <c r="O821" s="18"/>
      <c r="P821" s="18" t="s">
        <v>3641</v>
      </c>
      <c r="Q821" s="18" t="s">
        <v>110</v>
      </c>
      <c r="R821" s="18" t="s">
        <v>1381</v>
      </c>
      <c r="S821" s="18" t="s">
        <v>112</v>
      </c>
      <c r="T821" s="18" t="s">
        <v>113</v>
      </c>
      <c r="U821" s="18"/>
      <c r="V821" s="19" t="s">
        <v>29</v>
      </c>
      <c r="W821" s="19"/>
      <c r="X821" s="19"/>
      <c r="Y821" s="20"/>
      <c r="Z821" s="19"/>
      <c r="AA821" s="18" t="str">
        <f aca="false">IF(OR(V821="Aprobada"),R821,IF(AND(OR(V821="Aprobada con ajuste",V821="Rechazada"),W821&lt;&gt;""),W821,""))</f>
        <v/>
      </c>
    </row>
    <row r="822" customFormat="false" ht="95.5" hidden="false" customHeight="false" outlineLevel="0" collapsed="false">
      <c r="A822" s="18" t="s">
        <v>3642</v>
      </c>
      <c r="B822" s="18" t="s">
        <v>60</v>
      </c>
      <c r="C822" s="18" t="s">
        <v>61</v>
      </c>
      <c r="D822" s="18" t="s">
        <v>3643</v>
      </c>
      <c r="E822" s="18" t="n">
        <v>12</v>
      </c>
      <c r="F822" s="18" t="s">
        <v>129</v>
      </c>
      <c r="G822" s="18" t="s">
        <v>459</v>
      </c>
      <c r="H822" s="18" t="s">
        <v>109</v>
      </c>
      <c r="I822" s="18"/>
      <c r="J822" s="18"/>
      <c r="K822" s="18"/>
      <c r="L822" s="18" t="s">
        <v>117</v>
      </c>
      <c r="M822" s="18" t="s">
        <v>109</v>
      </c>
      <c r="N822" s="18"/>
      <c r="O822" s="18"/>
      <c r="P822" s="18" t="s">
        <v>3644</v>
      </c>
      <c r="Q822" s="18" t="s">
        <v>110</v>
      </c>
      <c r="R822" s="18" t="s">
        <v>3645</v>
      </c>
      <c r="S822" s="18" t="s">
        <v>112</v>
      </c>
      <c r="T822" s="18" t="s">
        <v>113</v>
      </c>
      <c r="U822" s="18"/>
      <c r="V822" s="19" t="s">
        <v>29</v>
      </c>
      <c r="W822" s="19"/>
      <c r="X822" s="19"/>
      <c r="Y822" s="20"/>
      <c r="Z822" s="19"/>
      <c r="AA822" s="18" t="str">
        <f aca="false">IF(OR(V822="Aprobada"),R822,IF(AND(OR(V822="Aprobada con ajuste",V822="Rechazada"),W822&lt;&gt;""),W822,""))</f>
        <v/>
      </c>
    </row>
    <row r="823" customFormat="false" ht="74.6" hidden="false" customHeight="false" outlineLevel="0" collapsed="false">
      <c r="A823" s="18" t="s">
        <v>3646</v>
      </c>
      <c r="B823" s="18" t="s">
        <v>60</v>
      </c>
      <c r="C823" s="18" t="s">
        <v>61</v>
      </c>
      <c r="D823" s="18" t="s">
        <v>3643</v>
      </c>
      <c r="E823" s="18" t="n">
        <v>12</v>
      </c>
      <c r="F823" s="18" t="s">
        <v>1018</v>
      </c>
      <c r="G823" s="18" t="s">
        <v>116</v>
      </c>
      <c r="H823" s="18" t="s">
        <v>117</v>
      </c>
      <c r="I823" s="18"/>
      <c r="J823" s="18"/>
      <c r="K823" s="18"/>
      <c r="L823" s="18" t="s">
        <v>117</v>
      </c>
      <c r="M823" s="18" t="s">
        <v>109</v>
      </c>
      <c r="N823" s="18"/>
      <c r="O823" s="18"/>
      <c r="P823" s="18" t="s">
        <v>3647</v>
      </c>
      <c r="Q823" s="18" t="s">
        <v>110</v>
      </c>
      <c r="R823" s="18" t="s">
        <v>3648</v>
      </c>
      <c r="S823" s="18" t="s">
        <v>112</v>
      </c>
      <c r="T823" s="18" t="s">
        <v>113</v>
      </c>
      <c r="U823" s="18"/>
      <c r="V823" s="19" t="s">
        <v>29</v>
      </c>
      <c r="W823" s="19"/>
      <c r="X823" s="19"/>
      <c r="Y823" s="20"/>
      <c r="Z823" s="19"/>
      <c r="AA823" s="18" t="str">
        <f aca="false">IF(OR(V823="Aprobada"),R823,IF(AND(OR(V823="Aprobada con ajuste",V823="Rechazada"),W823&lt;&gt;""),W823,""))</f>
        <v/>
      </c>
    </row>
    <row r="824" customFormat="false" ht="64.15" hidden="false" customHeight="false" outlineLevel="0" collapsed="false">
      <c r="A824" s="18" t="s">
        <v>3649</v>
      </c>
      <c r="B824" s="18" t="s">
        <v>60</v>
      </c>
      <c r="C824" s="18" t="s">
        <v>61</v>
      </c>
      <c r="D824" s="18" t="s">
        <v>3643</v>
      </c>
      <c r="E824" s="18" t="n">
        <v>12</v>
      </c>
      <c r="F824" s="18" t="s">
        <v>3650</v>
      </c>
      <c r="G824" s="18" t="s">
        <v>151</v>
      </c>
      <c r="H824" s="18" t="s">
        <v>109</v>
      </c>
      <c r="I824" s="18"/>
      <c r="J824" s="18"/>
      <c r="K824" s="18"/>
      <c r="L824" s="18" t="s">
        <v>117</v>
      </c>
      <c r="M824" s="18" t="s">
        <v>109</v>
      </c>
      <c r="N824" s="18"/>
      <c r="O824" s="18"/>
      <c r="P824" s="18" t="s">
        <v>3651</v>
      </c>
      <c r="Q824" s="18" t="s">
        <v>123</v>
      </c>
      <c r="R824" s="18" t="s">
        <v>3652</v>
      </c>
      <c r="S824" s="18" t="s">
        <v>125</v>
      </c>
      <c r="T824" s="18" t="s">
        <v>3653</v>
      </c>
      <c r="U824" s="18"/>
      <c r="V824" s="19" t="s">
        <v>29</v>
      </c>
      <c r="W824" s="19"/>
      <c r="X824" s="19"/>
      <c r="Y824" s="20"/>
      <c r="Z824" s="19"/>
      <c r="AA824" s="18" t="str">
        <f aca="false">IF(OR(V824="Aprobada"),R824,IF(AND(OR(V824="Aprobada con ajuste",V824="Rechazada"),W824&lt;&gt;""),W824,""))</f>
        <v/>
      </c>
    </row>
    <row r="825" customFormat="false" ht="64.15" hidden="false" customHeight="false" outlineLevel="0" collapsed="false">
      <c r="A825" s="18" t="s">
        <v>3654</v>
      </c>
      <c r="B825" s="18" t="s">
        <v>60</v>
      </c>
      <c r="C825" s="18" t="s">
        <v>61</v>
      </c>
      <c r="D825" s="18" t="s">
        <v>3643</v>
      </c>
      <c r="E825" s="18" t="n">
        <v>12</v>
      </c>
      <c r="F825" s="18" t="s">
        <v>3655</v>
      </c>
      <c r="G825" s="18" t="s">
        <v>145</v>
      </c>
      <c r="H825" s="18" t="s">
        <v>109</v>
      </c>
      <c r="I825" s="18"/>
      <c r="J825" s="18"/>
      <c r="K825" s="18"/>
      <c r="L825" s="18" t="s">
        <v>117</v>
      </c>
      <c r="M825" s="18" t="s">
        <v>109</v>
      </c>
      <c r="N825" s="18"/>
      <c r="O825" s="18"/>
      <c r="P825" s="18" t="s">
        <v>3656</v>
      </c>
      <c r="Q825" s="18" t="s">
        <v>123</v>
      </c>
      <c r="R825" s="18" t="s">
        <v>3657</v>
      </c>
      <c r="S825" s="18" t="s">
        <v>125</v>
      </c>
      <c r="T825" s="18" t="s">
        <v>3658</v>
      </c>
      <c r="U825" s="18"/>
      <c r="V825" s="19" t="s">
        <v>29</v>
      </c>
      <c r="W825" s="19"/>
      <c r="X825" s="19"/>
      <c r="Y825" s="20"/>
      <c r="Z825" s="19"/>
      <c r="AA825" s="18" t="str">
        <f aca="false">IF(OR(V825="Aprobada"),R825,IF(AND(OR(V825="Aprobada con ajuste",V825="Rechazada"),W825&lt;&gt;""),W825,""))</f>
        <v/>
      </c>
    </row>
    <row r="826" customFormat="false" ht="32.8" hidden="false" customHeight="false" outlineLevel="0" collapsed="false">
      <c r="A826" s="18" t="s">
        <v>3659</v>
      </c>
      <c r="B826" s="18" t="s">
        <v>60</v>
      </c>
      <c r="C826" s="18" t="s">
        <v>61</v>
      </c>
      <c r="D826" s="18" t="s">
        <v>3643</v>
      </c>
      <c r="E826" s="18" t="n">
        <v>12</v>
      </c>
      <c r="F826" s="18" t="s">
        <v>857</v>
      </c>
      <c r="G826" s="18" t="s">
        <v>145</v>
      </c>
      <c r="H826" s="18" t="s">
        <v>109</v>
      </c>
      <c r="I826" s="18"/>
      <c r="J826" s="18"/>
      <c r="K826" s="18"/>
      <c r="L826" s="18" t="s">
        <v>117</v>
      </c>
      <c r="M826" s="18" t="s">
        <v>109</v>
      </c>
      <c r="N826" s="18"/>
      <c r="O826" s="18"/>
      <c r="P826" s="18" t="s">
        <v>3660</v>
      </c>
      <c r="Q826" s="18" t="s">
        <v>110</v>
      </c>
      <c r="R826" s="18" t="s">
        <v>859</v>
      </c>
      <c r="S826" s="18" t="s">
        <v>112</v>
      </c>
      <c r="T826" s="18" t="s">
        <v>113</v>
      </c>
      <c r="U826" s="18"/>
      <c r="V826" s="19" t="s">
        <v>29</v>
      </c>
      <c r="W826" s="19"/>
      <c r="X826" s="19"/>
      <c r="Y826" s="20"/>
      <c r="Z826" s="19"/>
      <c r="AA826" s="18" t="str">
        <f aca="false">IF(OR(V826="Aprobada"),R826,IF(AND(OR(V826="Aprobada con ajuste",V826="Rechazada"),W826&lt;&gt;""),W826,""))</f>
        <v/>
      </c>
    </row>
    <row r="827" customFormat="false" ht="32.8" hidden="false" customHeight="false" outlineLevel="0" collapsed="false">
      <c r="A827" s="18" t="s">
        <v>3661</v>
      </c>
      <c r="B827" s="18" t="s">
        <v>60</v>
      </c>
      <c r="C827" s="18" t="s">
        <v>61</v>
      </c>
      <c r="D827" s="18" t="s">
        <v>3643</v>
      </c>
      <c r="E827" s="18" t="n">
        <v>12</v>
      </c>
      <c r="F827" s="18" t="s">
        <v>1030</v>
      </c>
      <c r="G827" s="18" t="s">
        <v>139</v>
      </c>
      <c r="H827" s="18" t="s">
        <v>109</v>
      </c>
      <c r="I827" s="18"/>
      <c r="J827" s="18"/>
      <c r="K827" s="18"/>
      <c r="L827" s="18" t="s">
        <v>117</v>
      </c>
      <c r="M827" s="18" t="s">
        <v>109</v>
      </c>
      <c r="N827" s="18"/>
      <c r="O827" s="18"/>
      <c r="P827" s="18" t="s">
        <v>3662</v>
      </c>
      <c r="Q827" s="18" t="s">
        <v>110</v>
      </c>
      <c r="R827" s="18" t="s">
        <v>1031</v>
      </c>
      <c r="S827" s="18" t="s">
        <v>112</v>
      </c>
      <c r="T827" s="18" t="s">
        <v>113</v>
      </c>
      <c r="U827" s="18"/>
      <c r="V827" s="19" t="s">
        <v>29</v>
      </c>
      <c r="W827" s="19"/>
      <c r="X827" s="19"/>
      <c r="Y827" s="20"/>
      <c r="Z827" s="19"/>
      <c r="AA827" s="18" t="str">
        <f aca="false">IF(OR(V827="Aprobada"),R827,IF(AND(OR(V827="Aprobada con ajuste",V827="Rechazada"),W827&lt;&gt;""),W827,""))</f>
        <v/>
      </c>
    </row>
    <row r="828" customFormat="false" ht="85.05" hidden="false" customHeight="false" outlineLevel="0" collapsed="false">
      <c r="A828" s="18" t="s">
        <v>3663</v>
      </c>
      <c r="B828" s="18" t="s">
        <v>60</v>
      </c>
      <c r="C828" s="18" t="s">
        <v>61</v>
      </c>
      <c r="D828" s="18" t="s">
        <v>3664</v>
      </c>
      <c r="E828" s="18" t="n">
        <v>7</v>
      </c>
      <c r="F828" s="18" t="s">
        <v>129</v>
      </c>
      <c r="G828" s="18" t="s">
        <v>459</v>
      </c>
      <c r="H828" s="18" t="s">
        <v>109</v>
      </c>
      <c r="I828" s="18"/>
      <c r="J828" s="18"/>
      <c r="K828" s="18"/>
      <c r="L828" s="18" t="s">
        <v>117</v>
      </c>
      <c r="M828" s="18" t="s">
        <v>109</v>
      </c>
      <c r="N828" s="18"/>
      <c r="O828" s="18"/>
      <c r="P828" s="18" t="s">
        <v>3665</v>
      </c>
      <c r="Q828" s="18" t="s">
        <v>110</v>
      </c>
      <c r="R828" s="18" t="s">
        <v>3666</v>
      </c>
      <c r="S828" s="18" t="s">
        <v>112</v>
      </c>
      <c r="T828" s="18" t="s">
        <v>113</v>
      </c>
      <c r="U828" s="18"/>
      <c r="V828" s="19" t="s">
        <v>29</v>
      </c>
      <c r="W828" s="19"/>
      <c r="X828" s="19"/>
      <c r="Y828" s="20"/>
      <c r="Z828" s="19"/>
      <c r="AA828" s="18" t="str">
        <f aca="false">IF(OR(V828="Aprobada"),R828,IF(AND(OR(V828="Aprobada con ajuste",V828="Rechazada"),W828&lt;&gt;""),W828,""))</f>
        <v/>
      </c>
    </row>
    <row r="829" customFormat="false" ht="64.15" hidden="false" customHeight="false" outlineLevel="0" collapsed="false">
      <c r="A829" s="18" t="s">
        <v>3667</v>
      </c>
      <c r="B829" s="18" t="s">
        <v>60</v>
      </c>
      <c r="C829" s="18" t="s">
        <v>61</v>
      </c>
      <c r="D829" s="18" t="s">
        <v>3664</v>
      </c>
      <c r="E829" s="18" t="n">
        <v>7</v>
      </c>
      <c r="F829" s="18" t="s">
        <v>1018</v>
      </c>
      <c r="G829" s="18" t="s">
        <v>116</v>
      </c>
      <c r="H829" s="18" t="s">
        <v>117</v>
      </c>
      <c r="I829" s="18"/>
      <c r="J829" s="18"/>
      <c r="K829" s="18"/>
      <c r="L829" s="18" t="s">
        <v>117</v>
      </c>
      <c r="M829" s="18" t="s">
        <v>109</v>
      </c>
      <c r="N829" s="18"/>
      <c r="O829" s="18"/>
      <c r="P829" s="18" t="s">
        <v>3668</v>
      </c>
      <c r="Q829" s="18" t="s">
        <v>110</v>
      </c>
      <c r="R829" s="18" t="s">
        <v>3669</v>
      </c>
      <c r="S829" s="18" t="s">
        <v>112</v>
      </c>
      <c r="T829" s="18" t="s">
        <v>113</v>
      </c>
      <c r="U829" s="18"/>
      <c r="V829" s="19" t="s">
        <v>29</v>
      </c>
      <c r="W829" s="19"/>
      <c r="X829" s="19"/>
      <c r="Y829" s="20"/>
      <c r="Z829" s="19"/>
      <c r="AA829" s="18" t="str">
        <f aca="false">IF(OR(V829="Aprobada"),R829,IF(AND(OR(V829="Aprobada con ajuste",V829="Rechazada"),W829&lt;&gt;""),W829,""))</f>
        <v/>
      </c>
    </row>
    <row r="830" customFormat="false" ht="22.35" hidden="false" customHeight="false" outlineLevel="0" collapsed="false">
      <c r="A830" s="18" t="s">
        <v>3670</v>
      </c>
      <c r="B830" s="18" t="s">
        <v>60</v>
      </c>
      <c r="C830" s="18" t="s">
        <v>61</v>
      </c>
      <c r="D830" s="18" t="s">
        <v>3664</v>
      </c>
      <c r="E830" s="18" t="n">
        <v>7</v>
      </c>
      <c r="F830" s="18" t="s">
        <v>857</v>
      </c>
      <c r="G830" s="18" t="s">
        <v>145</v>
      </c>
      <c r="H830" s="18" t="s">
        <v>109</v>
      </c>
      <c r="I830" s="18"/>
      <c r="J830" s="18"/>
      <c r="K830" s="18"/>
      <c r="L830" s="18" t="s">
        <v>117</v>
      </c>
      <c r="M830" s="18" t="s">
        <v>109</v>
      </c>
      <c r="N830" s="18"/>
      <c r="O830" s="18"/>
      <c r="P830" s="18" t="s">
        <v>3671</v>
      </c>
      <c r="Q830" s="18" t="s">
        <v>110</v>
      </c>
      <c r="R830" s="18" t="s">
        <v>859</v>
      </c>
      <c r="S830" s="18" t="s">
        <v>112</v>
      </c>
      <c r="T830" s="18" t="s">
        <v>113</v>
      </c>
      <c r="U830" s="18"/>
      <c r="V830" s="19" t="s">
        <v>29</v>
      </c>
      <c r="W830" s="19"/>
      <c r="X830" s="19"/>
      <c r="Y830" s="20"/>
      <c r="Z830" s="19"/>
      <c r="AA830" s="18" t="str">
        <f aca="false">IF(OR(V830="Aprobada"),R830,IF(AND(OR(V830="Aprobada con ajuste",V830="Rechazada"),W830&lt;&gt;""),W830,""))</f>
        <v/>
      </c>
    </row>
    <row r="831" customFormat="false" ht="22.35" hidden="false" customHeight="false" outlineLevel="0" collapsed="false">
      <c r="A831" s="18" t="s">
        <v>3672</v>
      </c>
      <c r="B831" s="18" t="s">
        <v>60</v>
      </c>
      <c r="C831" s="18" t="s">
        <v>61</v>
      </c>
      <c r="D831" s="18" t="s">
        <v>3664</v>
      </c>
      <c r="E831" s="18" t="n">
        <v>7</v>
      </c>
      <c r="F831" s="18" t="s">
        <v>1030</v>
      </c>
      <c r="G831" s="18" t="s">
        <v>139</v>
      </c>
      <c r="H831" s="18" t="s">
        <v>109</v>
      </c>
      <c r="I831" s="18"/>
      <c r="J831" s="18"/>
      <c r="K831" s="18"/>
      <c r="L831" s="18" t="s">
        <v>117</v>
      </c>
      <c r="M831" s="18" t="s">
        <v>109</v>
      </c>
      <c r="N831" s="18"/>
      <c r="O831" s="18"/>
      <c r="P831" s="18" t="s">
        <v>3673</v>
      </c>
      <c r="Q831" s="18" t="s">
        <v>110</v>
      </c>
      <c r="R831" s="18" t="s">
        <v>1031</v>
      </c>
      <c r="S831" s="18" t="s">
        <v>112</v>
      </c>
      <c r="T831" s="18" t="s">
        <v>113</v>
      </c>
      <c r="U831" s="18"/>
      <c r="V831" s="19" t="s">
        <v>29</v>
      </c>
      <c r="W831" s="19"/>
      <c r="X831" s="19"/>
      <c r="Y831" s="20"/>
      <c r="Z831" s="19"/>
      <c r="AA831" s="18" t="str">
        <f aca="false">IF(OR(V831="Aprobada"),R831,IF(AND(OR(V831="Aprobada con ajuste",V831="Rechazada"),W831&lt;&gt;""),W831,""))</f>
        <v/>
      </c>
    </row>
    <row r="832" customFormat="false" ht="22.35" hidden="false" customHeight="false" outlineLevel="0" collapsed="false">
      <c r="A832" s="18" t="s">
        <v>3674</v>
      </c>
      <c r="B832" s="18" t="s">
        <v>60</v>
      </c>
      <c r="C832" s="18" t="s">
        <v>61</v>
      </c>
      <c r="D832" s="18" t="s">
        <v>3675</v>
      </c>
      <c r="E832" s="18" t="n">
        <v>1</v>
      </c>
      <c r="F832" s="18" t="s">
        <v>3676</v>
      </c>
      <c r="G832" s="18" t="s">
        <v>2640</v>
      </c>
      <c r="H832" s="18" t="s">
        <v>109</v>
      </c>
      <c r="I832" s="18" t="s">
        <v>140</v>
      </c>
      <c r="J832" s="18"/>
      <c r="K832" s="18"/>
      <c r="L832" s="18" t="s">
        <v>117</v>
      </c>
      <c r="M832" s="18" t="s">
        <v>109</v>
      </c>
      <c r="N832" s="18"/>
      <c r="O832" s="18"/>
      <c r="P832" s="18" t="s">
        <v>3677</v>
      </c>
      <c r="Q832" s="18" t="s">
        <v>134</v>
      </c>
      <c r="R832" s="18" t="s">
        <v>3678</v>
      </c>
      <c r="S832" s="18" t="s">
        <v>125</v>
      </c>
      <c r="T832" s="18" t="s">
        <v>3679</v>
      </c>
      <c r="U832" s="18"/>
      <c r="V832" s="19" t="s">
        <v>29</v>
      </c>
      <c r="W832" s="19"/>
      <c r="X832" s="19"/>
      <c r="Y832" s="20"/>
      <c r="Z832" s="19"/>
      <c r="AA832" s="18" t="str">
        <f aca="false">IF(OR(V832="Aprobada"),R832,IF(AND(OR(V832="Aprobada con ajuste",V832="Rechazada"),W832&lt;&gt;""),W832,""))</f>
        <v/>
      </c>
    </row>
    <row r="833" customFormat="false" ht="32.8" hidden="false" customHeight="false" outlineLevel="0" collapsed="false">
      <c r="A833" s="18" t="s">
        <v>3680</v>
      </c>
      <c r="B833" s="18" t="s">
        <v>60</v>
      </c>
      <c r="C833" s="18" t="s">
        <v>61</v>
      </c>
      <c r="D833" s="18" t="s">
        <v>3675</v>
      </c>
      <c r="E833" s="18" t="n">
        <v>1</v>
      </c>
      <c r="F833" s="18" t="s">
        <v>1685</v>
      </c>
      <c r="G833" s="18" t="s">
        <v>116</v>
      </c>
      <c r="H833" s="18" t="s">
        <v>117</v>
      </c>
      <c r="I833" s="18"/>
      <c r="J833" s="18"/>
      <c r="K833" s="18"/>
      <c r="L833" s="18" t="s">
        <v>117</v>
      </c>
      <c r="M833" s="18" t="s">
        <v>109</v>
      </c>
      <c r="N833" s="18"/>
      <c r="O833" s="18"/>
      <c r="P833" s="18" t="s">
        <v>3681</v>
      </c>
      <c r="Q833" s="18" t="s">
        <v>134</v>
      </c>
      <c r="R833" s="18" t="s">
        <v>3682</v>
      </c>
      <c r="S833" s="18" t="s">
        <v>112</v>
      </c>
      <c r="T833" s="18" t="s">
        <v>3683</v>
      </c>
      <c r="U833" s="18" t="s">
        <v>3684</v>
      </c>
      <c r="V833" s="19" t="s">
        <v>29</v>
      </c>
      <c r="W833" s="19"/>
      <c r="X833" s="19"/>
      <c r="Y833" s="20"/>
      <c r="Z833" s="19"/>
      <c r="AA833" s="18" t="str">
        <f aca="false">IF(OR(V833="Aprobada"),R833,IF(AND(OR(V833="Aprobada con ajuste",V833="Rechazada"),W833&lt;&gt;""),W833,""))</f>
        <v/>
      </c>
    </row>
    <row r="834" customFormat="false" ht="64.15" hidden="false" customHeight="false" outlineLevel="0" collapsed="false">
      <c r="A834" s="18" t="s">
        <v>3685</v>
      </c>
      <c r="B834" s="18" t="s">
        <v>60</v>
      </c>
      <c r="C834" s="18" t="s">
        <v>61</v>
      </c>
      <c r="D834" s="18" t="s">
        <v>3675</v>
      </c>
      <c r="E834" s="18" t="n">
        <v>1</v>
      </c>
      <c r="F834" s="18" t="s">
        <v>1637</v>
      </c>
      <c r="G834" s="18" t="s">
        <v>145</v>
      </c>
      <c r="H834" s="18" t="s">
        <v>109</v>
      </c>
      <c r="I834" s="18"/>
      <c r="J834" s="18"/>
      <c r="K834" s="18"/>
      <c r="L834" s="18" t="s">
        <v>117</v>
      </c>
      <c r="M834" s="18" t="s">
        <v>109</v>
      </c>
      <c r="N834" s="18"/>
      <c r="O834" s="18"/>
      <c r="P834" s="18" t="s">
        <v>3686</v>
      </c>
      <c r="Q834" s="18" t="s">
        <v>123</v>
      </c>
      <c r="R834" s="18" t="s">
        <v>3687</v>
      </c>
      <c r="S834" s="18" t="s">
        <v>125</v>
      </c>
      <c r="T834" s="18" t="s">
        <v>3688</v>
      </c>
      <c r="U834" s="18"/>
      <c r="V834" s="19" t="s">
        <v>29</v>
      </c>
      <c r="W834" s="19"/>
      <c r="X834" s="19"/>
      <c r="Y834" s="20"/>
      <c r="Z834" s="19"/>
      <c r="AA834" s="18" t="str">
        <f aca="false">IF(OR(V834="Aprobada"),R834,IF(AND(OR(V834="Aprobada con ajuste",V834="Rechazada"),W834&lt;&gt;""),W834,""))</f>
        <v/>
      </c>
    </row>
    <row r="835" customFormat="false" ht="22.35" hidden="false" customHeight="false" outlineLevel="0" collapsed="false">
      <c r="A835" s="18" t="s">
        <v>3689</v>
      </c>
      <c r="B835" s="18" t="s">
        <v>60</v>
      </c>
      <c r="C835" s="18" t="s">
        <v>61</v>
      </c>
      <c r="D835" s="18" t="s">
        <v>3675</v>
      </c>
      <c r="E835" s="18" t="n">
        <v>1</v>
      </c>
      <c r="F835" s="18" t="s">
        <v>3038</v>
      </c>
      <c r="G835" s="18" t="s">
        <v>184</v>
      </c>
      <c r="H835" s="18" t="s">
        <v>109</v>
      </c>
      <c r="I835" s="18"/>
      <c r="J835" s="18"/>
      <c r="K835" s="18"/>
      <c r="L835" s="18" t="s">
        <v>117</v>
      </c>
      <c r="M835" s="18" t="s">
        <v>109</v>
      </c>
      <c r="N835" s="18"/>
      <c r="O835" s="18"/>
      <c r="P835" s="18" t="s">
        <v>3690</v>
      </c>
      <c r="Q835" s="18" t="s">
        <v>110</v>
      </c>
      <c r="R835" s="18" t="s">
        <v>3040</v>
      </c>
      <c r="S835" s="18" t="s">
        <v>112</v>
      </c>
      <c r="T835" s="18" t="s">
        <v>113</v>
      </c>
      <c r="U835" s="18"/>
      <c r="V835" s="19" t="s">
        <v>29</v>
      </c>
      <c r="W835" s="19"/>
      <c r="X835" s="19"/>
      <c r="Y835" s="20"/>
      <c r="Z835" s="19"/>
      <c r="AA835" s="18" t="str">
        <f aca="false">IF(OR(V835="Aprobada"),R835,IF(AND(OR(V835="Aprobada con ajuste",V835="Rechazada"),W835&lt;&gt;""),W835,""))</f>
        <v/>
      </c>
    </row>
    <row r="836" customFormat="false" ht="22.35" hidden="false" customHeight="false" outlineLevel="0" collapsed="false">
      <c r="A836" s="18" t="s">
        <v>3691</v>
      </c>
      <c r="B836" s="18" t="s">
        <v>60</v>
      </c>
      <c r="C836" s="18" t="s">
        <v>61</v>
      </c>
      <c r="D836" s="18" t="s">
        <v>3692</v>
      </c>
      <c r="E836" s="18" t="n">
        <v>236</v>
      </c>
      <c r="F836" s="18" t="s">
        <v>3693</v>
      </c>
      <c r="G836" s="18" t="s">
        <v>436</v>
      </c>
      <c r="H836" s="18" t="s">
        <v>109</v>
      </c>
      <c r="I836" s="18"/>
      <c r="J836" s="18"/>
      <c r="K836" s="18"/>
      <c r="L836" s="18" t="s">
        <v>109</v>
      </c>
      <c r="M836" s="18" t="s">
        <v>109</v>
      </c>
      <c r="N836" s="18"/>
      <c r="O836" s="18"/>
      <c r="P836" s="18" t="s">
        <v>3694</v>
      </c>
      <c r="Q836" s="18" t="s">
        <v>134</v>
      </c>
      <c r="R836" s="18" t="s">
        <v>3695</v>
      </c>
      <c r="S836" s="18" t="s">
        <v>112</v>
      </c>
      <c r="T836" s="18" t="s">
        <v>3696</v>
      </c>
      <c r="U836" s="18" t="s">
        <v>3697</v>
      </c>
      <c r="V836" s="19" t="s">
        <v>29</v>
      </c>
      <c r="W836" s="19"/>
      <c r="X836" s="19"/>
      <c r="Y836" s="20"/>
      <c r="Z836" s="19"/>
      <c r="AA836" s="18" t="str">
        <f aca="false">IF(OR(V836="Aprobada"),R836,IF(AND(OR(V836="Aprobada con ajuste",V836="Rechazada"),W836&lt;&gt;""),W836,""))</f>
        <v/>
      </c>
    </row>
    <row r="837" customFormat="false" ht="22.35" hidden="false" customHeight="false" outlineLevel="0" collapsed="false">
      <c r="A837" s="18" t="s">
        <v>3698</v>
      </c>
      <c r="B837" s="18" t="s">
        <v>60</v>
      </c>
      <c r="C837" s="18" t="s">
        <v>61</v>
      </c>
      <c r="D837" s="18" t="s">
        <v>3692</v>
      </c>
      <c r="E837" s="18" t="n">
        <v>236</v>
      </c>
      <c r="F837" s="18" t="s">
        <v>3699</v>
      </c>
      <c r="G837" s="18" t="s">
        <v>249</v>
      </c>
      <c r="H837" s="18" t="s">
        <v>117</v>
      </c>
      <c r="I837" s="18"/>
      <c r="J837" s="18"/>
      <c r="K837" s="18"/>
      <c r="L837" s="18" t="s">
        <v>109</v>
      </c>
      <c r="M837" s="18" t="s">
        <v>109</v>
      </c>
      <c r="N837" s="18"/>
      <c r="O837" s="18"/>
      <c r="P837" s="18" t="s">
        <v>3700</v>
      </c>
      <c r="Q837" s="18" t="s">
        <v>134</v>
      </c>
      <c r="R837" s="18" t="s">
        <v>3701</v>
      </c>
      <c r="S837" s="18" t="s">
        <v>125</v>
      </c>
      <c r="T837" s="18" t="s">
        <v>3702</v>
      </c>
      <c r="U837" s="18"/>
      <c r="V837" s="19" t="s">
        <v>29</v>
      </c>
      <c r="W837" s="19"/>
      <c r="X837" s="19"/>
      <c r="Y837" s="20"/>
      <c r="Z837" s="19"/>
      <c r="AA837" s="18" t="str">
        <f aca="false">IF(OR(V837="Aprobada"),R837,IF(AND(OR(V837="Aprobada con ajuste",V837="Rechazada"),W837&lt;&gt;""),W837,""))</f>
        <v/>
      </c>
    </row>
    <row r="838" customFormat="false" ht="32.8" hidden="false" customHeight="false" outlineLevel="0" collapsed="false">
      <c r="A838" s="18" t="s">
        <v>3703</v>
      </c>
      <c r="B838" s="18" t="s">
        <v>60</v>
      </c>
      <c r="C838" s="18" t="s">
        <v>61</v>
      </c>
      <c r="D838" s="18" t="s">
        <v>3692</v>
      </c>
      <c r="E838" s="18" t="n">
        <v>236</v>
      </c>
      <c r="F838" s="18" t="s">
        <v>271</v>
      </c>
      <c r="G838" s="18" t="s">
        <v>167</v>
      </c>
      <c r="H838" s="18" t="s">
        <v>109</v>
      </c>
      <c r="I838" s="18"/>
      <c r="J838" s="18"/>
      <c r="K838" s="18"/>
      <c r="L838" s="18" t="s">
        <v>109</v>
      </c>
      <c r="M838" s="18" t="s">
        <v>109</v>
      </c>
      <c r="N838" s="18"/>
      <c r="O838" s="18"/>
      <c r="P838" s="18" t="s">
        <v>3704</v>
      </c>
      <c r="Q838" s="18" t="s">
        <v>134</v>
      </c>
      <c r="R838" s="18" t="s">
        <v>3705</v>
      </c>
      <c r="S838" s="18" t="s">
        <v>112</v>
      </c>
      <c r="T838" s="18" t="s">
        <v>3706</v>
      </c>
      <c r="U838" s="18" t="s">
        <v>3707</v>
      </c>
      <c r="V838" s="19" t="s">
        <v>29</v>
      </c>
      <c r="W838" s="19"/>
      <c r="X838" s="19"/>
      <c r="Y838" s="20"/>
      <c r="Z838" s="19"/>
      <c r="AA838" s="18" t="str">
        <f aca="false">IF(OR(V838="Aprobada"),R838,IF(AND(OR(V838="Aprobada con ajuste",V838="Rechazada"),W838&lt;&gt;""),W838,""))</f>
        <v/>
      </c>
    </row>
    <row r="839" customFormat="false" ht="22.35" hidden="false" customHeight="false" outlineLevel="0" collapsed="false">
      <c r="A839" s="18" t="s">
        <v>3708</v>
      </c>
      <c r="B839" s="18" t="s">
        <v>60</v>
      </c>
      <c r="C839" s="18" t="s">
        <v>61</v>
      </c>
      <c r="D839" s="18" t="s">
        <v>3692</v>
      </c>
      <c r="E839" s="18" t="n">
        <v>236</v>
      </c>
      <c r="F839" s="18" t="s">
        <v>3709</v>
      </c>
      <c r="G839" s="18" t="s">
        <v>212</v>
      </c>
      <c r="H839" s="18" t="s">
        <v>117</v>
      </c>
      <c r="I839" s="18"/>
      <c r="J839" s="18"/>
      <c r="K839" s="18"/>
      <c r="L839" s="18" t="s">
        <v>109</v>
      </c>
      <c r="M839" s="18" t="s">
        <v>109</v>
      </c>
      <c r="N839" s="18"/>
      <c r="O839" s="18"/>
      <c r="P839" s="18" t="s">
        <v>3710</v>
      </c>
      <c r="Q839" s="18" t="s">
        <v>134</v>
      </c>
      <c r="R839" s="18" t="s">
        <v>3711</v>
      </c>
      <c r="S839" s="18" t="s">
        <v>112</v>
      </c>
      <c r="T839" s="18" t="s">
        <v>3712</v>
      </c>
      <c r="U839" s="18" t="s">
        <v>3713</v>
      </c>
      <c r="V839" s="19" t="s">
        <v>29</v>
      </c>
      <c r="W839" s="19"/>
      <c r="X839" s="19"/>
      <c r="Y839" s="20"/>
      <c r="Z839" s="19"/>
      <c r="AA839" s="18" t="str">
        <f aca="false">IF(OR(V839="Aprobada"),R839,IF(AND(OR(V839="Aprobada con ajuste",V839="Rechazada"),W839&lt;&gt;""),W839,""))</f>
        <v/>
      </c>
    </row>
    <row r="840" customFormat="false" ht="32.8" hidden="false" customHeight="false" outlineLevel="0" collapsed="false">
      <c r="A840" s="18" t="s">
        <v>3714</v>
      </c>
      <c r="B840" s="18" t="s">
        <v>60</v>
      </c>
      <c r="C840" s="18" t="s">
        <v>61</v>
      </c>
      <c r="D840" s="18" t="s">
        <v>3692</v>
      </c>
      <c r="E840" s="18" t="n">
        <v>236</v>
      </c>
      <c r="F840" s="18" t="s">
        <v>2932</v>
      </c>
      <c r="G840" s="18" t="s">
        <v>121</v>
      </c>
      <c r="H840" s="18" t="s">
        <v>117</v>
      </c>
      <c r="I840" s="18"/>
      <c r="J840" s="18"/>
      <c r="K840" s="18"/>
      <c r="L840" s="18" t="s">
        <v>109</v>
      </c>
      <c r="M840" s="18" t="s">
        <v>109</v>
      </c>
      <c r="N840" s="18"/>
      <c r="O840" s="18"/>
      <c r="P840" s="18" t="s">
        <v>3715</v>
      </c>
      <c r="Q840" s="18" t="s">
        <v>134</v>
      </c>
      <c r="R840" s="18" t="s">
        <v>3716</v>
      </c>
      <c r="S840" s="18" t="s">
        <v>112</v>
      </c>
      <c r="T840" s="18" t="s">
        <v>3717</v>
      </c>
      <c r="U840" s="18" t="s">
        <v>3461</v>
      </c>
      <c r="V840" s="19" t="s">
        <v>29</v>
      </c>
      <c r="W840" s="19"/>
      <c r="X840" s="19"/>
      <c r="Y840" s="20"/>
      <c r="Z840" s="19"/>
      <c r="AA840" s="18" t="str">
        <f aca="false">IF(OR(V840="Aprobada"),R840,IF(AND(OR(V840="Aprobada con ajuste",V840="Rechazada"),W840&lt;&gt;""),W840,""))</f>
        <v/>
      </c>
    </row>
    <row r="841" customFormat="false" ht="22.35" hidden="false" customHeight="false" outlineLevel="0" collapsed="false">
      <c r="A841" s="18" t="s">
        <v>3718</v>
      </c>
      <c r="B841" s="18" t="s">
        <v>60</v>
      </c>
      <c r="C841" s="18" t="s">
        <v>61</v>
      </c>
      <c r="D841" s="18" t="s">
        <v>3692</v>
      </c>
      <c r="E841" s="18" t="n">
        <v>236</v>
      </c>
      <c r="F841" s="18" t="s">
        <v>2937</v>
      </c>
      <c r="G841" s="18" t="s">
        <v>459</v>
      </c>
      <c r="H841" s="18" t="s">
        <v>117</v>
      </c>
      <c r="I841" s="18"/>
      <c r="J841" s="18"/>
      <c r="K841" s="18"/>
      <c r="L841" s="18" t="s">
        <v>109</v>
      </c>
      <c r="M841" s="18" t="s">
        <v>109</v>
      </c>
      <c r="N841" s="18"/>
      <c r="O841" s="18"/>
      <c r="P841" s="18" t="s">
        <v>3719</v>
      </c>
      <c r="Q841" s="18" t="s">
        <v>134</v>
      </c>
      <c r="R841" s="18" t="s">
        <v>3720</v>
      </c>
      <c r="S841" s="18" t="s">
        <v>125</v>
      </c>
      <c r="T841" s="18" t="s">
        <v>3721</v>
      </c>
      <c r="U841" s="18"/>
      <c r="V841" s="19" t="s">
        <v>29</v>
      </c>
      <c r="W841" s="19"/>
      <c r="X841" s="19"/>
      <c r="Y841" s="20"/>
      <c r="Z841" s="19"/>
      <c r="AA841" s="18" t="str">
        <f aca="false">IF(OR(V841="Aprobada"),R841,IF(AND(OR(V841="Aprobada con ajuste",V841="Rechazada"),W841&lt;&gt;""),W841,""))</f>
        <v/>
      </c>
    </row>
    <row r="842" customFormat="false" ht="105.95" hidden="false" customHeight="false" outlineLevel="0" collapsed="false">
      <c r="A842" s="18" t="s">
        <v>3722</v>
      </c>
      <c r="B842" s="18" t="s">
        <v>60</v>
      </c>
      <c r="C842" s="18" t="s">
        <v>61</v>
      </c>
      <c r="D842" s="18" t="s">
        <v>3723</v>
      </c>
      <c r="E842" s="18" t="n">
        <v>1</v>
      </c>
      <c r="F842" s="18" t="s">
        <v>1102</v>
      </c>
      <c r="G842" s="18" t="s">
        <v>1509</v>
      </c>
      <c r="H842" s="18" t="s">
        <v>109</v>
      </c>
      <c r="I842" s="18" t="s">
        <v>140</v>
      </c>
      <c r="J842" s="18"/>
      <c r="K842" s="18"/>
      <c r="L842" s="18" t="s">
        <v>109</v>
      </c>
      <c r="M842" s="18" t="s">
        <v>109</v>
      </c>
      <c r="N842" s="18"/>
      <c r="O842" s="18"/>
      <c r="P842" s="18" t="s">
        <v>3724</v>
      </c>
      <c r="Q842" s="18" t="s">
        <v>123</v>
      </c>
      <c r="R842" s="18" t="s">
        <v>3725</v>
      </c>
      <c r="S842" s="18" t="s">
        <v>125</v>
      </c>
      <c r="T842" s="18" t="s">
        <v>3726</v>
      </c>
      <c r="U842" s="18" t="s">
        <v>3727</v>
      </c>
      <c r="V842" s="19" t="s">
        <v>29</v>
      </c>
      <c r="W842" s="19"/>
      <c r="X842" s="19"/>
      <c r="Y842" s="20"/>
      <c r="Z842" s="19"/>
      <c r="AA842" s="18" t="str">
        <f aca="false">IF(OR(V842="Aprobada"),R842,IF(AND(OR(V842="Aprobada con ajuste",V842="Rechazada"),W842&lt;&gt;""),W842,""))</f>
        <v/>
      </c>
    </row>
    <row r="843" customFormat="false" ht="53.7" hidden="false" customHeight="false" outlineLevel="0" collapsed="false">
      <c r="A843" s="18" t="s">
        <v>3728</v>
      </c>
      <c r="B843" s="18" t="s">
        <v>60</v>
      </c>
      <c r="C843" s="18" t="s">
        <v>61</v>
      </c>
      <c r="D843" s="18" t="s">
        <v>3723</v>
      </c>
      <c r="E843" s="18" t="n">
        <v>1</v>
      </c>
      <c r="F843" s="18" t="s">
        <v>2907</v>
      </c>
      <c r="G843" s="18" t="s">
        <v>195</v>
      </c>
      <c r="H843" s="18" t="s">
        <v>109</v>
      </c>
      <c r="I843" s="18" t="s">
        <v>140</v>
      </c>
      <c r="J843" s="18" t="s">
        <v>2908</v>
      </c>
      <c r="K843" s="18"/>
      <c r="L843" s="18" t="s">
        <v>117</v>
      </c>
      <c r="M843" s="18" t="s">
        <v>109</v>
      </c>
      <c r="N843" s="18"/>
      <c r="O843" s="18"/>
      <c r="P843" s="18" t="s">
        <v>3729</v>
      </c>
      <c r="Q843" s="18" t="s">
        <v>123</v>
      </c>
      <c r="R843" s="18" t="s">
        <v>3730</v>
      </c>
      <c r="S843" s="18" t="s">
        <v>125</v>
      </c>
      <c r="T843" s="18" t="s">
        <v>3731</v>
      </c>
      <c r="U843" s="18"/>
      <c r="V843" s="19" t="s">
        <v>29</v>
      </c>
      <c r="W843" s="19"/>
      <c r="X843" s="19"/>
      <c r="Y843" s="20"/>
      <c r="Z843" s="19"/>
      <c r="AA843" s="18" t="str">
        <f aca="false">IF(OR(V843="Aprobada"),R843,IF(AND(OR(V843="Aprobada con ajuste",V843="Rechazada"),W843&lt;&gt;""),W843,""))</f>
        <v/>
      </c>
    </row>
    <row r="844" customFormat="false" ht="64.15" hidden="false" customHeight="false" outlineLevel="0" collapsed="false">
      <c r="A844" s="18" t="s">
        <v>3732</v>
      </c>
      <c r="B844" s="18" t="s">
        <v>60</v>
      </c>
      <c r="C844" s="18" t="s">
        <v>61</v>
      </c>
      <c r="D844" s="18" t="s">
        <v>3723</v>
      </c>
      <c r="E844" s="18" t="n">
        <v>1</v>
      </c>
      <c r="F844" s="18" t="s">
        <v>1685</v>
      </c>
      <c r="G844" s="18" t="s">
        <v>116</v>
      </c>
      <c r="H844" s="18" t="s">
        <v>117</v>
      </c>
      <c r="I844" s="18"/>
      <c r="J844" s="18"/>
      <c r="K844" s="18"/>
      <c r="L844" s="18" t="s">
        <v>109</v>
      </c>
      <c r="M844" s="18" t="s">
        <v>109</v>
      </c>
      <c r="N844" s="18"/>
      <c r="O844" s="18"/>
      <c r="P844" s="18" t="s">
        <v>3733</v>
      </c>
      <c r="Q844" s="18" t="s">
        <v>123</v>
      </c>
      <c r="R844" s="18" t="s">
        <v>3734</v>
      </c>
      <c r="S844" s="18" t="s">
        <v>125</v>
      </c>
      <c r="T844" s="18" t="s">
        <v>3735</v>
      </c>
      <c r="U844" s="18"/>
      <c r="V844" s="19" t="s">
        <v>29</v>
      </c>
      <c r="W844" s="19"/>
      <c r="X844" s="19"/>
      <c r="Y844" s="20"/>
      <c r="Z844" s="19"/>
      <c r="AA844" s="18" t="str">
        <f aca="false">IF(OR(V844="Aprobada"),R844,IF(AND(OR(V844="Aprobada con ajuste",V844="Rechazada"),W844&lt;&gt;""),W844,""))</f>
        <v/>
      </c>
    </row>
    <row r="845" customFormat="false" ht="32.8" hidden="false" customHeight="false" outlineLevel="0" collapsed="false">
      <c r="A845" s="18" t="s">
        <v>3736</v>
      </c>
      <c r="B845" s="18" t="s">
        <v>60</v>
      </c>
      <c r="C845" s="18" t="s">
        <v>61</v>
      </c>
      <c r="D845" s="18" t="s">
        <v>3723</v>
      </c>
      <c r="E845" s="18" t="n">
        <v>1</v>
      </c>
      <c r="F845" s="18" t="s">
        <v>1637</v>
      </c>
      <c r="G845" s="18" t="s">
        <v>145</v>
      </c>
      <c r="H845" s="18" t="s">
        <v>109</v>
      </c>
      <c r="I845" s="18"/>
      <c r="J845" s="18"/>
      <c r="K845" s="18"/>
      <c r="L845" s="18" t="s">
        <v>109</v>
      </c>
      <c r="M845" s="18" t="s">
        <v>109</v>
      </c>
      <c r="N845" s="18"/>
      <c r="O845" s="18"/>
      <c r="P845" s="18" t="s">
        <v>3737</v>
      </c>
      <c r="Q845" s="18" t="s">
        <v>123</v>
      </c>
      <c r="R845" s="18" t="s">
        <v>3738</v>
      </c>
      <c r="S845" s="18" t="s">
        <v>125</v>
      </c>
      <c r="T845" s="18" t="s">
        <v>3739</v>
      </c>
      <c r="U845" s="18"/>
      <c r="V845" s="19" t="s">
        <v>29</v>
      </c>
      <c r="W845" s="19"/>
      <c r="X845" s="19"/>
      <c r="Y845" s="20"/>
      <c r="Z845" s="19"/>
      <c r="AA845" s="18" t="str">
        <f aca="false">IF(OR(V845="Aprobada"),R845,IF(AND(OR(V845="Aprobada con ajuste",V845="Rechazada"),W845&lt;&gt;""),W845,""))</f>
        <v/>
      </c>
    </row>
    <row r="846" customFormat="false" ht="85.05" hidden="false" customHeight="false" outlineLevel="0" collapsed="false">
      <c r="A846" s="18" t="s">
        <v>3740</v>
      </c>
      <c r="B846" s="18" t="s">
        <v>60</v>
      </c>
      <c r="C846" s="18" t="s">
        <v>61</v>
      </c>
      <c r="D846" s="18" t="s">
        <v>3741</v>
      </c>
      <c r="E846" s="18" t="n">
        <v>3</v>
      </c>
      <c r="F846" s="18" t="s">
        <v>3742</v>
      </c>
      <c r="G846" s="18" t="s">
        <v>1509</v>
      </c>
      <c r="H846" s="18" t="s">
        <v>117</v>
      </c>
      <c r="I846" s="18" t="s">
        <v>140</v>
      </c>
      <c r="J846" s="18"/>
      <c r="K846" s="18"/>
      <c r="L846" s="18" t="s">
        <v>109</v>
      </c>
      <c r="M846" s="18" t="s">
        <v>109</v>
      </c>
      <c r="N846" s="18"/>
      <c r="O846" s="18"/>
      <c r="P846" s="18" t="s">
        <v>3743</v>
      </c>
      <c r="Q846" s="18" t="s">
        <v>123</v>
      </c>
      <c r="R846" s="18" t="s">
        <v>3744</v>
      </c>
      <c r="S846" s="18" t="s">
        <v>125</v>
      </c>
      <c r="T846" s="18" t="s">
        <v>3745</v>
      </c>
      <c r="U846" s="18"/>
      <c r="V846" s="19" t="s">
        <v>29</v>
      </c>
      <c r="W846" s="19"/>
      <c r="X846" s="19"/>
      <c r="Y846" s="20"/>
      <c r="Z846" s="19"/>
      <c r="AA846" s="18" t="str">
        <f aca="false">IF(OR(V846="Aprobada"),R846,IF(AND(OR(V846="Aprobada con ajuste",V846="Rechazada"),W846&lt;&gt;""),W846,""))</f>
        <v/>
      </c>
    </row>
    <row r="847" customFormat="false" ht="53.7" hidden="false" customHeight="false" outlineLevel="0" collapsed="false">
      <c r="A847" s="18" t="s">
        <v>3746</v>
      </c>
      <c r="B847" s="18" t="s">
        <v>60</v>
      </c>
      <c r="C847" s="18" t="s">
        <v>61</v>
      </c>
      <c r="D847" s="18" t="s">
        <v>3741</v>
      </c>
      <c r="E847" s="18" t="n">
        <v>3</v>
      </c>
      <c r="F847" s="18" t="s">
        <v>3747</v>
      </c>
      <c r="G847" s="18" t="s">
        <v>1509</v>
      </c>
      <c r="H847" s="18" t="s">
        <v>117</v>
      </c>
      <c r="I847" s="18" t="s">
        <v>140</v>
      </c>
      <c r="J847" s="18"/>
      <c r="K847" s="18"/>
      <c r="L847" s="18" t="s">
        <v>109</v>
      </c>
      <c r="M847" s="18" t="s">
        <v>109</v>
      </c>
      <c r="N847" s="18"/>
      <c r="O847" s="18"/>
      <c r="P847" s="18" t="s">
        <v>3748</v>
      </c>
      <c r="Q847" s="18" t="s">
        <v>134</v>
      </c>
      <c r="R847" s="18" t="s">
        <v>3749</v>
      </c>
      <c r="S847" s="18" t="s">
        <v>112</v>
      </c>
      <c r="T847" s="18" t="s">
        <v>3750</v>
      </c>
      <c r="U847" s="18" t="s">
        <v>3751</v>
      </c>
      <c r="V847" s="19" t="s">
        <v>29</v>
      </c>
      <c r="W847" s="19"/>
      <c r="X847" s="19"/>
      <c r="Y847" s="20"/>
      <c r="Z847" s="19"/>
      <c r="AA847" s="18" t="str">
        <f aca="false">IF(OR(V847="Aprobada"),R847,IF(AND(OR(V847="Aprobada con ajuste",V847="Rechazada"),W847&lt;&gt;""),W847,""))</f>
        <v/>
      </c>
    </row>
    <row r="848" customFormat="false" ht="53.7" hidden="false" customHeight="false" outlineLevel="0" collapsed="false">
      <c r="A848" s="18" t="s">
        <v>3752</v>
      </c>
      <c r="B848" s="18" t="s">
        <v>60</v>
      </c>
      <c r="C848" s="18" t="s">
        <v>61</v>
      </c>
      <c r="D848" s="18" t="s">
        <v>3741</v>
      </c>
      <c r="E848" s="18" t="n">
        <v>3</v>
      </c>
      <c r="F848" s="18" t="s">
        <v>2907</v>
      </c>
      <c r="G848" s="18" t="s">
        <v>195</v>
      </c>
      <c r="H848" s="18" t="s">
        <v>109</v>
      </c>
      <c r="I848" s="18" t="s">
        <v>140</v>
      </c>
      <c r="J848" s="18" t="s">
        <v>2908</v>
      </c>
      <c r="K848" s="18"/>
      <c r="L848" s="18" t="s">
        <v>117</v>
      </c>
      <c r="M848" s="18" t="s">
        <v>109</v>
      </c>
      <c r="N848" s="18"/>
      <c r="O848" s="18"/>
      <c r="P848" s="18" t="s">
        <v>3753</v>
      </c>
      <c r="Q848" s="18" t="s">
        <v>123</v>
      </c>
      <c r="R848" s="18" t="s">
        <v>3754</v>
      </c>
      <c r="S848" s="18" t="s">
        <v>125</v>
      </c>
      <c r="T848" s="18" t="s">
        <v>3755</v>
      </c>
      <c r="U848" s="18"/>
      <c r="V848" s="19" t="s">
        <v>29</v>
      </c>
      <c r="W848" s="19"/>
      <c r="X848" s="19"/>
      <c r="Y848" s="20"/>
      <c r="Z848" s="19"/>
      <c r="AA848" s="18" t="str">
        <f aca="false">IF(OR(V848="Aprobada"),R848,IF(AND(OR(V848="Aprobada con ajuste",V848="Rechazada"),W848&lt;&gt;""),W848,""))</f>
        <v/>
      </c>
    </row>
    <row r="849" customFormat="false" ht="74.6" hidden="false" customHeight="false" outlineLevel="0" collapsed="false">
      <c r="A849" s="18" t="s">
        <v>3756</v>
      </c>
      <c r="B849" s="18" t="s">
        <v>60</v>
      </c>
      <c r="C849" s="18" t="s">
        <v>61</v>
      </c>
      <c r="D849" s="18" t="s">
        <v>3741</v>
      </c>
      <c r="E849" s="18" t="n">
        <v>3</v>
      </c>
      <c r="F849" s="18" t="s">
        <v>1648</v>
      </c>
      <c r="G849" s="18" t="s">
        <v>394</v>
      </c>
      <c r="H849" s="18" t="s">
        <v>109</v>
      </c>
      <c r="I849" s="18" t="s">
        <v>140</v>
      </c>
      <c r="J849" s="18"/>
      <c r="K849" s="18"/>
      <c r="L849" s="18" t="s">
        <v>109</v>
      </c>
      <c r="M849" s="18" t="s">
        <v>109</v>
      </c>
      <c r="N849" s="18"/>
      <c r="O849" s="18" t="s">
        <v>3757</v>
      </c>
      <c r="P849" s="18" t="s">
        <v>3758</v>
      </c>
      <c r="Q849" s="18" t="s">
        <v>123</v>
      </c>
      <c r="R849" s="18" t="s">
        <v>3759</v>
      </c>
      <c r="S849" s="18" t="s">
        <v>125</v>
      </c>
      <c r="T849" s="18" t="s">
        <v>3760</v>
      </c>
      <c r="U849" s="18"/>
      <c r="V849" s="19" t="s">
        <v>29</v>
      </c>
      <c r="W849" s="19"/>
      <c r="X849" s="19"/>
      <c r="Y849" s="20"/>
      <c r="Z849" s="19"/>
      <c r="AA849" s="18" t="str">
        <f aca="false">IF(OR(V849="Aprobada"),R849,IF(AND(OR(V849="Aprobada con ajuste",V849="Rechazada"),W849&lt;&gt;""),W849,""))</f>
        <v/>
      </c>
    </row>
    <row r="850" customFormat="false" ht="32.8" hidden="false" customHeight="false" outlineLevel="0" collapsed="false">
      <c r="A850" s="18" t="s">
        <v>3761</v>
      </c>
      <c r="B850" s="18" t="s">
        <v>60</v>
      </c>
      <c r="C850" s="18" t="s">
        <v>61</v>
      </c>
      <c r="D850" s="18" t="s">
        <v>3741</v>
      </c>
      <c r="E850" s="18" t="n">
        <v>3</v>
      </c>
      <c r="F850" s="18" t="s">
        <v>1653</v>
      </c>
      <c r="G850" s="18" t="s">
        <v>394</v>
      </c>
      <c r="H850" s="18" t="s">
        <v>117</v>
      </c>
      <c r="I850" s="18" t="s">
        <v>140</v>
      </c>
      <c r="J850" s="18"/>
      <c r="K850" s="18"/>
      <c r="L850" s="18" t="s">
        <v>109</v>
      </c>
      <c r="M850" s="18" t="s">
        <v>109</v>
      </c>
      <c r="N850" s="18"/>
      <c r="O850" s="18" t="s">
        <v>3757</v>
      </c>
      <c r="P850" s="18" t="s">
        <v>3762</v>
      </c>
      <c r="Q850" s="18" t="s">
        <v>123</v>
      </c>
      <c r="R850" s="18" t="s">
        <v>3763</v>
      </c>
      <c r="S850" s="18" t="s">
        <v>125</v>
      </c>
      <c r="T850" s="18" t="s">
        <v>3764</v>
      </c>
      <c r="U850" s="18"/>
      <c r="V850" s="19" t="s">
        <v>29</v>
      </c>
      <c r="W850" s="19"/>
      <c r="X850" s="19"/>
      <c r="Y850" s="20"/>
      <c r="Z850" s="19"/>
      <c r="AA850" s="18" t="str">
        <f aca="false">IF(OR(V850="Aprobada"),R850,IF(AND(OR(V850="Aprobada con ajuste",V850="Rechazada"),W850&lt;&gt;""),W850,""))</f>
        <v/>
      </c>
    </row>
    <row r="851" customFormat="false" ht="53.7" hidden="false" customHeight="false" outlineLevel="0" collapsed="false">
      <c r="A851" s="18" t="s">
        <v>3765</v>
      </c>
      <c r="B851" s="18" t="s">
        <v>60</v>
      </c>
      <c r="C851" s="18" t="s">
        <v>61</v>
      </c>
      <c r="D851" s="18" t="s">
        <v>3741</v>
      </c>
      <c r="E851" s="18" t="n">
        <v>3</v>
      </c>
      <c r="F851" s="18" t="s">
        <v>1637</v>
      </c>
      <c r="G851" s="18" t="s">
        <v>145</v>
      </c>
      <c r="H851" s="18" t="s">
        <v>109</v>
      </c>
      <c r="I851" s="18"/>
      <c r="J851" s="18"/>
      <c r="K851" s="18"/>
      <c r="L851" s="18" t="s">
        <v>109</v>
      </c>
      <c r="M851" s="18" t="s">
        <v>109</v>
      </c>
      <c r="N851" s="18"/>
      <c r="O851" s="18"/>
      <c r="P851" s="18" t="s">
        <v>3766</v>
      </c>
      <c r="Q851" s="18" t="s">
        <v>123</v>
      </c>
      <c r="R851" s="18" t="s">
        <v>3738</v>
      </c>
      <c r="S851" s="18" t="s">
        <v>125</v>
      </c>
      <c r="T851" s="18" t="s">
        <v>3767</v>
      </c>
      <c r="U851" s="18"/>
      <c r="V851" s="19" t="s">
        <v>29</v>
      </c>
      <c r="W851" s="19"/>
      <c r="X851" s="19"/>
      <c r="Y851" s="20"/>
      <c r="Z851" s="19"/>
      <c r="AA851" s="18" t="str">
        <f aca="false">IF(OR(V851="Aprobada"),R851,IF(AND(OR(V851="Aprobada con ajuste",V851="Rechazada"),W851&lt;&gt;""),W851,""))</f>
        <v/>
      </c>
    </row>
    <row r="852" customFormat="false" ht="43.25" hidden="false" customHeight="false" outlineLevel="0" collapsed="false">
      <c r="A852" s="18" t="s">
        <v>3768</v>
      </c>
      <c r="B852" s="18" t="s">
        <v>62</v>
      </c>
      <c r="C852" s="18" t="s">
        <v>63</v>
      </c>
      <c r="D852" s="18" t="s">
        <v>3769</v>
      </c>
      <c r="E852" s="18" t="n">
        <v>23</v>
      </c>
      <c r="F852" s="18" t="s">
        <v>408</v>
      </c>
      <c r="G852" s="18" t="s">
        <v>108</v>
      </c>
      <c r="H852" s="18" t="s">
        <v>109</v>
      </c>
      <c r="I852" s="18"/>
      <c r="J852" s="18"/>
      <c r="K852" s="18"/>
      <c r="L852" s="18" t="s">
        <v>109</v>
      </c>
      <c r="M852" s="18" t="s">
        <v>109</v>
      </c>
      <c r="N852" s="18"/>
      <c r="O852" s="18" t="s">
        <v>3770</v>
      </c>
      <c r="P852" s="18" t="s">
        <v>3771</v>
      </c>
      <c r="Q852" s="18" t="s">
        <v>110</v>
      </c>
      <c r="R852" s="18" t="s">
        <v>3772</v>
      </c>
      <c r="S852" s="18" t="s">
        <v>112</v>
      </c>
      <c r="T852" s="18" t="s">
        <v>113</v>
      </c>
      <c r="U852" s="18"/>
      <c r="V852" s="19" t="s">
        <v>29</v>
      </c>
      <c r="W852" s="19"/>
      <c r="X852" s="19"/>
      <c r="Y852" s="20"/>
      <c r="Z852" s="19"/>
      <c r="AA852" s="18" t="str">
        <f aca="false">IF(OR(V852="Aprobada"),R852,IF(AND(OR(V852="Aprobada con ajuste",V852="Rechazada"),W852&lt;&gt;""),W852,""))</f>
        <v/>
      </c>
    </row>
    <row r="853" customFormat="false" ht="43.25" hidden="false" customHeight="false" outlineLevel="0" collapsed="false">
      <c r="A853" s="18" t="s">
        <v>3773</v>
      </c>
      <c r="B853" s="18" t="s">
        <v>62</v>
      </c>
      <c r="C853" s="18" t="s">
        <v>63</v>
      </c>
      <c r="D853" s="18" t="s">
        <v>3769</v>
      </c>
      <c r="E853" s="18" t="n">
        <v>23</v>
      </c>
      <c r="F853" s="18" t="s">
        <v>129</v>
      </c>
      <c r="G853" s="18" t="s">
        <v>414</v>
      </c>
      <c r="H853" s="18" t="s">
        <v>109</v>
      </c>
      <c r="I853" s="18"/>
      <c r="J853" s="18"/>
      <c r="K853" s="18"/>
      <c r="L853" s="18" t="s">
        <v>109</v>
      </c>
      <c r="M853" s="18" t="s">
        <v>109</v>
      </c>
      <c r="N853" s="18"/>
      <c r="O853" s="18"/>
      <c r="P853" s="18" t="s">
        <v>3774</v>
      </c>
      <c r="Q853" s="18" t="s">
        <v>110</v>
      </c>
      <c r="R853" s="18" t="s">
        <v>3775</v>
      </c>
      <c r="S853" s="18" t="s">
        <v>112</v>
      </c>
      <c r="T853" s="18" t="s">
        <v>113</v>
      </c>
      <c r="U853" s="18"/>
      <c r="V853" s="19" t="s">
        <v>29</v>
      </c>
      <c r="W853" s="19"/>
      <c r="X853" s="19"/>
      <c r="Y853" s="20"/>
      <c r="Z853" s="19"/>
      <c r="AA853" s="18" t="str">
        <f aca="false">IF(OR(V853="Aprobada"),R853,IF(AND(OR(V853="Aprobada con ajuste",V853="Rechazada"),W853&lt;&gt;""),W853,""))</f>
        <v/>
      </c>
    </row>
    <row r="854" customFormat="false" ht="32.8" hidden="false" customHeight="false" outlineLevel="0" collapsed="false">
      <c r="A854" s="18" t="s">
        <v>3776</v>
      </c>
      <c r="B854" s="18" t="s">
        <v>62</v>
      </c>
      <c r="C854" s="18" t="s">
        <v>63</v>
      </c>
      <c r="D854" s="18" t="s">
        <v>3769</v>
      </c>
      <c r="E854" s="18" t="n">
        <v>23</v>
      </c>
      <c r="F854" s="18" t="s">
        <v>3777</v>
      </c>
      <c r="G854" s="18" t="s">
        <v>139</v>
      </c>
      <c r="H854" s="18" t="s">
        <v>109</v>
      </c>
      <c r="I854" s="18"/>
      <c r="J854" s="18"/>
      <c r="K854" s="18"/>
      <c r="L854" s="18" t="s">
        <v>109</v>
      </c>
      <c r="M854" s="18" t="s">
        <v>109</v>
      </c>
      <c r="N854" s="18"/>
      <c r="O854" s="18"/>
      <c r="P854" s="18" t="s">
        <v>3778</v>
      </c>
      <c r="Q854" s="18" t="s">
        <v>134</v>
      </c>
      <c r="R854" s="18" t="s">
        <v>3779</v>
      </c>
      <c r="S854" s="18" t="s">
        <v>125</v>
      </c>
      <c r="T854" s="18" t="s">
        <v>3780</v>
      </c>
      <c r="U854" s="18"/>
      <c r="V854" s="19" t="s">
        <v>29</v>
      </c>
      <c r="W854" s="19"/>
      <c r="X854" s="19"/>
      <c r="Y854" s="20"/>
      <c r="Z854" s="19"/>
      <c r="AA854" s="18" t="str">
        <f aca="false">IF(OR(V854="Aprobada"),R854,IF(AND(OR(V854="Aprobada con ajuste",V854="Rechazada"),W854&lt;&gt;""),W854,""))</f>
        <v/>
      </c>
    </row>
    <row r="855" customFormat="false" ht="43.25" hidden="false" customHeight="false" outlineLevel="0" collapsed="false">
      <c r="A855" s="18" t="s">
        <v>3781</v>
      </c>
      <c r="B855" s="18" t="s">
        <v>62</v>
      </c>
      <c r="C855" s="18" t="s">
        <v>63</v>
      </c>
      <c r="D855" s="18" t="s">
        <v>3769</v>
      </c>
      <c r="E855" s="18" t="n">
        <v>23</v>
      </c>
      <c r="F855" s="18" t="s">
        <v>1018</v>
      </c>
      <c r="G855" s="18" t="s">
        <v>116</v>
      </c>
      <c r="H855" s="18" t="s">
        <v>117</v>
      </c>
      <c r="I855" s="18"/>
      <c r="J855" s="18"/>
      <c r="K855" s="18"/>
      <c r="L855" s="18" t="s">
        <v>109</v>
      </c>
      <c r="M855" s="18" t="s">
        <v>109</v>
      </c>
      <c r="N855" s="18"/>
      <c r="O855" s="18"/>
      <c r="P855" s="18" t="s">
        <v>3782</v>
      </c>
      <c r="Q855" s="18" t="s">
        <v>110</v>
      </c>
      <c r="R855" s="18" t="s">
        <v>3783</v>
      </c>
      <c r="S855" s="18" t="s">
        <v>112</v>
      </c>
      <c r="T855" s="18" t="s">
        <v>113</v>
      </c>
      <c r="U855" s="18"/>
      <c r="V855" s="19" t="s">
        <v>29</v>
      </c>
      <c r="W855" s="19"/>
      <c r="X855" s="19"/>
      <c r="Y855" s="20"/>
      <c r="Z855" s="19"/>
      <c r="AA855" s="18" t="str">
        <f aca="false">IF(OR(V855="Aprobada"),R855,IF(AND(OR(V855="Aprobada con ajuste",V855="Rechazada"),W855&lt;&gt;""),W855,""))</f>
        <v/>
      </c>
    </row>
    <row r="856" customFormat="false" ht="32.8" hidden="false" customHeight="false" outlineLevel="0" collapsed="false">
      <c r="A856" s="18" t="s">
        <v>3784</v>
      </c>
      <c r="B856" s="18" t="s">
        <v>62</v>
      </c>
      <c r="C856" s="18" t="s">
        <v>63</v>
      </c>
      <c r="D856" s="18" t="s">
        <v>3769</v>
      </c>
      <c r="E856" s="18" t="n">
        <v>23</v>
      </c>
      <c r="F856" s="18" t="s">
        <v>3785</v>
      </c>
      <c r="G856" s="18" t="s">
        <v>145</v>
      </c>
      <c r="H856" s="18" t="s">
        <v>109</v>
      </c>
      <c r="I856" s="18"/>
      <c r="J856" s="18"/>
      <c r="K856" s="18"/>
      <c r="L856" s="18" t="s">
        <v>109</v>
      </c>
      <c r="M856" s="18" t="s">
        <v>109</v>
      </c>
      <c r="N856" s="18"/>
      <c r="O856" s="18"/>
      <c r="P856" s="18" t="s">
        <v>3786</v>
      </c>
      <c r="Q856" s="18" t="s">
        <v>110</v>
      </c>
      <c r="R856" s="18" t="s">
        <v>859</v>
      </c>
      <c r="S856" s="18" t="s">
        <v>112</v>
      </c>
      <c r="T856" s="18" t="s">
        <v>113</v>
      </c>
      <c r="U856" s="18"/>
      <c r="V856" s="19" t="s">
        <v>29</v>
      </c>
      <c r="W856" s="19"/>
      <c r="X856" s="19"/>
      <c r="Y856" s="20"/>
      <c r="Z856" s="19"/>
      <c r="AA856" s="18" t="str">
        <f aca="false">IF(OR(V856="Aprobada"),R856,IF(AND(OR(V856="Aprobada con ajuste",V856="Rechazada"),W856&lt;&gt;""),W856,""))</f>
        <v/>
      </c>
    </row>
    <row r="857" customFormat="false" ht="43.25" hidden="false" customHeight="false" outlineLevel="0" collapsed="false">
      <c r="A857" s="18" t="s">
        <v>3787</v>
      </c>
      <c r="B857" s="18" t="s">
        <v>62</v>
      </c>
      <c r="C857" s="18" t="s">
        <v>63</v>
      </c>
      <c r="D857" s="18" t="s">
        <v>3788</v>
      </c>
      <c r="E857" s="18" t="n">
        <v>45</v>
      </c>
      <c r="F857" s="18" t="s">
        <v>129</v>
      </c>
      <c r="G857" s="18" t="s">
        <v>121</v>
      </c>
      <c r="H857" s="18" t="s">
        <v>109</v>
      </c>
      <c r="I857" s="18"/>
      <c r="J857" s="18"/>
      <c r="K857" s="18"/>
      <c r="L857" s="18" t="s">
        <v>117</v>
      </c>
      <c r="M857" s="18" t="s">
        <v>109</v>
      </c>
      <c r="N857" s="18"/>
      <c r="O857" s="18"/>
      <c r="P857" s="18" t="s">
        <v>3789</v>
      </c>
      <c r="Q857" s="18" t="s">
        <v>110</v>
      </c>
      <c r="R857" s="18" t="s">
        <v>3790</v>
      </c>
      <c r="S857" s="18" t="s">
        <v>112</v>
      </c>
      <c r="T857" s="18" t="s">
        <v>113</v>
      </c>
      <c r="U857" s="18"/>
      <c r="V857" s="19" t="s">
        <v>29</v>
      </c>
      <c r="W857" s="19"/>
      <c r="X857" s="19"/>
      <c r="Y857" s="20"/>
      <c r="Z857" s="19"/>
      <c r="AA857" s="18" t="str">
        <f aca="false">IF(OR(V857="Aprobada"),R857,IF(AND(OR(V857="Aprobada con ajuste",V857="Rechazada"),W857&lt;&gt;""),W857,""))</f>
        <v/>
      </c>
    </row>
    <row r="858" customFormat="false" ht="43.25" hidden="false" customHeight="false" outlineLevel="0" collapsed="false">
      <c r="A858" s="18" t="s">
        <v>3791</v>
      </c>
      <c r="B858" s="18" t="s">
        <v>62</v>
      </c>
      <c r="C858" s="18" t="s">
        <v>63</v>
      </c>
      <c r="D858" s="18" t="s">
        <v>3788</v>
      </c>
      <c r="E858" s="18" t="n">
        <v>45</v>
      </c>
      <c r="F858" s="18" t="s">
        <v>1018</v>
      </c>
      <c r="G858" s="18" t="s">
        <v>116</v>
      </c>
      <c r="H858" s="18" t="s">
        <v>117</v>
      </c>
      <c r="I858" s="18"/>
      <c r="J858" s="18"/>
      <c r="K858" s="18"/>
      <c r="L858" s="18" t="s">
        <v>117</v>
      </c>
      <c r="M858" s="18" t="s">
        <v>109</v>
      </c>
      <c r="N858" s="18"/>
      <c r="O858" s="18"/>
      <c r="P858" s="18" t="s">
        <v>3792</v>
      </c>
      <c r="Q858" s="18" t="s">
        <v>110</v>
      </c>
      <c r="R858" s="18" t="s">
        <v>3793</v>
      </c>
      <c r="S858" s="18" t="s">
        <v>112</v>
      </c>
      <c r="T858" s="18" t="s">
        <v>113</v>
      </c>
      <c r="U858" s="18"/>
      <c r="V858" s="19" t="s">
        <v>29</v>
      </c>
      <c r="W858" s="19"/>
      <c r="X858" s="19"/>
      <c r="Y858" s="20"/>
      <c r="Z858" s="19"/>
      <c r="AA858" s="18" t="str">
        <f aca="false">IF(OR(V858="Aprobada"),R858,IF(AND(OR(V858="Aprobada con ajuste",V858="Rechazada"),W858&lt;&gt;""),W858,""))</f>
        <v/>
      </c>
    </row>
    <row r="859" customFormat="false" ht="32.8" hidden="false" customHeight="false" outlineLevel="0" collapsed="false">
      <c r="A859" s="18" t="s">
        <v>3794</v>
      </c>
      <c r="B859" s="18" t="s">
        <v>62</v>
      </c>
      <c r="C859" s="18" t="s">
        <v>63</v>
      </c>
      <c r="D859" s="18" t="s">
        <v>3788</v>
      </c>
      <c r="E859" s="18" t="n">
        <v>45</v>
      </c>
      <c r="F859" s="18" t="s">
        <v>1030</v>
      </c>
      <c r="G859" s="18" t="s">
        <v>139</v>
      </c>
      <c r="H859" s="18" t="s">
        <v>117</v>
      </c>
      <c r="I859" s="18"/>
      <c r="J859" s="18"/>
      <c r="K859" s="18"/>
      <c r="L859" s="18" t="s">
        <v>117</v>
      </c>
      <c r="M859" s="18" t="s">
        <v>109</v>
      </c>
      <c r="N859" s="18"/>
      <c r="O859" s="18"/>
      <c r="P859" s="18" t="s">
        <v>3795</v>
      </c>
      <c r="Q859" s="18" t="s">
        <v>110</v>
      </c>
      <c r="R859" s="18" t="s">
        <v>1031</v>
      </c>
      <c r="S859" s="18" t="s">
        <v>112</v>
      </c>
      <c r="T859" s="18" t="s">
        <v>113</v>
      </c>
      <c r="U859" s="18"/>
      <c r="V859" s="19" t="s">
        <v>29</v>
      </c>
      <c r="W859" s="19"/>
      <c r="X859" s="19"/>
      <c r="Y859" s="20"/>
      <c r="Z859" s="19"/>
      <c r="AA859" s="18" t="str">
        <f aca="false">IF(OR(V859="Aprobada"),R859,IF(AND(OR(V859="Aprobada con ajuste",V859="Rechazada"),W859&lt;&gt;""),W859,""))</f>
        <v/>
      </c>
    </row>
    <row r="860" customFormat="false" ht="43.25" hidden="false" customHeight="false" outlineLevel="0" collapsed="false">
      <c r="A860" s="18" t="s">
        <v>3796</v>
      </c>
      <c r="B860" s="18" t="s">
        <v>62</v>
      </c>
      <c r="C860" s="18" t="s">
        <v>63</v>
      </c>
      <c r="D860" s="18" t="s">
        <v>3788</v>
      </c>
      <c r="E860" s="18" t="n">
        <v>45</v>
      </c>
      <c r="F860" s="18" t="s">
        <v>3785</v>
      </c>
      <c r="G860" s="18" t="s">
        <v>145</v>
      </c>
      <c r="H860" s="18" t="s">
        <v>117</v>
      </c>
      <c r="I860" s="18"/>
      <c r="J860" s="18"/>
      <c r="K860" s="18"/>
      <c r="L860" s="18" t="s">
        <v>117</v>
      </c>
      <c r="M860" s="18" t="s">
        <v>109</v>
      </c>
      <c r="N860" s="18"/>
      <c r="O860" s="18" t="s">
        <v>3797</v>
      </c>
      <c r="P860" s="18" t="s">
        <v>3798</v>
      </c>
      <c r="Q860" s="18" t="s">
        <v>110</v>
      </c>
      <c r="R860" s="18" t="s">
        <v>859</v>
      </c>
      <c r="S860" s="18" t="s">
        <v>112</v>
      </c>
      <c r="T860" s="18" t="s">
        <v>113</v>
      </c>
      <c r="U860" s="18"/>
      <c r="V860" s="19" t="s">
        <v>29</v>
      </c>
      <c r="W860" s="19"/>
      <c r="X860" s="19"/>
      <c r="Y860" s="20"/>
      <c r="Z860" s="19"/>
      <c r="AA860" s="18" t="str">
        <f aca="false">IF(OR(V860="Aprobada"),R860,IF(AND(OR(V860="Aprobada con ajuste",V860="Rechazada"),W860&lt;&gt;""),W860,""))</f>
        <v/>
      </c>
    </row>
    <row r="861" customFormat="false" ht="43.25" hidden="false" customHeight="false" outlineLevel="0" collapsed="false">
      <c r="A861" s="18" t="s">
        <v>3799</v>
      </c>
      <c r="B861" s="18" t="s">
        <v>62</v>
      </c>
      <c r="C861" s="18" t="s">
        <v>63</v>
      </c>
      <c r="D861" s="18" t="s">
        <v>3800</v>
      </c>
      <c r="E861" s="18" t="n">
        <v>81</v>
      </c>
      <c r="F861" s="18" t="s">
        <v>408</v>
      </c>
      <c r="G861" s="18" t="s">
        <v>324</v>
      </c>
      <c r="H861" s="18" t="s">
        <v>109</v>
      </c>
      <c r="I861" s="18"/>
      <c r="J861" s="18"/>
      <c r="K861" s="18"/>
      <c r="L861" s="18" t="s">
        <v>109</v>
      </c>
      <c r="M861" s="18" t="s">
        <v>109</v>
      </c>
      <c r="N861" s="18"/>
      <c r="O861" s="18" t="s">
        <v>3801</v>
      </c>
      <c r="P861" s="18" t="s">
        <v>3802</v>
      </c>
      <c r="Q861" s="18" t="s">
        <v>110</v>
      </c>
      <c r="R861" s="18" t="s">
        <v>3803</v>
      </c>
      <c r="S861" s="18" t="s">
        <v>112</v>
      </c>
      <c r="T861" s="18" t="s">
        <v>113</v>
      </c>
      <c r="U861" s="18"/>
      <c r="V861" s="19" t="s">
        <v>29</v>
      </c>
      <c r="W861" s="19"/>
      <c r="X861" s="19"/>
      <c r="Y861" s="20"/>
      <c r="Z861" s="19"/>
      <c r="AA861" s="18" t="str">
        <f aca="false">IF(OR(V861="Aprobada"),R861,IF(AND(OR(V861="Aprobada con ajuste",V861="Rechazada"),W861&lt;&gt;""),W861,""))</f>
        <v/>
      </c>
    </row>
    <row r="862" customFormat="false" ht="43.25" hidden="false" customHeight="false" outlineLevel="0" collapsed="false">
      <c r="A862" s="18" t="s">
        <v>3804</v>
      </c>
      <c r="B862" s="18" t="s">
        <v>62</v>
      </c>
      <c r="C862" s="18" t="s">
        <v>63</v>
      </c>
      <c r="D862" s="18" t="s">
        <v>3800</v>
      </c>
      <c r="E862" s="18" t="n">
        <v>81</v>
      </c>
      <c r="F862" s="18" t="s">
        <v>129</v>
      </c>
      <c r="G862" s="18" t="s">
        <v>486</v>
      </c>
      <c r="H862" s="18" t="s">
        <v>109</v>
      </c>
      <c r="I862" s="18"/>
      <c r="J862" s="18"/>
      <c r="K862" s="18"/>
      <c r="L862" s="18" t="s">
        <v>109</v>
      </c>
      <c r="M862" s="18" t="s">
        <v>109</v>
      </c>
      <c r="N862" s="18"/>
      <c r="O862" s="18"/>
      <c r="P862" s="18" t="s">
        <v>3805</v>
      </c>
      <c r="Q862" s="18" t="s">
        <v>110</v>
      </c>
      <c r="R862" s="18" t="s">
        <v>3806</v>
      </c>
      <c r="S862" s="18" t="s">
        <v>112</v>
      </c>
      <c r="T862" s="18" t="s">
        <v>113</v>
      </c>
      <c r="U862" s="18"/>
      <c r="V862" s="19" t="s">
        <v>29</v>
      </c>
      <c r="W862" s="19"/>
      <c r="X862" s="19"/>
      <c r="Y862" s="20"/>
      <c r="Z862" s="19"/>
      <c r="AA862" s="18" t="str">
        <f aca="false">IF(OR(V862="Aprobada"),R862,IF(AND(OR(V862="Aprobada con ajuste",V862="Rechazada"),W862&lt;&gt;""),W862,""))</f>
        <v/>
      </c>
    </row>
    <row r="863" customFormat="false" ht="74.6" hidden="false" customHeight="false" outlineLevel="0" collapsed="false">
      <c r="A863" s="18" t="s">
        <v>3807</v>
      </c>
      <c r="B863" s="18" t="s">
        <v>62</v>
      </c>
      <c r="C863" s="18" t="s">
        <v>63</v>
      </c>
      <c r="D863" s="18" t="s">
        <v>3800</v>
      </c>
      <c r="E863" s="18" t="n">
        <v>81</v>
      </c>
      <c r="F863" s="18" t="s">
        <v>150</v>
      </c>
      <c r="G863" s="18" t="s">
        <v>324</v>
      </c>
      <c r="H863" s="18" t="s">
        <v>109</v>
      </c>
      <c r="I863" s="18"/>
      <c r="J863" s="18"/>
      <c r="K863" s="18"/>
      <c r="L863" s="18" t="s">
        <v>109</v>
      </c>
      <c r="M863" s="18" t="s">
        <v>109</v>
      </c>
      <c r="N863" s="18"/>
      <c r="O863" s="18"/>
      <c r="P863" s="18" t="s">
        <v>3808</v>
      </c>
      <c r="Q863" s="18" t="s">
        <v>123</v>
      </c>
      <c r="R863" s="18" t="s">
        <v>3809</v>
      </c>
      <c r="S863" s="18" t="s">
        <v>125</v>
      </c>
      <c r="T863" s="18" t="s">
        <v>3810</v>
      </c>
      <c r="U863" s="18"/>
      <c r="V863" s="19" t="s">
        <v>29</v>
      </c>
      <c r="W863" s="19"/>
      <c r="X863" s="19"/>
      <c r="Y863" s="20"/>
      <c r="Z863" s="19"/>
      <c r="AA863" s="18" t="str">
        <f aca="false">IF(OR(V863="Aprobada"),R863,IF(AND(OR(V863="Aprobada con ajuste",V863="Rechazada"),W863&lt;&gt;""),W863,""))</f>
        <v/>
      </c>
    </row>
    <row r="864" customFormat="false" ht="53.7" hidden="false" customHeight="false" outlineLevel="0" collapsed="false">
      <c r="A864" s="18" t="s">
        <v>3811</v>
      </c>
      <c r="B864" s="18" t="s">
        <v>62</v>
      </c>
      <c r="C864" s="18" t="s">
        <v>63</v>
      </c>
      <c r="D864" s="18" t="s">
        <v>3800</v>
      </c>
      <c r="E864" s="18" t="n">
        <v>81</v>
      </c>
      <c r="F864" s="18" t="s">
        <v>138</v>
      </c>
      <c r="G864" s="18" t="s">
        <v>139</v>
      </c>
      <c r="H864" s="18" t="s">
        <v>109</v>
      </c>
      <c r="I864" s="18"/>
      <c r="J864" s="18"/>
      <c r="K864" s="18"/>
      <c r="L864" s="18" t="s">
        <v>109</v>
      </c>
      <c r="M864" s="18" t="s">
        <v>109</v>
      </c>
      <c r="N864" s="18"/>
      <c r="O864" s="18"/>
      <c r="P864" s="18" t="s">
        <v>3812</v>
      </c>
      <c r="Q864" s="18" t="s">
        <v>134</v>
      </c>
      <c r="R864" s="18" t="s">
        <v>3813</v>
      </c>
      <c r="S864" s="18" t="s">
        <v>125</v>
      </c>
      <c r="T864" s="18" t="s">
        <v>3814</v>
      </c>
      <c r="U864" s="18"/>
      <c r="V864" s="19" t="s">
        <v>29</v>
      </c>
      <c r="W864" s="19"/>
      <c r="X864" s="19"/>
      <c r="Y864" s="20"/>
      <c r="Z864" s="19"/>
      <c r="AA864" s="18" t="str">
        <f aca="false">IF(OR(V864="Aprobada"),R864,IF(AND(OR(V864="Aprobada con ajuste",V864="Rechazada"),W864&lt;&gt;""),W864,""))</f>
        <v/>
      </c>
    </row>
    <row r="865" customFormat="false" ht="53.7" hidden="false" customHeight="false" outlineLevel="0" collapsed="false">
      <c r="A865" s="18" t="s">
        <v>3815</v>
      </c>
      <c r="B865" s="18" t="s">
        <v>62</v>
      </c>
      <c r="C865" s="18" t="s">
        <v>63</v>
      </c>
      <c r="D865" s="18" t="s">
        <v>3800</v>
      </c>
      <c r="E865" s="18" t="n">
        <v>81</v>
      </c>
      <c r="F865" s="18" t="s">
        <v>155</v>
      </c>
      <c r="G865" s="18" t="s">
        <v>139</v>
      </c>
      <c r="H865" s="18" t="s">
        <v>109</v>
      </c>
      <c r="I865" s="18"/>
      <c r="J865" s="18"/>
      <c r="K865" s="18"/>
      <c r="L865" s="18" t="s">
        <v>109</v>
      </c>
      <c r="M865" s="18" t="s">
        <v>109</v>
      </c>
      <c r="N865" s="18"/>
      <c r="O865" s="18"/>
      <c r="P865" s="18" t="s">
        <v>3816</v>
      </c>
      <c r="Q865" s="18" t="s">
        <v>134</v>
      </c>
      <c r="R865" s="18" t="s">
        <v>3817</v>
      </c>
      <c r="S865" s="18" t="s">
        <v>125</v>
      </c>
      <c r="T865" s="18" t="s">
        <v>3818</v>
      </c>
      <c r="U865" s="18"/>
      <c r="V865" s="19" t="s">
        <v>29</v>
      </c>
      <c r="W865" s="19"/>
      <c r="X865" s="19"/>
      <c r="Y865" s="20"/>
      <c r="Z865" s="19"/>
      <c r="AA865" s="18" t="str">
        <f aca="false">IF(OR(V865="Aprobada"),R865,IF(AND(OR(V865="Aprobada con ajuste",V865="Rechazada"),W865&lt;&gt;""),W865,""))</f>
        <v/>
      </c>
    </row>
    <row r="866" customFormat="false" ht="43.25" hidden="false" customHeight="false" outlineLevel="0" collapsed="false">
      <c r="A866" s="18" t="s">
        <v>3819</v>
      </c>
      <c r="B866" s="18" t="s">
        <v>62</v>
      </c>
      <c r="C866" s="18" t="s">
        <v>63</v>
      </c>
      <c r="D866" s="18" t="s">
        <v>3800</v>
      </c>
      <c r="E866" s="18" t="n">
        <v>81</v>
      </c>
      <c r="F866" s="18" t="s">
        <v>3820</v>
      </c>
      <c r="G866" s="18" t="s">
        <v>3821</v>
      </c>
      <c r="H866" s="18" t="s">
        <v>117</v>
      </c>
      <c r="I866" s="18"/>
      <c r="J866" s="18"/>
      <c r="K866" s="18"/>
      <c r="L866" s="18" t="s">
        <v>109</v>
      </c>
      <c r="M866" s="18" t="s">
        <v>109</v>
      </c>
      <c r="N866" s="18"/>
      <c r="O866" s="18"/>
      <c r="P866" s="18" t="s">
        <v>3822</v>
      </c>
      <c r="Q866" s="18" t="s">
        <v>134</v>
      </c>
      <c r="R866" s="18" t="s">
        <v>3823</v>
      </c>
      <c r="S866" s="18" t="s">
        <v>125</v>
      </c>
      <c r="T866" s="18" t="s">
        <v>3824</v>
      </c>
      <c r="U866" s="18"/>
      <c r="V866" s="19" t="s">
        <v>29</v>
      </c>
      <c r="W866" s="19"/>
      <c r="X866" s="19"/>
      <c r="Y866" s="20"/>
      <c r="Z866" s="19"/>
      <c r="AA866" s="18" t="str">
        <f aca="false">IF(OR(V866="Aprobada"),R866,IF(AND(OR(V866="Aprobada con ajuste",V866="Rechazada"),W866&lt;&gt;""),W866,""))</f>
        <v/>
      </c>
    </row>
    <row r="867" customFormat="false" ht="43.25" hidden="false" customHeight="false" outlineLevel="0" collapsed="false">
      <c r="A867" s="18" t="s">
        <v>3825</v>
      </c>
      <c r="B867" s="18" t="s">
        <v>62</v>
      </c>
      <c r="C867" s="18" t="s">
        <v>63</v>
      </c>
      <c r="D867" s="18" t="s">
        <v>3800</v>
      </c>
      <c r="E867" s="18" t="n">
        <v>81</v>
      </c>
      <c r="F867" s="18" t="s">
        <v>3826</v>
      </c>
      <c r="G867" s="18" t="s">
        <v>145</v>
      </c>
      <c r="H867" s="18" t="s">
        <v>117</v>
      </c>
      <c r="I867" s="18"/>
      <c r="J867" s="18"/>
      <c r="K867" s="18"/>
      <c r="L867" s="18" t="s">
        <v>109</v>
      </c>
      <c r="M867" s="18" t="s">
        <v>109</v>
      </c>
      <c r="N867" s="18"/>
      <c r="O867" s="18"/>
      <c r="P867" s="18" t="s">
        <v>3827</v>
      </c>
      <c r="Q867" s="18" t="s">
        <v>110</v>
      </c>
      <c r="R867" s="18" t="s">
        <v>3828</v>
      </c>
      <c r="S867" s="18" t="s">
        <v>112</v>
      </c>
      <c r="T867" s="18" t="s">
        <v>113</v>
      </c>
      <c r="U867" s="18"/>
      <c r="V867" s="19" t="s">
        <v>29</v>
      </c>
      <c r="W867" s="19"/>
      <c r="X867" s="19"/>
      <c r="Y867" s="20"/>
      <c r="Z867" s="19"/>
      <c r="AA867" s="18" t="str">
        <f aca="false">IF(OR(V867="Aprobada"),R867,IF(AND(OR(V867="Aprobada con ajuste",V867="Rechazada"),W867&lt;&gt;""),W867,""))</f>
        <v/>
      </c>
    </row>
    <row r="868" customFormat="false" ht="43.25" hidden="false" customHeight="false" outlineLevel="0" collapsed="false">
      <c r="A868" s="18" t="s">
        <v>3829</v>
      </c>
      <c r="B868" s="18" t="s">
        <v>62</v>
      </c>
      <c r="C868" s="18" t="s">
        <v>63</v>
      </c>
      <c r="D868" s="18" t="s">
        <v>3800</v>
      </c>
      <c r="E868" s="18" t="n">
        <v>81</v>
      </c>
      <c r="F868" s="18" t="s">
        <v>3830</v>
      </c>
      <c r="G868" s="18" t="s">
        <v>145</v>
      </c>
      <c r="H868" s="18" t="s">
        <v>117</v>
      </c>
      <c r="I868" s="18"/>
      <c r="J868" s="18"/>
      <c r="K868" s="18"/>
      <c r="L868" s="18" t="s">
        <v>109</v>
      </c>
      <c r="M868" s="18" t="s">
        <v>109</v>
      </c>
      <c r="N868" s="18"/>
      <c r="O868" s="18"/>
      <c r="P868" s="18" t="s">
        <v>3831</v>
      </c>
      <c r="Q868" s="18" t="s">
        <v>110</v>
      </c>
      <c r="R868" s="18" t="s">
        <v>3832</v>
      </c>
      <c r="S868" s="18" t="s">
        <v>112</v>
      </c>
      <c r="T868" s="18" t="s">
        <v>113</v>
      </c>
      <c r="U868" s="18"/>
      <c r="V868" s="19" t="s">
        <v>29</v>
      </c>
      <c r="W868" s="19"/>
      <c r="X868" s="19"/>
      <c r="Y868" s="20"/>
      <c r="Z868" s="19"/>
      <c r="AA868" s="18" t="str">
        <f aca="false">IF(OR(V868="Aprobada"),R868,IF(AND(OR(V868="Aprobada con ajuste",V868="Rechazada"),W868&lt;&gt;""),W868,""))</f>
        <v/>
      </c>
    </row>
    <row r="869" customFormat="false" ht="43.25" hidden="false" customHeight="false" outlineLevel="0" collapsed="false">
      <c r="A869" s="18" t="s">
        <v>3833</v>
      </c>
      <c r="B869" s="18" t="s">
        <v>62</v>
      </c>
      <c r="C869" s="18" t="s">
        <v>63</v>
      </c>
      <c r="D869" s="18" t="s">
        <v>3800</v>
      </c>
      <c r="E869" s="18" t="n">
        <v>81</v>
      </c>
      <c r="F869" s="18" t="s">
        <v>3834</v>
      </c>
      <c r="G869" s="18" t="s">
        <v>145</v>
      </c>
      <c r="H869" s="18" t="s">
        <v>117</v>
      </c>
      <c r="I869" s="18"/>
      <c r="J869" s="18"/>
      <c r="K869" s="18"/>
      <c r="L869" s="18" t="s">
        <v>109</v>
      </c>
      <c r="M869" s="18" t="s">
        <v>109</v>
      </c>
      <c r="N869" s="18"/>
      <c r="O869" s="18"/>
      <c r="P869" s="18" t="s">
        <v>3835</v>
      </c>
      <c r="Q869" s="18" t="s">
        <v>110</v>
      </c>
      <c r="R869" s="18" t="s">
        <v>3836</v>
      </c>
      <c r="S869" s="18" t="s">
        <v>112</v>
      </c>
      <c r="T869" s="18" t="s">
        <v>113</v>
      </c>
      <c r="U869" s="18"/>
      <c r="V869" s="19" t="s">
        <v>29</v>
      </c>
      <c r="W869" s="19"/>
      <c r="X869" s="19"/>
      <c r="Y869" s="20"/>
      <c r="Z869" s="19"/>
      <c r="AA869" s="18" t="str">
        <f aca="false">IF(OR(V869="Aprobada"),R869,IF(AND(OR(V869="Aprobada con ajuste",V869="Rechazada"),W869&lt;&gt;""),W869,""))</f>
        <v/>
      </c>
    </row>
    <row r="870" customFormat="false" ht="74.6" hidden="false" customHeight="false" outlineLevel="0" collapsed="false">
      <c r="A870" s="18" t="s">
        <v>3837</v>
      </c>
      <c r="B870" s="18" t="s">
        <v>62</v>
      </c>
      <c r="C870" s="18" t="s">
        <v>63</v>
      </c>
      <c r="D870" s="18" t="s">
        <v>3800</v>
      </c>
      <c r="E870" s="18" t="n">
        <v>81</v>
      </c>
      <c r="F870" s="18" t="s">
        <v>107</v>
      </c>
      <c r="G870" s="18" t="s">
        <v>108</v>
      </c>
      <c r="H870" s="18" t="s">
        <v>109</v>
      </c>
      <c r="I870" s="18"/>
      <c r="J870" s="18"/>
      <c r="K870" s="18"/>
      <c r="L870" s="18" t="s">
        <v>109</v>
      </c>
      <c r="M870" s="18" t="s">
        <v>109</v>
      </c>
      <c r="N870" s="18"/>
      <c r="O870" s="18"/>
      <c r="P870" s="18" t="s">
        <v>3838</v>
      </c>
      <c r="Q870" s="18" t="s">
        <v>123</v>
      </c>
      <c r="R870" s="18" t="s">
        <v>3839</v>
      </c>
      <c r="S870" s="18" t="s">
        <v>125</v>
      </c>
      <c r="T870" s="18" t="s">
        <v>3840</v>
      </c>
      <c r="U870" s="18"/>
      <c r="V870" s="19" t="s">
        <v>29</v>
      </c>
      <c r="W870" s="19"/>
      <c r="X870" s="19"/>
      <c r="Y870" s="20"/>
      <c r="Z870" s="19"/>
      <c r="AA870" s="18" t="str">
        <f aca="false">IF(OR(V870="Aprobada"),R870,IF(AND(OR(V870="Aprobada con ajuste",V870="Rechazada"),W870&lt;&gt;""),W870,""))</f>
        <v/>
      </c>
    </row>
    <row r="871" customFormat="false" ht="32.8" hidden="false" customHeight="false" outlineLevel="0" collapsed="false">
      <c r="A871" s="18" t="s">
        <v>3841</v>
      </c>
      <c r="B871" s="18" t="s">
        <v>62</v>
      </c>
      <c r="C871" s="18" t="s">
        <v>63</v>
      </c>
      <c r="D871" s="18" t="s">
        <v>3800</v>
      </c>
      <c r="E871" s="18" t="n">
        <v>81</v>
      </c>
      <c r="F871" s="18" t="s">
        <v>3785</v>
      </c>
      <c r="G871" s="18" t="s">
        <v>145</v>
      </c>
      <c r="H871" s="18" t="s">
        <v>109</v>
      </c>
      <c r="I871" s="18"/>
      <c r="J871" s="18"/>
      <c r="K871" s="18"/>
      <c r="L871" s="18" t="s">
        <v>109</v>
      </c>
      <c r="M871" s="18" t="s">
        <v>109</v>
      </c>
      <c r="N871" s="18"/>
      <c r="O871" s="18"/>
      <c r="P871" s="18" t="s">
        <v>3842</v>
      </c>
      <c r="Q871" s="18" t="s">
        <v>110</v>
      </c>
      <c r="R871" s="18" t="s">
        <v>859</v>
      </c>
      <c r="S871" s="18" t="s">
        <v>112</v>
      </c>
      <c r="T871" s="18" t="s">
        <v>113</v>
      </c>
      <c r="U871" s="18"/>
      <c r="V871" s="19" t="s">
        <v>29</v>
      </c>
      <c r="W871" s="19"/>
      <c r="X871" s="19"/>
      <c r="Y871" s="20"/>
      <c r="Z871" s="19"/>
      <c r="AA871" s="18" t="str">
        <f aca="false">IF(OR(V871="Aprobada"),R871,IF(AND(OR(V871="Aprobada con ajuste",V871="Rechazada"),W871&lt;&gt;""),W871,""))</f>
        <v/>
      </c>
    </row>
    <row r="872" customFormat="false" ht="43.25" hidden="false" customHeight="false" outlineLevel="0" collapsed="false">
      <c r="A872" s="18" t="s">
        <v>3843</v>
      </c>
      <c r="B872" s="18" t="s">
        <v>62</v>
      </c>
      <c r="C872" s="18" t="s">
        <v>63</v>
      </c>
      <c r="D872" s="18" t="s">
        <v>440</v>
      </c>
      <c r="E872" s="18" t="n">
        <v>7</v>
      </c>
      <c r="F872" s="18" t="s">
        <v>408</v>
      </c>
      <c r="G872" s="18" t="s">
        <v>108</v>
      </c>
      <c r="H872" s="18" t="s">
        <v>109</v>
      </c>
      <c r="I872" s="18" t="s">
        <v>409</v>
      </c>
      <c r="J872" s="18"/>
      <c r="K872" s="18"/>
      <c r="L872" s="18" t="s">
        <v>109</v>
      </c>
      <c r="M872" s="18" t="s">
        <v>109</v>
      </c>
      <c r="N872" s="18"/>
      <c r="O872" s="18" t="s">
        <v>3844</v>
      </c>
      <c r="P872" s="18" t="s">
        <v>3845</v>
      </c>
      <c r="Q872" s="18" t="s">
        <v>110</v>
      </c>
      <c r="R872" s="18" t="s">
        <v>3846</v>
      </c>
      <c r="S872" s="18" t="s">
        <v>112</v>
      </c>
      <c r="T872" s="18" t="s">
        <v>113</v>
      </c>
      <c r="U872" s="18"/>
      <c r="V872" s="19" t="s">
        <v>29</v>
      </c>
      <c r="W872" s="19"/>
      <c r="X872" s="19"/>
      <c r="Y872" s="20"/>
      <c r="Z872" s="19"/>
      <c r="AA872" s="18" t="str">
        <f aca="false">IF(OR(V872="Aprobada"),R872,IF(AND(OR(V872="Aprobada con ajuste",V872="Rechazada"),W872&lt;&gt;""),W872,""))</f>
        <v/>
      </c>
    </row>
    <row r="873" customFormat="false" ht="43.25" hidden="false" customHeight="false" outlineLevel="0" collapsed="false">
      <c r="A873" s="18" t="s">
        <v>3847</v>
      </c>
      <c r="B873" s="18" t="s">
        <v>62</v>
      </c>
      <c r="C873" s="18" t="s">
        <v>63</v>
      </c>
      <c r="D873" s="18" t="s">
        <v>440</v>
      </c>
      <c r="E873" s="18" t="n">
        <v>7</v>
      </c>
      <c r="F873" s="18" t="s">
        <v>129</v>
      </c>
      <c r="G873" s="18" t="s">
        <v>486</v>
      </c>
      <c r="H873" s="18" t="s">
        <v>109</v>
      </c>
      <c r="I873" s="18"/>
      <c r="J873" s="18"/>
      <c r="K873" s="18"/>
      <c r="L873" s="18" t="s">
        <v>109</v>
      </c>
      <c r="M873" s="18" t="s">
        <v>109</v>
      </c>
      <c r="N873" s="18"/>
      <c r="O873" s="18"/>
      <c r="P873" s="18" t="s">
        <v>3848</v>
      </c>
      <c r="Q873" s="18" t="s">
        <v>110</v>
      </c>
      <c r="R873" s="18" t="s">
        <v>3849</v>
      </c>
      <c r="S873" s="18" t="s">
        <v>112</v>
      </c>
      <c r="T873" s="18" t="s">
        <v>113</v>
      </c>
      <c r="U873" s="18"/>
      <c r="V873" s="19" t="s">
        <v>29</v>
      </c>
      <c r="W873" s="19"/>
      <c r="X873" s="19"/>
      <c r="Y873" s="20"/>
      <c r="Z873" s="19"/>
      <c r="AA873" s="18" t="str">
        <f aca="false">IF(OR(V873="Aprobada"),R873,IF(AND(OR(V873="Aprobada con ajuste",V873="Rechazada"),W873&lt;&gt;""),W873,""))</f>
        <v/>
      </c>
    </row>
    <row r="874" customFormat="false" ht="43.25" hidden="false" customHeight="false" outlineLevel="0" collapsed="false">
      <c r="A874" s="18" t="s">
        <v>3850</v>
      </c>
      <c r="B874" s="18" t="s">
        <v>62</v>
      </c>
      <c r="C874" s="18" t="s">
        <v>63</v>
      </c>
      <c r="D874" s="18" t="s">
        <v>440</v>
      </c>
      <c r="E874" s="18" t="n">
        <v>7</v>
      </c>
      <c r="F874" s="18" t="s">
        <v>150</v>
      </c>
      <c r="G874" s="18" t="s">
        <v>324</v>
      </c>
      <c r="H874" s="18" t="s">
        <v>109</v>
      </c>
      <c r="I874" s="18"/>
      <c r="J874" s="18"/>
      <c r="K874" s="18"/>
      <c r="L874" s="18" t="s">
        <v>109</v>
      </c>
      <c r="M874" s="18" t="s">
        <v>109</v>
      </c>
      <c r="N874" s="18"/>
      <c r="O874" s="18"/>
      <c r="P874" s="18" t="s">
        <v>3851</v>
      </c>
      <c r="Q874" s="18" t="s">
        <v>123</v>
      </c>
      <c r="R874" s="18" t="s">
        <v>3852</v>
      </c>
      <c r="S874" s="18" t="s">
        <v>125</v>
      </c>
      <c r="T874" s="18" t="s">
        <v>3853</v>
      </c>
      <c r="U874" s="18"/>
      <c r="V874" s="19" t="s">
        <v>29</v>
      </c>
      <c r="W874" s="19"/>
      <c r="X874" s="19"/>
      <c r="Y874" s="20"/>
      <c r="Z874" s="19"/>
      <c r="AA874" s="18" t="str">
        <f aca="false">IF(OR(V874="Aprobada"),R874,IF(AND(OR(V874="Aprobada con ajuste",V874="Rechazada"),W874&lt;&gt;""),W874,""))</f>
        <v/>
      </c>
    </row>
    <row r="875" customFormat="false" ht="32.8" hidden="false" customHeight="false" outlineLevel="0" collapsed="false">
      <c r="A875" s="18" t="s">
        <v>3854</v>
      </c>
      <c r="B875" s="18" t="s">
        <v>62</v>
      </c>
      <c r="C875" s="18" t="s">
        <v>63</v>
      </c>
      <c r="D875" s="18" t="s">
        <v>440</v>
      </c>
      <c r="E875" s="18" t="n">
        <v>7</v>
      </c>
      <c r="F875" s="18" t="s">
        <v>3855</v>
      </c>
      <c r="G875" s="18" t="s">
        <v>414</v>
      </c>
      <c r="H875" s="18" t="s">
        <v>109</v>
      </c>
      <c r="I875" s="18"/>
      <c r="J875" s="18"/>
      <c r="K875" s="18"/>
      <c r="L875" s="18" t="s">
        <v>109</v>
      </c>
      <c r="M875" s="18" t="s">
        <v>109</v>
      </c>
      <c r="N875" s="18"/>
      <c r="O875" s="18"/>
      <c r="P875" s="18" t="s">
        <v>3856</v>
      </c>
      <c r="Q875" s="18" t="s">
        <v>134</v>
      </c>
      <c r="R875" s="18" t="s">
        <v>3857</v>
      </c>
      <c r="S875" s="18" t="s">
        <v>125</v>
      </c>
      <c r="T875" s="18" t="s">
        <v>3858</v>
      </c>
      <c r="U875" s="18"/>
      <c r="V875" s="19" t="s">
        <v>29</v>
      </c>
      <c r="W875" s="19"/>
      <c r="X875" s="19"/>
      <c r="Y875" s="20"/>
      <c r="Z875" s="19"/>
      <c r="AA875" s="18" t="str">
        <f aca="false">IF(OR(V875="Aprobada"),R875,IF(AND(OR(V875="Aprobada con ajuste",V875="Rechazada"),W875&lt;&gt;""),W875,""))</f>
        <v/>
      </c>
    </row>
    <row r="876" customFormat="false" ht="32.8" hidden="false" customHeight="false" outlineLevel="0" collapsed="false">
      <c r="A876" s="18" t="s">
        <v>3859</v>
      </c>
      <c r="B876" s="18" t="s">
        <v>62</v>
      </c>
      <c r="C876" s="18" t="s">
        <v>63</v>
      </c>
      <c r="D876" s="18" t="s">
        <v>440</v>
      </c>
      <c r="E876" s="18" t="n">
        <v>7</v>
      </c>
      <c r="F876" s="18" t="s">
        <v>3860</v>
      </c>
      <c r="G876" s="18" t="s">
        <v>414</v>
      </c>
      <c r="H876" s="18" t="s">
        <v>109</v>
      </c>
      <c r="I876" s="18"/>
      <c r="J876" s="18"/>
      <c r="K876" s="18"/>
      <c r="L876" s="18" t="s">
        <v>109</v>
      </c>
      <c r="M876" s="18" t="s">
        <v>109</v>
      </c>
      <c r="N876" s="18"/>
      <c r="O876" s="18"/>
      <c r="P876" s="18" t="s">
        <v>3861</v>
      </c>
      <c r="Q876" s="18" t="s">
        <v>134</v>
      </c>
      <c r="R876" s="18" t="s">
        <v>3862</v>
      </c>
      <c r="S876" s="18" t="s">
        <v>125</v>
      </c>
      <c r="T876" s="18" t="s">
        <v>1220</v>
      </c>
      <c r="U876" s="18"/>
      <c r="V876" s="19" t="s">
        <v>29</v>
      </c>
      <c r="W876" s="19"/>
      <c r="X876" s="19"/>
      <c r="Y876" s="20"/>
      <c r="Z876" s="19"/>
      <c r="AA876" s="18" t="str">
        <f aca="false">IF(OR(V876="Aprobada"),R876,IF(AND(OR(V876="Aprobada con ajuste",V876="Rechazada"),W876&lt;&gt;""),W876,""))</f>
        <v/>
      </c>
    </row>
    <row r="877" customFormat="false" ht="32.8" hidden="false" customHeight="false" outlineLevel="0" collapsed="false">
      <c r="A877" s="18" t="s">
        <v>3863</v>
      </c>
      <c r="B877" s="18" t="s">
        <v>62</v>
      </c>
      <c r="C877" s="18" t="s">
        <v>63</v>
      </c>
      <c r="D877" s="18" t="s">
        <v>440</v>
      </c>
      <c r="E877" s="18" t="n">
        <v>7</v>
      </c>
      <c r="F877" s="18" t="s">
        <v>3864</v>
      </c>
      <c r="G877" s="18" t="s">
        <v>934</v>
      </c>
      <c r="H877" s="18" t="s">
        <v>109</v>
      </c>
      <c r="I877" s="18"/>
      <c r="J877" s="18"/>
      <c r="K877" s="18"/>
      <c r="L877" s="18" t="s">
        <v>109</v>
      </c>
      <c r="M877" s="18" t="s">
        <v>109</v>
      </c>
      <c r="N877" s="18"/>
      <c r="O877" s="18"/>
      <c r="P877" s="18" t="s">
        <v>3865</v>
      </c>
      <c r="Q877" s="18" t="s">
        <v>134</v>
      </c>
      <c r="R877" s="18" t="s">
        <v>3866</v>
      </c>
      <c r="S877" s="18" t="s">
        <v>125</v>
      </c>
      <c r="T877" s="18" t="s">
        <v>3867</v>
      </c>
      <c r="U877" s="18"/>
      <c r="V877" s="19" t="s">
        <v>29</v>
      </c>
      <c r="W877" s="19"/>
      <c r="X877" s="19"/>
      <c r="Y877" s="20"/>
      <c r="Z877" s="19"/>
      <c r="AA877" s="18" t="str">
        <f aca="false">IF(OR(V877="Aprobada"),R877,IF(AND(OR(V877="Aprobada con ajuste",V877="Rechazada"),W877&lt;&gt;""),W877,""))</f>
        <v/>
      </c>
    </row>
    <row r="878" customFormat="false" ht="32.8" hidden="false" customHeight="false" outlineLevel="0" collapsed="false">
      <c r="A878" s="18" t="s">
        <v>3868</v>
      </c>
      <c r="B878" s="18" t="s">
        <v>62</v>
      </c>
      <c r="C878" s="18" t="s">
        <v>63</v>
      </c>
      <c r="D878" s="18" t="s">
        <v>440</v>
      </c>
      <c r="E878" s="18" t="n">
        <v>7</v>
      </c>
      <c r="F878" s="18" t="s">
        <v>3869</v>
      </c>
      <c r="G878" s="18" t="s">
        <v>324</v>
      </c>
      <c r="H878" s="18" t="s">
        <v>117</v>
      </c>
      <c r="I878" s="18"/>
      <c r="J878" s="18"/>
      <c r="K878" s="18"/>
      <c r="L878" s="18" t="s">
        <v>109</v>
      </c>
      <c r="M878" s="18" t="s">
        <v>109</v>
      </c>
      <c r="N878" s="18"/>
      <c r="O878" s="18"/>
      <c r="P878" s="18" t="s">
        <v>3870</v>
      </c>
      <c r="Q878" s="18" t="s">
        <v>110</v>
      </c>
      <c r="R878" s="18" t="s">
        <v>3871</v>
      </c>
      <c r="S878" s="18" t="s">
        <v>112</v>
      </c>
      <c r="T878" s="18" t="s">
        <v>113</v>
      </c>
      <c r="U878" s="18"/>
      <c r="V878" s="19" t="s">
        <v>29</v>
      </c>
      <c r="W878" s="19"/>
      <c r="X878" s="19"/>
      <c r="Y878" s="20"/>
      <c r="Z878" s="19"/>
      <c r="AA878" s="18" t="str">
        <f aca="false">IF(OR(V878="Aprobada"),R878,IF(AND(OR(V878="Aprobada con ajuste",V878="Rechazada"),W878&lt;&gt;""),W878,""))</f>
        <v/>
      </c>
    </row>
    <row r="879" customFormat="false" ht="32.8" hidden="false" customHeight="false" outlineLevel="0" collapsed="false">
      <c r="A879" s="18" t="s">
        <v>3872</v>
      </c>
      <c r="B879" s="18" t="s">
        <v>62</v>
      </c>
      <c r="C879" s="18" t="s">
        <v>63</v>
      </c>
      <c r="D879" s="18" t="s">
        <v>440</v>
      </c>
      <c r="E879" s="18" t="n">
        <v>7</v>
      </c>
      <c r="F879" s="18" t="s">
        <v>3873</v>
      </c>
      <c r="G879" s="18" t="s">
        <v>414</v>
      </c>
      <c r="H879" s="18" t="s">
        <v>117</v>
      </c>
      <c r="I879" s="18"/>
      <c r="J879" s="18"/>
      <c r="K879" s="18"/>
      <c r="L879" s="18" t="s">
        <v>109</v>
      </c>
      <c r="M879" s="18" t="s">
        <v>109</v>
      </c>
      <c r="N879" s="18"/>
      <c r="O879" s="18"/>
      <c r="P879" s="18" t="s">
        <v>3874</v>
      </c>
      <c r="Q879" s="18" t="s">
        <v>134</v>
      </c>
      <c r="R879" s="18" t="s">
        <v>3875</v>
      </c>
      <c r="S879" s="18" t="s">
        <v>125</v>
      </c>
      <c r="T879" s="18" t="s">
        <v>1220</v>
      </c>
      <c r="U879" s="18"/>
      <c r="V879" s="19" t="s">
        <v>29</v>
      </c>
      <c r="W879" s="19"/>
      <c r="X879" s="19"/>
      <c r="Y879" s="20"/>
      <c r="Z879" s="19"/>
      <c r="AA879" s="18" t="str">
        <f aca="false">IF(OR(V879="Aprobada"),R879,IF(AND(OR(V879="Aprobada con ajuste",V879="Rechazada"),W879&lt;&gt;""),W879,""))</f>
        <v/>
      </c>
    </row>
    <row r="880" customFormat="false" ht="32.8" hidden="false" customHeight="false" outlineLevel="0" collapsed="false">
      <c r="A880" s="18" t="s">
        <v>3876</v>
      </c>
      <c r="B880" s="18" t="s">
        <v>62</v>
      </c>
      <c r="C880" s="18" t="s">
        <v>63</v>
      </c>
      <c r="D880" s="18" t="s">
        <v>440</v>
      </c>
      <c r="E880" s="18" t="n">
        <v>7</v>
      </c>
      <c r="F880" s="18" t="s">
        <v>3785</v>
      </c>
      <c r="G880" s="18" t="s">
        <v>145</v>
      </c>
      <c r="H880" s="18" t="s">
        <v>109</v>
      </c>
      <c r="I880" s="18"/>
      <c r="J880" s="18"/>
      <c r="K880" s="18"/>
      <c r="L880" s="18" t="s">
        <v>109</v>
      </c>
      <c r="M880" s="18" t="s">
        <v>109</v>
      </c>
      <c r="N880" s="18"/>
      <c r="O880" s="18" t="s">
        <v>3877</v>
      </c>
      <c r="P880" s="18" t="s">
        <v>3878</v>
      </c>
      <c r="Q880" s="18" t="s">
        <v>110</v>
      </c>
      <c r="R880" s="18" t="s">
        <v>859</v>
      </c>
      <c r="S880" s="18" t="s">
        <v>112</v>
      </c>
      <c r="T880" s="18" t="s">
        <v>113</v>
      </c>
      <c r="U880" s="18"/>
      <c r="V880" s="19" t="s">
        <v>29</v>
      </c>
      <c r="W880" s="19"/>
      <c r="X880" s="19"/>
      <c r="Y880" s="20"/>
      <c r="Z880" s="19"/>
      <c r="AA880" s="18" t="str">
        <f aca="false">IF(OR(V880="Aprobada"),R880,IF(AND(OR(V880="Aprobada con ajuste",V880="Rechazada"),W880&lt;&gt;""),W880,""))</f>
        <v/>
      </c>
    </row>
    <row r="881" customFormat="false" ht="32.8" hidden="false" customHeight="false" outlineLevel="0" collapsed="false">
      <c r="A881" s="18" t="s">
        <v>3879</v>
      </c>
      <c r="B881" s="18" t="s">
        <v>62</v>
      </c>
      <c r="C881" s="18" t="s">
        <v>63</v>
      </c>
      <c r="D881" s="18" t="s">
        <v>3880</v>
      </c>
      <c r="E881" s="18" t="n">
        <v>6</v>
      </c>
      <c r="F881" s="18" t="s">
        <v>3881</v>
      </c>
      <c r="G881" s="18" t="s">
        <v>934</v>
      </c>
      <c r="H881" s="18" t="s">
        <v>109</v>
      </c>
      <c r="I881" s="18"/>
      <c r="J881" s="18"/>
      <c r="K881" s="18"/>
      <c r="L881" s="18" t="s">
        <v>109</v>
      </c>
      <c r="M881" s="18" t="s">
        <v>109</v>
      </c>
      <c r="N881" s="18"/>
      <c r="O881" s="18"/>
      <c r="P881" s="18" t="s">
        <v>3882</v>
      </c>
      <c r="Q881" s="18" t="s">
        <v>134</v>
      </c>
      <c r="R881" s="18" t="s">
        <v>3883</v>
      </c>
      <c r="S881" s="18" t="s">
        <v>125</v>
      </c>
      <c r="T881" s="18" t="s">
        <v>3884</v>
      </c>
      <c r="U881" s="18"/>
      <c r="V881" s="19" t="s">
        <v>29</v>
      </c>
      <c r="W881" s="19"/>
      <c r="X881" s="19"/>
      <c r="Y881" s="20"/>
      <c r="Z881" s="19"/>
      <c r="AA881" s="18" t="str">
        <f aca="false">IF(OR(V881="Aprobada"),R881,IF(AND(OR(V881="Aprobada con ajuste",V881="Rechazada"),W881&lt;&gt;""),W881,""))</f>
        <v/>
      </c>
    </row>
    <row r="882" customFormat="false" ht="32.8" hidden="false" customHeight="false" outlineLevel="0" collapsed="false">
      <c r="A882" s="18" t="s">
        <v>3885</v>
      </c>
      <c r="B882" s="18" t="s">
        <v>62</v>
      </c>
      <c r="C882" s="18" t="s">
        <v>63</v>
      </c>
      <c r="D882" s="18" t="s">
        <v>3880</v>
      </c>
      <c r="E882" s="18" t="n">
        <v>6</v>
      </c>
      <c r="F882" s="18" t="s">
        <v>3886</v>
      </c>
      <c r="G882" s="18" t="s">
        <v>934</v>
      </c>
      <c r="H882" s="18" t="s">
        <v>109</v>
      </c>
      <c r="I882" s="18"/>
      <c r="J882" s="18"/>
      <c r="K882" s="18"/>
      <c r="L882" s="18" t="s">
        <v>109</v>
      </c>
      <c r="M882" s="18" t="s">
        <v>109</v>
      </c>
      <c r="N882" s="18"/>
      <c r="O882" s="18"/>
      <c r="P882" s="18" t="s">
        <v>3887</v>
      </c>
      <c r="Q882" s="18" t="s">
        <v>134</v>
      </c>
      <c r="R882" s="18" t="s">
        <v>3888</v>
      </c>
      <c r="S882" s="18" t="s">
        <v>125</v>
      </c>
      <c r="T882" s="18" t="s">
        <v>3889</v>
      </c>
      <c r="U882" s="18"/>
      <c r="V882" s="19" t="s">
        <v>29</v>
      </c>
      <c r="W882" s="19"/>
      <c r="X882" s="19"/>
      <c r="Y882" s="20"/>
      <c r="Z882" s="19"/>
      <c r="AA882" s="18" t="str">
        <f aca="false">IF(OR(V882="Aprobada"),R882,IF(AND(OR(V882="Aprobada con ajuste",V882="Rechazada"),W882&lt;&gt;""),W882,""))</f>
        <v/>
      </c>
    </row>
    <row r="883" customFormat="false" ht="43.25" hidden="false" customHeight="false" outlineLevel="0" collapsed="false">
      <c r="A883" s="18" t="s">
        <v>3890</v>
      </c>
      <c r="B883" s="18" t="s">
        <v>62</v>
      </c>
      <c r="C883" s="18" t="s">
        <v>63</v>
      </c>
      <c r="D883" s="18" t="s">
        <v>3880</v>
      </c>
      <c r="E883" s="18" t="n">
        <v>6</v>
      </c>
      <c r="F883" s="18" t="s">
        <v>3891</v>
      </c>
      <c r="G883" s="18" t="s">
        <v>436</v>
      </c>
      <c r="H883" s="18" t="s">
        <v>109</v>
      </c>
      <c r="I883" s="18" t="s">
        <v>140</v>
      </c>
      <c r="J883" s="18"/>
      <c r="K883" s="18"/>
      <c r="L883" s="18" t="s">
        <v>109</v>
      </c>
      <c r="M883" s="18" t="s">
        <v>109</v>
      </c>
      <c r="N883" s="18"/>
      <c r="O883" s="18" t="s">
        <v>3892</v>
      </c>
      <c r="P883" s="18" t="s">
        <v>3893</v>
      </c>
      <c r="Q883" s="18" t="s">
        <v>134</v>
      </c>
      <c r="R883" s="18" t="s">
        <v>3894</v>
      </c>
      <c r="S883" s="18" t="s">
        <v>125</v>
      </c>
      <c r="T883" s="18" t="s">
        <v>3895</v>
      </c>
      <c r="U883" s="18"/>
      <c r="V883" s="19" t="s">
        <v>29</v>
      </c>
      <c r="W883" s="19"/>
      <c r="X883" s="19"/>
      <c r="Y883" s="20"/>
      <c r="Z883" s="19"/>
      <c r="AA883" s="18" t="str">
        <f aca="false">IF(OR(V883="Aprobada"),R883,IF(AND(OR(V883="Aprobada con ajuste",V883="Rechazada"),W883&lt;&gt;""),W883,""))</f>
        <v/>
      </c>
    </row>
    <row r="884" customFormat="false" ht="32.8" hidden="false" customHeight="false" outlineLevel="0" collapsed="false">
      <c r="A884" s="18" t="s">
        <v>3896</v>
      </c>
      <c r="B884" s="18" t="s">
        <v>62</v>
      </c>
      <c r="C884" s="18" t="s">
        <v>63</v>
      </c>
      <c r="D884" s="18" t="s">
        <v>3880</v>
      </c>
      <c r="E884" s="18" t="n">
        <v>6</v>
      </c>
      <c r="F884" s="18" t="s">
        <v>3897</v>
      </c>
      <c r="G884" s="18" t="s">
        <v>116</v>
      </c>
      <c r="H884" s="18" t="s">
        <v>117</v>
      </c>
      <c r="I884" s="18"/>
      <c r="J884" s="18"/>
      <c r="K884" s="18"/>
      <c r="L884" s="18" t="s">
        <v>109</v>
      </c>
      <c r="M884" s="18" t="s">
        <v>109</v>
      </c>
      <c r="N884" s="18"/>
      <c r="O884" s="18"/>
      <c r="P884" s="18" t="s">
        <v>3898</v>
      </c>
      <c r="Q884" s="18" t="s">
        <v>134</v>
      </c>
      <c r="R884" s="18" t="s">
        <v>3899</v>
      </c>
      <c r="S884" s="18" t="s">
        <v>112</v>
      </c>
      <c r="T884" s="18" t="s">
        <v>3900</v>
      </c>
      <c r="U884" s="18" t="s">
        <v>3901</v>
      </c>
      <c r="V884" s="19" t="s">
        <v>29</v>
      </c>
      <c r="W884" s="19"/>
      <c r="X884" s="19"/>
      <c r="Y884" s="20"/>
      <c r="Z884" s="19"/>
      <c r="AA884" s="18" t="str">
        <f aca="false">IF(OR(V884="Aprobada"),R884,IF(AND(OR(V884="Aprobada con ajuste",V884="Rechazada"),W884&lt;&gt;""),W884,""))</f>
        <v/>
      </c>
    </row>
    <row r="885" customFormat="false" ht="32.8" hidden="false" customHeight="false" outlineLevel="0" collapsed="false">
      <c r="A885" s="18" t="s">
        <v>3902</v>
      </c>
      <c r="B885" s="18" t="s">
        <v>62</v>
      </c>
      <c r="C885" s="18" t="s">
        <v>63</v>
      </c>
      <c r="D885" s="18" t="s">
        <v>3880</v>
      </c>
      <c r="E885" s="18" t="n">
        <v>6</v>
      </c>
      <c r="F885" s="18" t="s">
        <v>3903</v>
      </c>
      <c r="G885" s="18" t="s">
        <v>116</v>
      </c>
      <c r="H885" s="18" t="s">
        <v>117</v>
      </c>
      <c r="I885" s="18"/>
      <c r="J885" s="18"/>
      <c r="K885" s="18"/>
      <c r="L885" s="18" t="s">
        <v>109</v>
      </c>
      <c r="M885" s="18" t="s">
        <v>109</v>
      </c>
      <c r="N885" s="18"/>
      <c r="O885" s="18"/>
      <c r="P885" s="18" t="s">
        <v>3904</v>
      </c>
      <c r="Q885" s="18" t="s">
        <v>134</v>
      </c>
      <c r="R885" s="18" t="s">
        <v>3905</v>
      </c>
      <c r="S885" s="18" t="s">
        <v>125</v>
      </c>
      <c r="T885" s="18" t="s">
        <v>3906</v>
      </c>
      <c r="U885" s="18"/>
      <c r="V885" s="19" t="s">
        <v>29</v>
      </c>
      <c r="W885" s="19"/>
      <c r="X885" s="19"/>
      <c r="Y885" s="20"/>
      <c r="Z885" s="19"/>
      <c r="AA885" s="18" t="str">
        <f aca="false">IF(OR(V885="Aprobada"),R885,IF(AND(OR(V885="Aprobada con ajuste",V885="Rechazada"),W885&lt;&gt;""),W885,""))</f>
        <v/>
      </c>
    </row>
    <row r="886" customFormat="false" ht="32.8" hidden="false" customHeight="false" outlineLevel="0" collapsed="false">
      <c r="A886" s="18" t="s">
        <v>3907</v>
      </c>
      <c r="B886" s="18" t="s">
        <v>62</v>
      </c>
      <c r="C886" s="18" t="s">
        <v>63</v>
      </c>
      <c r="D886" s="18" t="s">
        <v>3880</v>
      </c>
      <c r="E886" s="18" t="n">
        <v>6</v>
      </c>
      <c r="F886" s="18" t="s">
        <v>1059</v>
      </c>
      <c r="G886" s="18" t="s">
        <v>121</v>
      </c>
      <c r="H886" s="18" t="s">
        <v>117</v>
      </c>
      <c r="I886" s="18" t="s">
        <v>140</v>
      </c>
      <c r="J886" s="18"/>
      <c r="K886" s="18"/>
      <c r="L886" s="18" t="s">
        <v>109</v>
      </c>
      <c r="M886" s="18" t="s">
        <v>109</v>
      </c>
      <c r="N886" s="18"/>
      <c r="O886" s="18"/>
      <c r="P886" s="18" t="s">
        <v>3908</v>
      </c>
      <c r="Q886" s="18" t="s">
        <v>110</v>
      </c>
      <c r="R886" s="18" t="s">
        <v>1060</v>
      </c>
      <c r="S886" s="18" t="s">
        <v>112</v>
      </c>
      <c r="T886" s="18" t="s">
        <v>113</v>
      </c>
      <c r="U886" s="18"/>
      <c r="V886" s="19" t="s">
        <v>29</v>
      </c>
      <c r="W886" s="19"/>
      <c r="X886" s="19"/>
      <c r="Y886" s="20"/>
      <c r="Z886" s="19"/>
      <c r="AA886" s="18" t="str">
        <f aca="false">IF(OR(V886="Aprobada"),R886,IF(AND(OR(V886="Aprobada con ajuste",V886="Rechazada"),W886&lt;&gt;""),W886,""))</f>
        <v/>
      </c>
    </row>
    <row r="887" customFormat="false" ht="32.8" hidden="false" customHeight="false" outlineLevel="0" collapsed="false">
      <c r="A887" s="18" t="s">
        <v>3909</v>
      </c>
      <c r="B887" s="18" t="s">
        <v>62</v>
      </c>
      <c r="C887" s="18" t="s">
        <v>63</v>
      </c>
      <c r="D887" s="18" t="s">
        <v>3880</v>
      </c>
      <c r="E887" s="18" t="n">
        <v>6</v>
      </c>
      <c r="F887" s="18" t="s">
        <v>988</v>
      </c>
      <c r="G887" s="18" t="s">
        <v>989</v>
      </c>
      <c r="H887" s="18" t="s">
        <v>109</v>
      </c>
      <c r="I887" s="18" t="s">
        <v>140</v>
      </c>
      <c r="J887" s="18"/>
      <c r="K887" s="18"/>
      <c r="L887" s="18" t="s">
        <v>109</v>
      </c>
      <c r="M887" s="18" t="s">
        <v>109</v>
      </c>
      <c r="N887" s="18"/>
      <c r="O887" s="18"/>
      <c r="P887" s="18" t="s">
        <v>3910</v>
      </c>
      <c r="Q887" s="18" t="s">
        <v>110</v>
      </c>
      <c r="R887" s="18" t="s">
        <v>776</v>
      </c>
      <c r="S887" s="18" t="s">
        <v>112</v>
      </c>
      <c r="T887" s="18" t="s">
        <v>113</v>
      </c>
      <c r="U887" s="18"/>
      <c r="V887" s="19" t="s">
        <v>29</v>
      </c>
      <c r="W887" s="19"/>
      <c r="X887" s="19"/>
      <c r="Y887" s="20"/>
      <c r="Z887" s="19"/>
      <c r="AA887" s="18" t="str">
        <f aca="false">IF(OR(V887="Aprobada"),R887,IF(AND(OR(V887="Aprobada con ajuste",V887="Rechazada"),W887&lt;&gt;""),W887,""))</f>
        <v/>
      </c>
    </row>
    <row r="888" customFormat="false" ht="32.8" hidden="false" customHeight="false" outlineLevel="0" collapsed="false">
      <c r="A888" s="18" t="s">
        <v>3911</v>
      </c>
      <c r="B888" s="18" t="s">
        <v>62</v>
      </c>
      <c r="C888" s="18" t="s">
        <v>63</v>
      </c>
      <c r="D888" s="18" t="s">
        <v>3880</v>
      </c>
      <c r="E888" s="18" t="n">
        <v>6</v>
      </c>
      <c r="F888" s="18" t="s">
        <v>3912</v>
      </c>
      <c r="G888" s="18" t="s">
        <v>249</v>
      </c>
      <c r="H888" s="18" t="s">
        <v>117</v>
      </c>
      <c r="I888" s="18"/>
      <c r="J888" s="18"/>
      <c r="K888" s="18"/>
      <c r="L888" s="18" t="s">
        <v>109</v>
      </c>
      <c r="M888" s="18" t="s">
        <v>109</v>
      </c>
      <c r="N888" s="18"/>
      <c r="O888" s="18"/>
      <c r="P888" s="18" t="s">
        <v>3913</v>
      </c>
      <c r="Q888" s="18" t="s">
        <v>134</v>
      </c>
      <c r="R888" s="18" t="s">
        <v>3914</v>
      </c>
      <c r="S888" s="18" t="s">
        <v>112</v>
      </c>
      <c r="T888" s="18" t="s">
        <v>3915</v>
      </c>
      <c r="U888" s="18" t="s">
        <v>3916</v>
      </c>
      <c r="V888" s="19" t="s">
        <v>29</v>
      </c>
      <c r="W888" s="19"/>
      <c r="X888" s="19"/>
      <c r="Y888" s="20"/>
      <c r="Z888" s="19"/>
      <c r="AA888" s="18" t="str">
        <f aca="false">IF(OR(V888="Aprobada"),R888,IF(AND(OR(V888="Aprobada con ajuste",V888="Rechazada"),W888&lt;&gt;""),W888,""))</f>
        <v/>
      </c>
    </row>
    <row r="889" customFormat="false" ht="32.8" hidden="false" customHeight="false" outlineLevel="0" collapsed="false">
      <c r="A889" s="18" t="s">
        <v>3917</v>
      </c>
      <c r="B889" s="18" t="s">
        <v>62</v>
      </c>
      <c r="C889" s="18" t="s">
        <v>63</v>
      </c>
      <c r="D889" s="18" t="s">
        <v>3880</v>
      </c>
      <c r="E889" s="18" t="n">
        <v>6</v>
      </c>
      <c r="F889" s="18" t="s">
        <v>3918</v>
      </c>
      <c r="G889" s="18" t="s">
        <v>3919</v>
      </c>
      <c r="H889" s="18" t="s">
        <v>117</v>
      </c>
      <c r="I889" s="18"/>
      <c r="J889" s="18"/>
      <c r="K889" s="18"/>
      <c r="L889" s="18" t="s">
        <v>109</v>
      </c>
      <c r="M889" s="18" t="s">
        <v>109</v>
      </c>
      <c r="N889" s="18"/>
      <c r="O889" s="18"/>
      <c r="P889" s="18" t="s">
        <v>3920</v>
      </c>
      <c r="Q889" s="18" t="s">
        <v>134</v>
      </c>
      <c r="R889" s="18" t="s">
        <v>3921</v>
      </c>
      <c r="S889" s="18" t="s">
        <v>125</v>
      </c>
      <c r="T889" s="18" t="s">
        <v>3922</v>
      </c>
      <c r="U889" s="18"/>
      <c r="V889" s="19" t="s">
        <v>29</v>
      </c>
      <c r="W889" s="19"/>
      <c r="X889" s="19"/>
      <c r="Y889" s="20"/>
      <c r="Z889" s="19"/>
      <c r="AA889" s="18" t="str">
        <f aca="false">IF(OR(V889="Aprobada"),R889,IF(AND(OR(V889="Aprobada con ajuste",V889="Rechazada"),W889&lt;&gt;""),W889,""))</f>
        <v/>
      </c>
    </row>
    <row r="890" customFormat="false" ht="32.8" hidden="false" customHeight="false" outlineLevel="0" collapsed="false">
      <c r="A890" s="18" t="s">
        <v>3923</v>
      </c>
      <c r="B890" s="18" t="s">
        <v>62</v>
      </c>
      <c r="C890" s="18" t="s">
        <v>63</v>
      </c>
      <c r="D890" s="18" t="s">
        <v>3880</v>
      </c>
      <c r="E890" s="18" t="n">
        <v>6</v>
      </c>
      <c r="F890" s="18" t="s">
        <v>1030</v>
      </c>
      <c r="G890" s="18" t="s">
        <v>139</v>
      </c>
      <c r="H890" s="18" t="s">
        <v>117</v>
      </c>
      <c r="I890" s="18"/>
      <c r="J890" s="18"/>
      <c r="K890" s="18"/>
      <c r="L890" s="18" t="s">
        <v>109</v>
      </c>
      <c r="M890" s="18" t="s">
        <v>109</v>
      </c>
      <c r="N890" s="18"/>
      <c r="O890" s="18" t="s">
        <v>3924</v>
      </c>
      <c r="P890" s="18" t="s">
        <v>3925</v>
      </c>
      <c r="Q890" s="18" t="s">
        <v>110</v>
      </c>
      <c r="R890" s="18" t="s">
        <v>1031</v>
      </c>
      <c r="S890" s="18" t="s">
        <v>112</v>
      </c>
      <c r="T890" s="18" t="s">
        <v>113</v>
      </c>
      <c r="U890" s="18"/>
      <c r="V890" s="19" t="s">
        <v>29</v>
      </c>
      <c r="W890" s="19"/>
      <c r="X890" s="19"/>
      <c r="Y890" s="20"/>
      <c r="Z890" s="19"/>
      <c r="AA890" s="18" t="str">
        <f aca="false">IF(OR(V890="Aprobada"),R890,IF(AND(OR(V890="Aprobada con ajuste",V890="Rechazada"),W890&lt;&gt;""),W890,""))</f>
        <v/>
      </c>
    </row>
    <row r="891" customFormat="false" ht="32.8" hidden="false" customHeight="false" outlineLevel="0" collapsed="false">
      <c r="A891" s="18" t="s">
        <v>3926</v>
      </c>
      <c r="B891" s="18" t="s">
        <v>62</v>
      </c>
      <c r="C891" s="18" t="s">
        <v>63</v>
      </c>
      <c r="D891" s="18" t="s">
        <v>3880</v>
      </c>
      <c r="E891" s="18" t="n">
        <v>6</v>
      </c>
      <c r="F891" s="18" t="s">
        <v>3927</v>
      </c>
      <c r="G891" s="18" t="s">
        <v>116</v>
      </c>
      <c r="H891" s="18" t="s">
        <v>117</v>
      </c>
      <c r="I891" s="18"/>
      <c r="J891" s="18"/>
      <c r="K891" s="18"/>
      <c r="L891" s="18" t="s">
        <v>109</v>
      </c>
      <c r="M891" s="18" t="s">
        <v>109</v>
      </c>
      <c r="N891" s="18"/>
      <c r="O891" s="18"/>
      <c r="P891" s="18" t="s">
        <v>3928</v>
      </c>
      <c r="Q891" s="18" t="s">
        <v>134</v>
      </c>
      <c r="R891" s="18" t="s">
        <v>3929</v>
      </c>
      <c r="S891" s="18" t="s">
        <v>125</v>
      </c>
      <c r="T891" s="18" t="s">
        <v>225</v>
      </c>
      <c r="U891" s="18"/>
      <c r="V891" s="19" t="s">
        <v>29</v>
      </c>
      <c r="W891" s="19"/>
      <c r="X891" s="19"/>
      <c r="Y891" s="20"/>
      <c r="Z891" s="19"/>
      <c r="AA891" s="18" t="str">
        <f aca="false">IF(OR(V891="Aprobada"),R891,IF(AND(OR(V891="Aprobada con ajuste",V891="Rechazada"),W891&lt;&gt;""),W891,""))</f>
        <v/>
      </c>
    </row>
    <row r="892" customFormat="false" ht="32.8" hidden="false" customHeight="false" outlineLevel="0" collapsed="false">
      <c r="A892" s="18" t="s">
        <v>3930</v>
      </c>
      <c r="B892" s="18" t="s">
        <v>62</v>
      </c>
      <c r="C892" s="18" t="s">
        <v>63</v>
      </c>
      <c r="D892" s="18" t="s">
        <v>3880</v>
      </c>
      <c r="E892" s="18" t="n">
        <v>6</v>
      </c>
      <c r="F892" s="18" t="s">
        <v>3931</v>
      </c>
      <c r="G892" s="18" t="s">
        <v>184</v>
      </c>
      <c r="H892" s="18" t="s">
        <v>109</v>
      </c>
      <c r="I892" s="18"/>
      <c r="J892" s="18"/>
      <c r="K892" s="18"/>
      <c r="L892" s="18" t="s">
        <v>109</v>
      </c>
      <c r="M892" s="18" t="s">
        <v>109</v>
      </c>
      <c r="N892" s="18"/>
      <c r="O892" s="18"/>
      <c r="P892" s="18" t="s">
        <v>3932</v>
      </c>
      <c r="Q892" s="18" t="s">
        <v>110</v>
      </c>
      <c r="R892" s="18" t="s">
        <v>3933</v>
      </c>
      <c r="S892" s="18" t="s">
        <v>112</v>
      </c>
      <c r="T892" s="18" t="s">
        <v>113</v>
      </c>
      <c r="U892" s="18"/>
      <c r="V892" s="19" t="s">
        <v>29</v>
      </c>
      <c r="W892" s="19"/>
      <c r="X892" s="19"/>
      <c r="Y892" s="20"/>
      <c r="Z892" s="19"/>
      <c r="AA892" s="18" t="str">
        <f aca="false">IF(OR(V892="Aprobada"),R892,IF(AND(OR(V892="Aprobada con ajuste",V892="Rechazada"),W892&lt;&gt;""),W892,""))</f>
        <v/>
      </c>
    </row>
    <row r="893" customFormat="false" ht="32.8" hidden="false" customHeight="false" outlineLevel="0" collapsed="false">
      <c r="A893" s="18" t="s">
        <v>3934</v>
      </c>
      <c r="B893" s="18" t="s">
        <v>62</v>
      </c>
      <c r="C893" s="18" t="s">
        <v>63</v>
      </c>
      <c r="D893" s="18" t="s">
        <v>3935</v>
      </c>
      <c r="E893" s="18" t="n">
        <v>0</v>
      </c>
      <c r="F893" s="18" t="s">
        <v>3936</v>
      </c>
      <c r="G893" s="18" t="s">
        <v>324</v>
      </c>
      <c r="H893" s="18" t="s">
        <v>109</v>
      </c>
      <c r="I893" s="18" t="s">
        <v>409</v>
      </c>
      <c r="J893" s="18"/>
      <c r="K893" s="18"/>
      <c r="L893" s="18" t="s">
        <v>109</v>
      </c>
      <c r="M893" s="18" t="s">
        <v>109</v>
      </c>
      <c r="N893" s="18"/>
      <c r="O893" s="18" t="s">
        <v>3937</v>
      </c>
      <c r="P893" s="18" t="s">
        <v>3938</v>
      </c>
      <c r="Q893" s="18" t="s">
        <v>134</v>
      </c>
      <c r="R893" s="18" t="s">
        <v>3939</v>
      </c>
      <c r="S893" s="18" t="s">
        <v>125</v>
      </c>
      <c r="T893" s="18" t="s">
        <v>3940</v>
      </c>
      <c r="U893" s="18"/>
      <c r="V893" s="19" t="s">
        <v>29</v>
      </c>
      <c r="W893" s="19"/>
      <c r="X893" s="19"/>
      <c r="Y893" s="20"/>
      <c r="Z893" s="19"/>
      <c r="AA893" s="18" t="str">
        <f aca="false">IF(OR(V893="Aprobada"),R893,IF(AND(OR(V893="Aprobada con ajuste",V893="Rechazada"),W893&lt;&gt;""),W893,""))</f>
        <v/>
      </c>
    </row>
    <row r="894" customFormat="false" ht="43.25" hidden="false" customHeight="false" outlineLevel="0" collapsed="false">
      <c r="A894" s="18" t="s">
        <v>3941</v>
      </c>
      <c r="B894" s="18" t="s">
        <v>62</v>
      </c>
      <c r="C894" s="18" t="s">
        <v>63</v>
      </c>
      <c r="D894" s="18" t="s">
        <v>3935</v>
      </c>
      <c r="E894" s="18" t="n">
        <v>0</v>
      </c>
      <c r="F894" s="18" t="s">
        <v>3942</v>
      </c>
      <c r="G894" s="18" t="s">
        <v>324</v>
      </c>
      <c r="H894" s="18" t="s">
        <v>109</v>
      </c>
      <c r="I894" s="18"/>
      <c r="J894" s="18"/>
      <c r="K894" s="18"/>
      <c r="L894" s="18" t="s">
        <v>109</v>
      </c>
      <c r="M894" s="18" t="s">
        <v>109</v>
      </c>
      <c r="N894" s="18"/>
      <c r="O894" s="18"/>
      <c r="P894" s="18" t="s">
        <v>3943</v>
      </c>
      <c r="Q894" s="18" t="s">
        <v>123</v>
      </c>
      <c r="R894" s="18" t="s">
        <v>3944</v>
      </c>
      <c r="S894" s="18" t="s">
        <v>125</v>
      </c>
      <c r="T894" s="18" t="s">
        <v>3945</v>
      </c>
      <c r="U894" s="18"/>
      <c r="V894" s="19" t="s">
        <v>29</v>
      </c>
      <c r="W894" s="19"/>
      <c r="X894" s="19"/>
      <c r="Y894" s="20"/>
      <c r="Z894" s="19"/>
      <c r="AA894" s="18" t="str">
        <f aca="false">IF(OR(V894="Aprobada"),R894,IF(AND(OR(V894="Aprobada con ajuste",V894="Rechazada"),W894&lt;&gt;""),W894,""))</f>
        <v/>
      </c>
    </row>
    <row r="895" customFormat="false" ht="43.25" hidden="false" customHeight="false" outlineLevel="0" collapsed="false">
      <c r="A895" s="18" t="s">
        <v>3946</v>
      </c>
      <c r="B895" s="18" t="s">
        <v>62</v>
      </c>
      <c r="C895" s="18" t="s">
        <v>63</v>
      </c>
      <c r="D895" s="18" t="s">
        <v>3935</v>
      </c>
      <c r="E895" s="18" t="n">
        <v>0</v>
      </c>
      <c r="F895" s="18" t="s">
        <v>3947</v>
      </c>
      <c r="G895" s="18" t="s">
        <v>108</v>
      </c>
      <c r="H895" s="18" t="s">
        <v>109</v>
      </c>
      <c r="I895" s="18"/>
      <c r="J895" s="18"/>
      <c r="K895" s="18"/>
      <c r="L895" s="18" t="s">
        <v>109</v>
      </c>
      <c r="M895" s="18" t="s">
        <v>109</v>
      </c>
      <c r="N895" s="18"/>
      <c r="O895" s="18"/>
      <c r="P895" s="18" t="s">
        <v>3948</v>
      </c>
      <c r="Q895" s="18" t="s">
        <v>123</v>
      </c>
      <c r="R895" s="18" t="s">
        <v>3949</v>
      </c>
      <c r="S895" s="18" t="s">
        <v>125</v>
      </c>
      <c r="T895" s="18" t="s">
        <v>3950</v>
      </c>
      <c r="U895" s="18"/>
      <c r="V895" s="19" t="s">
        <v>29</v>
      </c>
      <c r="W895" s="19"/>
      <c r="X895" s="19"/>
      <c r="Y895" s="20"/>
      <c r="Z895" s="19"/>
      <c r="AA895" s="18" t="str">
        <f aca="false">IF(OR(V895="Aprobada"),R895,IF(AND(OR(V895="Aprobada con ajuste",V895="Rechazada"),W895&lt;&gt;""),W895,""))</f>
        <v/>
      </c>
    </row>
    <row r="896" customFormat="false" ht="43.25" hidden="false" customHeight="false" outlineLevel="0" collapsed="false">
      <c r="A896" s="18" t="s">
        <v>3951</v>
      </c>
      <c r="B896" s="18" t="s">
        <v>62</v>
      </c>
      <c r="C896" s="18" t="s">
        <v>63</v>
      </c>
      <c r="D896" s="18" t="s">
        <v>3935</v>
      </c>
      <c r="E896" s="18" t="n">
        <v>0</v>
      </c>
      <c r="F896" s="18" t="s">
        <v>1018</v>
      </c>
      <c r="G896" s="18" t="s">
        <v>116</v>
      </c>
      <c r="H896" s="18" t="s">
        <v>109</v>
      </c>
      <c r="I896" s="18"/>
      <c r="J896" s="18"/>
      <c r="K896" s="18"/>
      <c r="L896" s="18" t="s">
        <v>109</v>
      </c>
      <c r="M896" s="18" t="s">
        <v>109</v>
      </c>
      <c r="N896" s="18"/>
      <c r="O896" s="18"/>
      <c r="P896" s="18" t="s">
        <v>3952</v>
      </c>
      <c r="Q896" s="18" t="s">
        <v>110</v>
      </c>
      <c r="R896" s="18" t="s">
        <v>3953</v>
      </c>
      <c r="S896" s="18" t="s">
        <v>112</v>
      </c>
      <c r="T896" s="18" t="s">
        <v>113</v>
      </c>
      <c r="U896" s="18"/>
      <c r="V896" s="19" t="s">
        <v>29</v>
      </c>
      <c r="W896" s="19"/>
      <c r="X896" s="19"/>
      <c r="Y896" s="20"/>
      <c r="Z896" s="19"/>
      <c r="AA896" s="18" t="str">
        <f aca="false">IF(OR(V896="Aprobada"),R896,IF(AND(OR(V896="Aprobada con ajuste",V896="Rechazada"),W896&lt;&gt;""),W896,""))</f>
        <v/>
      </c>
    </row>
    <row r="897" customFormat="false" ht="32.8" hidden="false" customHeight="false" outlineLevel="0" collapsed="false">
      <c r="A897" s="18" t="s">
        <v>3954</v>
      </c>
      <c r="B897" s="18" t="s">
        <v>62</v>
      </c>
      <c r="C897" s="18" t="s">
        <v>63</v>
      </c>
      <c r="D897" s="18" t="s">
        <v>3935</v>
      </c>
      <c r="E897" s="18" t="n">
        <v>0</v>
      </c>
      <c r="F897" s="18" t="s">
        <v>3955</v>
      </c>
      <c r="G897" s="18" t="s">
        <v>486</v>
      </c>
      <c r="H897" s="18" t="s">
        <v>109</v>
      </c>
      <c r="I897" s="18"/>
      <c r="J897" s="18"/>
      <c r="K897" s="18"/>
      <c r="L897" s="18" t="s">
        <v>109</v>
      </c>
      <c r="M897" s="18" t="s">
        <v>109</v>
      </c>
      <c r="N897" s="18"/>
      <c r="O897" s="18"/>
      <c r="P897" s="18" t="s">
        <v>3956</v>
      </c>
      <c r="Q897" s="18" t="s">
        <v>134</v>
      </c>
      <c r="R897" s="18" t="s">
        <v>3957</v>
      </c>
      <c r="S897" s="18" t="s">
        <v>125</v>
      </c>
      <c r="T897" s="18" t="s">
        <v>3958</v>
      </c>
      <c r="U897" s="18"/>
      <c r="V897" s="19" t="s">
        <v>29</v>
      </c>
      <c r="W897" s="19"/>
      <c r="X897" s="19"/>
      <c r="Y897" s="20"/>
      <c r="Z897" s="19"/>
      <c r="AA897" s="18" t="str">
        <f aca="false">IF(OR(V897="Aprobada"),R897,IF(AND(OR(V897="Aprobada con ajuste",V897="Rechazada"),W897&lt;&gt;""),W897,""))</f>
        <v/>
      </c>
    </row>
    <row r="898" customFormat="false" ht="32.8" hidden="false" customHeight="false" outlineLevel="0" collapsed="false">
      <c r="A898" s="18" t="s">
        <v>3959</v>
      </c>
      <c r="B898" s="18" t="s">
        <v>62</v>
      </c>
      <c r="C898" s="18" t="s">
        <v>63</v>
      </c>
      <c r="D898" s="18" t="s">
        <v>3935</v>
      </c>
      <c r="E898" s="18" t="n">
        <v>0</v>
      </c>
      <c r="F898" s="18" t="s">
        <v>3960</v>
      </c>
      <c r="G898" s="18" t="s">
        <v>486</v>
      </c>
      <c r="H898" s="18" t="s">
        <v>109</v>
      </c>
      <c r="I898" s="18"/>
      <c r="J898" s="18"/>
      <c r="K898" s="18"/>
      <c r="L898" s="18" t="s">
        <v>109</v>
      </c>
      <c r="M898" s="18" t="s">
        <v>109</v>
      </c>
      <c r="N898" s="18"/>
      <c r="O898" s="18"/>
      <c r="P898" s="18" t="s">
        <v>3961</v>
      </c>
      <c r="Q898" s="18" t="s">
        <v>134</v>
      </c>
      <c r="R898" s="18" t="s">
        <v>3962</v>
      </c>
      <c r="S898" s="18" t="s">
        <v>125</v>
      </c>
      <c r="T898" s="18" t="s">
        <v>3958</v>
      </c>
      <c r="U898" s="18"/>
      <c r="V898" s="19" t="s">
        <v>29</v>
      </c>
      <c r="W898" s="19"/>
      <c r="X898" s="19"/>
      <c r="Y898" s="20"/>
      <c r="Z898" s="19"/>
      <c r="AA898" s="18" t="str">
        <f aca="false">IF(OR(V898="Aprobada"),R898,IF(AND(OR(V898="Aprobada con ajuste",V898="Rechazada"),W898&lt;&gt;""),W898,""))</f>
        <v/>
      </c>
    </row>
    <row r="899" customFormat="false" ht="43.25" hidden="false" customHeight="false" outlineLevel="0" collapsed="false">
      <c r="A899" s="18" t="s">
        <v>3963</v>
      </c>
      <c r="B899" s="18" t="s">
        <v>62</v>
      </c>
      <c r="C899" s="18" t="s">
        <v>63</v>
      </c>
      <c r="D899" s="18" t="s">
        <v>3935</v>
      </c>
      <c r="E899" s="18" t="n">
        <v>0</v>
      </c>
      <c r="F899" s="18" t="s">
        <v>3964</v>
      </c>
      <c r="G899" s="18" t="s">
        <v>486</v>
      </c>
      <c r="H899" s="18" t="s">
        <v>117</v>
      </c>
      <c r="I899" s="18"/>
      <c r="J899" s="18"/>
      <c r="K899" s="18"/>
      <c r="L899" s="18" t="s">
        <v>109</v>
      </c>
      <c r="M899" s="18" t="s">
        <v>109</v>
      </c>
      <c r="N899" s="18"/>
      <c r="O899" s="18" t="s">
        <v>3965</v>
      </c>
      <c r="P899" s="18" t="s">
        <v>3966</v>
      </c>
      <c r="Q899" s="18" t="s">
        <v>134</v>
      </c>
      <c r="R899" s="18" t="s">
        <v>3967</v>
      </c>
      <c r="S899" s="18" t="s">
        <v>112</v>
      </c>
      <c r="T899" s="18" t="s">
        <v>3968</v>
      </c>
      <c r="U899" s="18" t="s">
        <v>3969</v>
      </c>
      <c r="V899" s="19" t="s">
        <v>29</v>
      </c>
      <c r="W899" s="19"/>
      <c r="X899" s="19"/>
      <c r="Y899" s="20"/>
      <c r="Z899" s="19"/>
      <c r="AA899" s="18" t="str">
        <f aca="false">IF(OR(V899="Aprobada"),R899,IF(AND(OR(V899="Aprobada con ajuste",V899="Rechazada"),W899&lt;&gt;""),W899,""))</f>
        <v/>
      </c>
    </row>
    <row r="900" customFormat="false" ht="32.8" hidden="false" customHeight="false" outlineLevel="0" collapsed="false">
      <c r="A900" s="18" t="s">
        <v>3970</v>
      </c>
      <c r="B900" s="18" t="s">
        <v>62</v>
      </c>
      <c r="C900" s="18" t="s">
        <v>63</v>
      </c>
      <c r="D900" s="18" t="s">
        <v>3935</v>
      </c>
      <c r="E900" s="18" t="n">
        <v>0</v>
      </c>
      <c r="F900" s="18" t="s">
        <v>3971</v>
      </c>
      <c r="G900" s="18" t="s">
        <v>394</v>
      </c>
      <c r="H900" s="18" t="s">
        <v>117</v>
      </c>
      <c r="I900" s="18"/>
      <c r="J900" s="18"/>
      <c r="K900" s="18"/>
      <c r="L900" s="18" t="s">
        <v>109</v>
      </c>
      <c r="M900" s="18" t="s">
        <v>109</v>
      </c>
      <c r="N900" s="18"/>
      <c r="O900" s="18"/>
      <c r="P900" s="18" t="s">
        <v>3972</v>
      </c>
      <c r="Q900" s="18" t="s">
        <v>110</v>
      </c>
      <c r="R900" s="18" t="s">
        <v>3973</v>
      </c>
      <c r="S900" s="18" t="s">
        <v>112</v>
      </c>
      <c r="T900" s="18" t="s">
        <v>113</v>
      </c>
      <c r="U900" s="18"/>
      <c r="V900" s="19" t="s">
        <v>29</v>
      </c>
      <c r="W900" s="19"/>
      <c r="X900" s="19"/>
      <c r="Y900" s="20"/>
      <c r="Z900" s="19"/>
      <c r="AA900" s="18" t="str">
        <f aca="false">IF(OR(V900="Aprobada"),R900,IF(AND(OR(V900="Aprobada con ajuste",V900="Rechazada"),W900&lt;&gt;""),W900,""))</f>
        <v/>
      </c>
    </row>
    <row r="901" customFormat="false" ht="43.25" hidden="false" customHeight="false" outlineLevel="0" collapsed="false">
      <c r="A901" s="18" t="s">
        <v>3974</v>
      </c>
      <c r="B901" s="18" t="s">
        <v>62</v>
      </c>
      <c r="C901" s="18" t="s">
        <v>63</v>
      </c>
      <c r="D901" s="18" t="s">
        <v>3935</v>
      </c>
      <c r="E901" s="18" t="n">
        <v>0</v>
      </c>
      <c r="F901" s="18" t="s">
        <v>3975</v>
      </c>
      <c r="G901" s="18" t="s">
        <v>394</v>
      </c>
      <c r="H901" s="18" t="s">
        <v>117</v>
      </c>
      <c r="I901" s="18"/>
      <c r="J901" s="18"/>
      <c r="K901" s="18"/>
      <c r="L901" s="18" t="s">
        <v>109</v>
      </c>
      <c r="M901" s="18" t="s">
        <v>109</v>
      </c>
      <c r="N901" s="18"/>
      <c r="O901" s="18"/>
      <c r="P901" s="18" t="s">
        <v>3976</v>
      </c>
      <c r="Q901" s="18" t="s">
        <v>110</v>
      </c>
      <c r="R901" s="18" t="s">
        <v>3977</v>
      </c>
      <c r="S901" s="18" t="s">
        <v>112</v>
      </c>
      <c r="T901" s="18" t="s">
        <v>113</v>
      </c>
      <c r="U901" s="18"/>
      <c r="V901" s="19" t="s">
        <v>29</v>
      </c>
      <c r="W901" s="19"/>
      <c r="X901" s="19"/>
      <c r="Y901" s="20"/>
      <c r="Z901" s="19"/>
      <c r="AA901" s="18" t="str">
        <f aca="false">IF(OR(V901="Aprobada"),R901,IF(AND(OR(V901="Aprobada con ajuste",V901="Rechazada"),W901&lt;&gt;""),W901,""))</f>
        <v/>
      </c>
    </row>
    <row r="902" customFormat="false" ht="43.25" hidden="false" customHeight="false" outlineLevel="0" collapsed="false">
      <c r="A902" s="18" t="s">
        <v>3978</v>
      </c>
      <c r="B902" s="18" t="s">
        <v>62</v>
      </c>
      <c r="C902" s="18" t="s">
        <v>63</v>
      </c>
      <c r="D902" s="18" t="s">
        <v>3935</v>
      </c>
      <c r="E902" s="18" t="n">
        <v>0</v>
      </c>
      <c r="F902" s="18" t="s">
        <v>115</v>
      </c>
      <c r="G902" s="18" t="s">
        <v>116</v>
      </c>
      <c r="H902" s="18" t="s">
        <v>117</v>
      </c>
      <c r="I902" s="18"/>
      <c r="J902" s="18"/>
      <c r="K902" s="18"/>
      <c r="L902" s="18" t="s">
        <v>109</v>
      </c>
      <c r="M902" s="18" t="s">
        <v>109</v>
      </c>
      <c r="N902" s="18"/>
      <c r="O902" s="18"/>
      <c r="P902" s="18" t="s">
        <v>3979</v>
      </c>
      <c r="Q902" s="18" t="s">
        <v>110</v>
      </c>
      <c r="R902" s="18" t="s">
        <v>118</v>
      </c>
      <c r="S902" s="18" t="s">
        <v>112</v>
      </c>
      <c r="T902" s="18" t="s">
        <v>113</v>
      </c>
      <c r="U902" s="18"/>
      <c r="V902" s="19" t="s">
        <v>29</v>
      </c>
      <c r="W902" s="19"/>
      <c r="X902" s="19"/>
      <c r="Y902" s="20"/>
      <c r="Z902" s="19"/>
      <c r="AA902" s="18" t="str">
        <f aca="false">IF(OR(V902="Aprobada"),R902,IF(AND(OR(V902="Aprobada con ajuste",V902="Rechazada"),W902&lt;&gt;""),W902,""))</f>
        <v/>
      </c>
    </row>
    <row r="903" customFormat="false" ht="32.8" hidden="false" customHeight="false" outlineLevel="0" collapsed="false">
      <c r="A903" s="18" t="s">
        <v>3980</v>
      </c>
      <c r="B903" s="18" t="s">
        <v>62</v>
      </c>
      <c r="C903" s="18" t="s">
        <v>63</v>
      </c>
      <c r="D903" s="18" t="s">
        <v>3935</v>
      </c>
      <c r="E903" s="18" t="n">
        <v>0</v>
      </c>
      <c r="F903" s="18" t="s">
        <v>3981</v>
      </c>
      <c r="G903" s="18" t="s">
        <v>3982</v>
      </c>
      <c r="H903" s="18" t="s">
        <v>117</v>
      </c>
      <c r="I903" s="18"/>
      <c r="J903" s="18"/>
      <c r="K903" s="18"/>
      <c r="L903" s="18" t="s">
        <v>109</v>
      </c>
      <c r="M903" s="18" t="s">
        <v>109</v>
      </c>
      <c r="N903" s="18"/>
      <c r="O903" s="18"/>
      <c r="P903" s="18" t="s">
        <v>3983</v>
      </c>
      <c r="Q903" s="18" t="s">
        <v>134</v>
      </c>
      <c r="R903" s="18" t="s">
        <v>3984</v>
      </c>
      <c r="S903" s="18" t="s">
        <v>112</v>
      </c>
      <c r="T903" s="18" t="s">
        <v>3985</v>
      </c>
      <c r="U903" s="18" t="s">
        <v>3986</v>
      </c>
      <c r="V903" s="19" t="s">
        <v>29</v>
      </c>
      <c r="W903" s="19"/>
      <c r="X903" s="19"/>
      <c r="Y903" s="20"/>
      <c r="Z903" s="19"/>
      <c r="AA903" s="18" t="str">
        <f aca="false">IF(OR(V903="Aprobada"),R903,IF(AND(OR(V903="Aprobada con ajuste",V903="Rechazada"),W903&lt;&gt;""),W903,""))</f>
        <v/>
      </c>
    </row>
    <row r="904" customFormat="false" ht="32.8" hidden="false" customHeight="false" outlineLevel="0" collapsed="false">
      <c r="A904" s="18" t="s">
        <v>3987</v>
      </c>
      <c r="B904" s="18" t="s">
        <v>62</v>
      </c>
      <c r="C904" s="18" t="s">
        <v>63</v>
      </c>
      <c r="D904" s="18" t="s">
        <v>3935</v>
      </c>
      <c r="E904" s="18" t="n">
        <v>0</v>
      </c>
      <c r="F904" s="18" t="s">
        <v>3988</v>
      </c>
      <c r="G904" s="18" t="s">
        <v>184</v>
      </c>
      <c r="H904" s="18" t="s">
        <v>117</v>
      </c>
      <c r="I904" s="18"/>
      <c r="J904" s="18"/>
      <c r="K904" s="18"/>
      <c r="L904" s="18" t="s">
        <v>109</v>
      </c>
      <c r="M904" s="18" t="s">
        <v>109</v>
      </c>
      <c r="N904" s="18"/>
      <c r="O904" s="18"/>
      <c r="P904" s="18" t="s">
        <v>3989</v>
      </c>
      <c r="Q904" s="18" t="s">
        <v>110</v>
      </c>
      <c r="R904" s="18" t="s">
        <v>3990</v>
      </c>
      <c r="S904" s="18" t="s">
        <v>112</v>
      </c>
      <c r="T904" s="18" t="s">
        <v>113</v>
      </c>
      <c r="U904" s="18"/>
      <c r="V904" s="19" t="s">
        <v>29</v>
      </c>
      <c r="W904" s="19"/>
      <c r="X904" s="19"/>
      <c r="Y904" s="20"/>
      <c r="Z904" s="19"/>
      <c r="AA904" s="18" t="str">
        <f aca="false">IF(OR(V904="Aprobada"),R904,IF(AND(OR(V904="Aprobada con ajuste",V904="Rechazada"),W904&lt;&gt;""),W904,""))</f>
        <v/>
      </c>
    </row>
    <row r="905" customFormat="false" ht="32.8" hidden="false" customHeight="false" outlineLevel="0" collapsed="false">
      <c r="A905" s="18" t="s">
        <v>3991</v>
      </c>
      <c r="B905" s="18" t="s">
        <v>62</v>
      </c>
      <c r="C905" s="18" t="s">
        <v>63</v>
      </c>
      <c r="D905" s="18" t="s">
        <v>3935</v>
      </c>
      <c r="E905" s="18" t="n">
        <v>0</v>
      </c>
      <c r="F905" s="18" t="s">
        <v>3992</v>
      </c>
      <c r="G905" s="18" t="s">
        <v>184</v>
      </c>
      <c r="H905" s="18" t="s">
        <v>117</v>
      </c>
      <c r="I905" s="18"/>
      <c r="J905" s="18"/>
      <c r="K905" s="18"/>
      <c r="L905" s="18" t="s">
        <v>109</v>
      </c>
      <c r="M905" s="18" t="s">
        <v>109</v>
      </c>
      <c r="N905" s="18"/>
      <c r="O905" s="18"/>
      <c r="P905" s="18" t="s">
        <v>3993</v>
      </c>
      <c r="Q905" s="18" t="s">
        <v>110</v>
      </c>
      <c r="R905" s="18" t="s">
        <v>3994</v>
      </c>
      <c r="S905" s="18" t="s">
        <v>112</v>
      </c>
      <c r="T905" s="18" t="s">
        <v>113</v>
      </c>
      <c r="U905" s="18"/>
      <c r="V905" s="19" t="s">
        <v>29</v>
      </c>
      <c r="W905" s="19"/>
      <c r="X905" s="19"/>
      <c r="Y905" s="20"/>
      <c r="Z905" s="19"/>
      <c r="AA905" s="18" t="str">
        <f aca="false">IF(OR(V905="Aprobada"),R905,IF(AND(OR(V905="Aprobada con ajuste",V905="Rechazada"),W905&lt;&gt;""),W905,""))</f>
        <v/>
      </c>
    </row>
    <row r="906" customFormat="false" ht="32.8" hidden="false" customHeight="false" outlineLevel="0" collapsed="false">
      <c r="A906" s="18" t="s">
        <v>3995</v>
      </c>
      <c r="B906" s="18" t="s">
        <v>62</v>
      </c>
      <c r="C906" s="18" t="s">
        <v>63</v>
      </c>
      <c r="D906" s="18" t="s">
        <v>3935</v>
      </c>
      <c r="E906" s="18" t="n">
        <v>0</v>
      </c>
      <c r="F906" s="18" t="s">
        <v>3996</v>
      </c>
      <c r="G906" s="18" t="s">
        <v>195</v>
      </c>
      <c r="H906" s="18" t="s">
        <v>117</v>
      </c>
      <c r="I906" s="18" t="s">
        <v>140</v>
      </c>
      <c r="J906" s="18" t="s">
        <v>3997</v>
      </c>
      <c r="K906" s="18"/>
      <c r="L906" s="18" t="s">
        <v>117</v>
      </c>
      <c r="M906" s="18" t="s">
        <v>109</v>
      </c>
      <c r="N906" s="18"/>
      <c r="O906" s="18"/>
      <c r="P906" s="18" t="s">
        <v>3998</v>
      </c>
      <c r="Q906" s="18" t="s">
        <v>134</v>
      </c>
      <c r="R906" s="18" t="s">
        <v>3999</v>
      </c>
      <c r="S906" s="18" t="s">
        <v>125</v>
      </c>
      <c r="T906" s="18" t="s">
        <v>4000</v>
      </c>
      <c r="U906" s="18"/>
      <c r="V906" s="19" t="s">
        <v>29</v>
      </c>
      <c r="W906" s="19"/>
      <c r="X906" s="19"/>
      <c r="Y906" s="20"/>
      <c r="Z906" s="19"/>
      <c r="AA906" s="18" t="str">
        <f aca="false">IF(OR(V906="Aprobada"),R906,IF(AND(OR(V906="Aprobada con ajuste",V906="Rechazada"),W906&lt;&gt;""),W906,""))</f>
        <v/>
      </c>
    </row>
    <row r="907" customFormat="false" ht="53.7" hidden="false" customHeight="false" outlineLevel="0" collapsed="false">
      <c r="A907" s="18" t="s">
        <v>4001</v>
      </c>
      <c r="B907" s="18" t="s">
        <v>62</v>
      </c>
      <c r="C907" s="18" t="s">
        <v>63</v>
      </c>
      <c r="D907" s="18" t="s">
        <v>3935</v>
      </c>
      <c r="E907" s="18" t="n">
        <v>0</v>
      </c>
      <c r="F907" s="18" t="s">
        <v>4002</v>
      </c>
      <c r="G907" s="18" t="s">
        <v>145</v>
      </c>
      <c r="H907" s="18" t="s">
        <v>109</v>
      </c>
      <c r="I907" s="18"/>
      <c r="J907" s="18"/>
      <c r="K907" s="18"/>
      <c r="L907" s="18" t="s">
        <v>109</v>
      </c>
      <c r="M907" s="18" t="s">
        <v>109</v>
      </c>
      <c r="N907" s="18"/>
      <c r="O907" s="18"/>
      <c r="P907" s="18" t="s">
        <v>4003</v>
      </c>
      <c r="Q907" s="18" t="s">
        <v>110</v>
      </c>
      <c r="R907" s="18" t="s">
        <v>4004</v>
      </c>
      <c r="S907" s="18" t="s">
        <v>112</v>
      </c>
      <c r="T907" s="18" t="s">
        <v>113</v>
      </c>
      <c r="U907" s="18"/>
      <c r="V907" s="19" t="s">
        <v>29</v>
      </c>
      <c r="W907" s="19"/>
      <c r="X907" s="19"/>
      <c r="Y907" s="20"/>
      <c r="Z907" s="19"/>
      <c r="AA907" s="18" t="str">
        <f aca="false">IF(OR(V907="Aprobada"),R907,IF(AND(OR(V907="Aprobada con ajuste",V907="Rechazada"),W907&lt;&gt;""),W907,""))</f>
        <v/>
      </c>
    </row>
    <row r="908" customFormat="false" ht="43.25" hidden="false" customHeight="false" outlineLevel="0" collapsed="false">
      <c r="A908" s="18" t="s">
        <v>4005</v>
      </c>
      <c r="B908" s="18" t="s">
        <v>62</v>
      </c>
      <c r="C908" s="18" t="s">
        <v>63</v>
      </c>
      <c r="D908" s="18" t="s">
        <v>3935</v>
      </c>
      <c r="E908" s="18" t="n">
        <v>0</v>
      </c>
      <c r="F908" s="18" t="s">
        <v>4006</v>
      </c>
      <c r="G908" s="18" t="s">
        <v>4007</v>
      </c>
      <c r="H908" s="18" t="s">
        <v>109</v>
      </c>
      <c r="I908" s="18"/>
      <c r="J908" s="18"/>
      <c r="K908" s="18"/>
      <c r="L908" s="18" t="s">
        <v>109</v>
      </c>
      <c r="M908" s="18" t="s">
        <v>109</v>
      </c>
      <c r="N908" s="18"/>
      <c r="O908" s="18"/>
      <c r="P908" s="18" t="s">
        <v>4008</v>
      </c>
      <c r="Q908" s="18" t="s">
        <v>134</v>
      </c>
      <c r="R908" s="18" t="s">
        <v>4009</v>
      </c>
      <c r="S908" s="18" t="s">
        <v>112</v>
      </c>
      <c r="T908" s="18" t="s">
        <v>4010</v>
      </c>
      <c r="U908" s="18" t="s">
        <v>4011</v>
      </c>
      <c r="V908" s="19" t="s">
        <v>29</v>
      </c>
      <c r="W908" s="19"/>
      <c r="X908" s="19"/>
      <c r="Y908" s="20"/>
      <c r="Z908" s="19"/>
      <c r="AA908" s="18" t="str">
        <f aca="false">IF(OR(V908="Aprobada"),R908,IF(AND(OR(V908="Aprobada con ajuste",V908="Rechazada"),W908&lt;&gt;""),W908,""))</f>
        <v/>
      </c>
    </row>
    <row r="909" customFormat="false" ht="32.8" hidden="false" customHeight="false" outlineLevel="0" collapsed="false">
      <c r="A909" s="18" t="s">
        <v>4012</v>
      </c>
      <c r="B909" s="18" t="s">
        <v>62</v>
      </c>
      <c r="C909" s="18" t="s">
        <v>63</v>
      </c>
      <c r="D909" s="18" t="s">
        <v>3935</v>
      </c>
      <c r="E909" s="18" t="n">
        <v>0</v>
      </c>
      <c r="F909" s="18" t="s">
        <v>4013</v>
      </c>
      <c r="G909" s="18" t="s">
        <v>145</v>
      </c>
      <c r="H909" s="18" t="s">
        <v>109</v>
      </c>
      <c r="I909" s="18"/>
      <c r="J909" s="18"/>
      <c r="K909" s="18"/>
      <c r="L909" s="18" t="s">
        <v>109</v>
      </c>
      <c r="M909" s="18" t="s">
        <v>109</v>
      </c>
      <c r="N909" s="18"/>
      <c r="O909" s="18"/>
      <c r="P909" s="18" t="s">
        <v>4014</v>
      </c>
      <c r="Q909" s="18" t="s">
        <v>110</v>
      </c>
      <c r="R909" s="18" t="s">
        <v>4015</v>
      </c>
      <c r="S909" s="18" t="s">
        <v>112</v>
      </c>
      <c r="T909" s="18" t="s">
        <v>113</v>
      </c>
      <c r="U909" s="18"/>
      <c r="V909" s="19" t="s">
        <v>29</v>
      </c>
      <c r="W909" s="19"/>
      <c r="X909" s="19"/>
      <c r="Y909" s="20"/>
      <c r="Z909" s="19"/>
      <c r="AA909" s="18" t="str">
        <f aca="false">IF(OR(V909="Aprobada"),R909,IF(AND(OR(V909="Aprobada con ajuste",V909="Rechazada"),W909&lt;&gt;""),W909,""))</f>
        <v/>
      </c>
    </row>
    <row r="910" customFormat="false" ht="43.25" hidden="false" customHeight="false" outlineLevel="0" collapsed="false">
      <c r="A910" s="18" t="s">
        <v>4016</v>
      </c>
      <c r="B910" s="18" t="s">
        <v>62</v>
      </c>
      <c r="C910" s="18" t="s">
        <v>63</v>
      </c>
      <c r="D910" s="18" t="s">
        <v>3935</v>
      </c>
      <c r="E910" s="18" t="n">
        <v>0</v>
      </c>
      <c r="F910" s="18" t="s">
        <v>4017</v>
      </c>
      <c r="G910" s="18" t="s">
        <v>184</v>
      </c>
      <c r="H910" s="18" t="s">
        <v>117</v>
      </c>
      <c r="I910" s="18"/>
      <c r="J910" s="18"/>
      <c r="K910" s="18"/>
      <c r="L910" s="18" t="s">
        <v>109</v>
      </c>
      <c r="M910" s="18" t="s">
        <v>109</v>
      </c>
      <c r="N910" s="18"/>
      <c r="O910" s="18"/>
      <c r="P910" s="18" t="s">
        <v>4018</v>
      </c>
      <c r="Q910" s="18" t="s">
        <v>110</v>
      </c>
      <c r="R910" s="18" t="s">
        <v>4019</v>
      </c>
      <c r="S910" s="18" t="s">
        <v>112</v>
      </c>
      <c r="T910" s="18" t="s">
        <v>113</v>
      </c>
      <c r="U910" s="18"/>
      <c r="V910" s="19" t="s">
        <v>29</v>
      </c>
      <c r="W910" s="19"/>
      <c r="X910" s="19"/>
      <c r="Y910" s="20"/>
      <c r="Z910" s="19"/>
      <c r="AA910" s="18" t="str">
        <f aca="false">IF(OR(V910="Aprobada"),R910,IF(AND(OR(V910="Aprobada con ajuste",V910="Rechazada"),W910&lt;&gt;""),W910,""))</f>
        <v/>
      </c>
    </row>
    <row r="911" customFormat="false" ht="43.25" hidden="false" customHeight="false" outlineLevel="0" collapsed="false">
      <c r="A911" s="18" t="s">
        <v>4020</v>
      </c>
      <c r="B911" s="18" t="s">
        <v>62</v>
      </c>
      <c r="C911" s="18" t="s">
        <v>63</v>
      </c>
      <c r="D911" s="18" t="s">
        <v>3935</v>
      </c>
      <c r="E911" s="18" t="n">
        <v>0</v>
      </c>
      <c r="F911" s="18" t="s">
        <v>4021</v>
      </c>
      <c r="G911" s="18" t="s">
        <v>156</v>
      </c>
      <c r="H911" s="18" t="s">
        <v>109</v>
      </c>
      <c r="I911" s="18"/>
      <c r="J911" s="18"/>
      <c r="K911" s="18"/>
      <c r="L911" s="18" t="s">
        <v>109</v>
      </c>
      <c r="M911" s="18" t="s">
        <v>109</v>
      </c>
      <c r="N911" s="18"/>
      <c r="O911" s="18"/>
      <c r="P911" s="18" t="s">
        <v>4022</v>
      </c>
      <c r="Q911" s="18" t="s">
        <v>134</v>
      </c>
      <c r="R911" s="18" t="s">
        <v>4023</v>
      </c>
      <c r="S911" s="18" t="s">
        <v>112</v>
      </c>
      <c r="T911" s="18" t="s">
        <v>4024</v>
      </c>
      <c r="U911" s="18" t="s">
        <v>2671</v>
      </c>
      <c r="V911" s="19" t="s">
        <v>29</v>
      </c>
      <c r="W911" s="19"/>
      <c r="X911" s="19"/>
      <c r="Y911" s="20"/>
      <c r="Z911" s="19"/>
      <c r="AA911" s="18" t="str">
        <f aca="false">IF(OR(V911="Aprobada"),R911,IF(AND(OR(V911="Aprobada con ajuste",V911="Rechazada"),W911&lt;&gt;""),W911,""))</f>
        <v/>
      </c>
    </row>
    <row r="912" customFormat="false" ht="32.8" hidden="false" customHeight="false" outlineLevel="0" collapsed="false">
      <c r="A912" s="18" t="s">
        <v>4025</v>
      </c>
      <c r="B912" s="18" t="s">
        <v>62</v>
      </c>
      <c r="C912" s="18" t="s">
        <v>63</v>
      </c>
      <c r="D912" s="18" t="s">
        <v>3935</v>
      </c>
      <c r="E912" s="18" t="n">
        <v>0</v>
      </c>
      <c r="F912" s="18" t="s">
        <v>4026</v>
      </c>
      <c r="G912" s="18" t="s">
        <v>249</v>
      </c>
      <c r="H912" s="18" t="s">
        <v>117</v>
      </c>
      <c r="I912" s="18"/>
      <c r="J912" s="18"/>
      <c r="K912" s="18"/>
      <c r="L912" s="18" t="s">
        <v>109</v>
      </c>
      <c r="M912" s="18" t="s">
        <v>109</v>
      </c>
      <c r="N912" s="18"/>
      <c r="O912" s="18"/>
      <c r="P912" s="18" t="s">
        <v>4027</v>
      </c>
      <c r="Q912" s="18" t="s">
        <v>134</v>
      </c>
      <c r="R912" s="18" t="s">
        <v>4028</v>
      </c>
      <c r="S912" s="18" t="s">
        <v>112</v>
      </c>
      <c r="T912" s="18" t="s">
        <v>4029</v>
      </c>
      <c r="U912" s="18" t="s">
        <v>3916</v>
      </c>
      <c r="V912" s="19" t="s">
        <v>29</v>
      </c>
      <c r="W912" s="19"/>
      <c r="X912" s="19"/>
      <c r="Y912" s="20"/>
      <c r="Z912" s="19"/>
      <c r="AA912" s="18" t="str">
        <f aca="false">IF(OR(V912="Aprobada"),R912,IF(AND(OR(V912="Aprobada con ajuste",V912="Rechazada"),W912&lt;&gt;""),W912,""))</f>
        <v/>
      </c>
    </row>
    <row r="913" customFormat="false" ht="43.25" hidden="false" customHeight="false" outlineLevel="0" collapsed="false">
      <c r="A913" s="18" t="s">
        <v>4030</v>
      </c>
      <c r="B913" s="18" t="s">
        <v>62</v>
      </c>
      <c r="C913" s="18" t="s">
        <v>63</v>
      </c>
      <c r="D913" s="18" t="s">
        <v>3935</v>
      </c>
      <c r="E913" s="18" t="n">
        <v>0</v>
      </c>
      <c r="F913" s="18" t="s">
        <v>4031</v>
      </c>
      <c r="G913" s="18" t="s">
        <v>116</v>
      </c>
      <c r="H913" s="18" t="s">
        <v>117</v>
      </c>
      <c r="I913" s="18"/>
      <c r="J913" s="18"/>
      <c r="K913" s="18"/>
      <c r="L913" s="18" t="s">
        <v>109</v>
      </c>
      <c r="M913" s="18" t="s">
        <v>109</v>
      </c>
      <c r="N913" s="18"/>
      <c r="O913" s="18"/>
      <c r="P913" s="18" t="s">
        <v>4032</v>
      </c>
      <c r="Q913" s="18" t="s">
        <v>134</v>
      </c>
      <c r="R913" s="18" t="s">
        <v>4033</v>
      </c>
      <c r="S913" s="18" t="s">
        <v>112</v>
      </c>
      <c r="T913" s="18" t="s">
        <v>4034</v>
      </c>
      <c r="U913" s="18" t="s">
        <v>4035</v>
      </c>
      <c r="V913" s="19" t="s">
        <v>29</v>
      </c>
      <c r="W913" s="19"/>
      <c r="X913" s="19"/>
      <c r="Y913" s="20"/>
      <c r="Z913" s="19"/>
      <c r="AA913" s="18" t="str">
        <f aca="false">IF(OR(V913="Aprobada"),R913,IF(AND(OR(V913="Aprobada con ajuste",V913="Rechazada"),W913&lt;&gt;""),W913,""))</f>
        <v/>
      </c>
    </row>
    <row r="914" customFormat="false" ht="32.8" hidden="false" customHeight="false" outlineLevel="0" collapsed="false">
      <c r="A914" s="18" t="s">
        <v>4036</v>
      </c>
      <c r="B914" s="18" t="s">
        <v>62</v>
      </c>
      <c r="C914" s="18" t="s">
        <v>63</v>
      </c>
      <c r="D914" s="18" t="s">
        <v>3935</v>
      </c>
      <c r="E914" s="18" t="n">
        <v>0</v>
      </c>
      <c r="F914" s="18" t="s">
        <v>4037</v>
      </c>
      <c r="G914" s="18" t="s">
        <v>116</v>
      </c>
      <c r="H914" s="18" t="s">
        <v>117</v>
      </c>
      <c r="I914" s="18"/>
      <c r="J914" s="18"/>
      <c r="K914" s="18"/>
      <c r="L914" s="18" t="s">
        <v>109</v>
      </c>
      <c r="M914" s="18" t="s">
        <v>109</v>
      </c>
      <c r="N914" s="18"/>
      <c r="O914" s="18"/>
      <c r="P914" s="18" t="s">
        <v>4038</v>
      </c>
      <c r="Q914" s="18" t="s">
        <v>134</v>
      </c>
      <c r="R914" s="18" t="s">
        <v>4039</v>
      </c>
      <c r="S914" s="18" t="s">
        <v>125</v>
      </c>
      <c r="T914" s="18" t="s">
        <v>225</v>
      </c>
      <c r="U914" s="18"/>
      <c r="V914" s="19" t="s">
        <v>29</v>
      </c>
      <c r="W914" s="19"/>
      <c r="X914" s="19"/>
      <c r="Y914" s="20"/>
      <c r="Z914" s="19"/>
      <c r="AA914" s="18" t="str">
        <f aca="false">IF(OR(V914="Aprobada"),R914,IF(AND(OR(V914="Aprobada con ajuste",V914="Rechazada"),W914&lt;&gt;""),W914,""))</f>
        <v/>
      </c>
    </row>
    <row r="915" customFormat="false" ht="32.8" hidden="false" customHeight="false" outlineLevel="0" collapsed="false">
      <c r="A915" s="18" t="s">
        <v>4040</v>
      </c>
      <c r="B915" s="18" t="s">
        <v>62</v>
      </c>
      <c r="C915" s="18" t="s">
        <v>63</v>
      </c>
      <c r="D915" s="18" t="s">
        <v>4041</v>
      </c>
      <c r="E915" s="18" t="n">
        <v>0</v>
      </c>
      <c r="F915" s="18" t="s">
        <v>4042</v>
      </c>
      <c r="G915" s="18" t="s">
        <v>249</v>
      </c>
      <c r="H915" s="18" t="s">
        <v>117</v>
      </c>
      <c r="I915" s="18"/>
      <c r="J915" s="18"/>
      <c r="K915" s="18"/>
      <c r="L915" s="18" t="s">
        <v>109</v>
      </c>
      <c r="M915" s="18" t="s">
        <v>109</v>
      </c>
      <c r="N915" s="18"/>
      <c r="O915" s="18" t="s">
        <v>4043</v>
      </c>
      <c r="P915" s="18" t="s">
        <v>4044</v>
      </c>
      <c r="Q915" s="18" t="s">
        <v>134</v>
      </c>
      <c r="R915" s="18" t="s">
        <v>4045</v>
      </c>
      <c r="S915" s="18" t="s">
        <v>112</v>
      </c>
      <c r="T915" s="18" t="s">
        <v>4046</v>
      </c>
      <c r="U915" s="18" t="s">
        <v>4047</v>
      </c>
      <c r="V915" s="19" t="s">
        <v>29</v>
      </c>
      <c r="W915" s="19"/>
      <c r="X915" s="19"/>
      <c r="Y915" s="20"/>
      <c r="Z915" s="19"/>
      <c r="AA915" s="18" t="str">
        <f aca="false">IF(OR(V915="Aprobada"),R915,IF(AND(OR(V915="Aprobada con ajuste",V915="Rechazada"),W915&lt;&gt;""),W915,""))</f>
        <v/>
      </c>
    </row>
    <row r="916" customFormat="false" ht="32.8" hidden="false" customHeight="false" outlineLevel="0" collapsed="false">
      <c r="A916" s="18" t="s">
        <v>4048</v>
      </c>
      <c r="B916" s="18" t="s">
        <v>62</v>
      </c>
      <c r="C916" s="18" t="s">
        <v>63</v>
      </c>
      <c r="D916" s="18" t="s">
        <v>4041</v>
      </c>
      <c r="E916" s="18" t="n">
        <v>0</v>
      </c>
      <c r="F916" s="18" t="s">
        <v>4049</v>
      </c>
      <c r="G916" s="18" t="s">
        <v>151</v>
      </c>
      <c r="H916" s="18" t="s">
        <v>117</v>
      </c>
      <c r="I916" s="18"/>
      <c r="J916" s="18"/>
      <c r="K916" s="18"/>
      <c r="L916" s="18" t="s">
        <v>109</v>
      </c>
      <c r="M916" s="18" t="s">
        <v>109</v>
      </c>
      <c r="N916" s="18"/>
      <c r="O916" s="18"/>
      <c r="P916" s="18" t="s">
        <v>4050</v>
      </c>
      <c r="Q916" s="18" t="s">
        <v>134</v>
      </c>
      <c r="R916" s="18" t="s">
        <v>4051</v>
      </c>
      <c r="S916" s="18" t="s">
        <v>112</v>
      </c>
      <c r="T916" s="18" t="s">
        <v>4052</v>
      </c>
      <c r="U916" s="18" t="s">
        <v>4053</v>
      </c>
      <c r="V916" s="19" t="s">
        <v>29</v>
      </c>
      <c r="W916" s="19"/>
      <c r="X916" s="19"/>
      <c r="Y916" s="20"/>
      <c r="Z916" s="19"/>
      <c r="AA916" s="18" t="str">
        <f aca="false">IF(OR(V916="Aprobada"),R916,IF(AND(OR(V916="Aprobada con ajuste",V916="Rechazada"),W916&lt;&gt;""),W916,""))</f>
        <v/>
      </c>
    </row>
    <row r="917" customFormat="false" ht="32.8" hidden="false" customHeight="false" outlineLevel="0" collapsed="false">
      <c r="A917" s="18" t="s">
        <v>4054</v>
      </c>
      <c r="B917" s="18" t="s">
        <v>62</v>
      </c>
      <c r="C917" s="18" t="s">
        <v>63</v>
      </c>
      <c r="D917" s="18" t="s">
        <v>4041</v>
      </c>
      <c r="E917" s="18" t="n">
        <v>0</v>
      </c>
      <c r="F917" s="18" t="s">
        <v>4055</v>
      </c>
      <c r="G917" s="18" t="s">
        <v>459</v>
      </c>
      <c r="H917" s="18" t="s">
        <v>109</v>
      </c>
      <c r="I917" s="18"/>
      <c r="J917" s="18"/>
      <c r="K917" s="18"/>
      <c r="L917" s="18" t="s">
        <v>109</v>
      </c>
      <c r="M917" s="18" t="s">
        <v>109</v>
      </c>
      <c r="N917" s="18"/>
      <c r="O917" s="18"/>
      <c r="P917" s="18" t="s">
        <v>4056</v>
      </c>
      <c r="Q917" s="18" t="s">
        <v>134</v>
      </c>
      <c r="R917" s="18" t="s">
        <v>4057</v>
      </c>
      <c r="S917" s="18" t="s">
        <v>125</v>
      </c>
      <c r="T917" s="18" t="s">
        <v>1531</v>
      </c>
      <c r="U917" s="18"/>
      <c r="V917" s="19" t="s">
        <v>29</v>
      </c>
      <c r="W917" s="19"/>
      <c r="X917" s="19"/>
      <c r="Y917" s="20"/>
      <c r="Z917" s="19"/>
      <c r="AA917" s="18" t="str">
        <f aca="false">IF(OR(V917="Aprobada"),R917,IF(AND(OR(V917="Aprobada con ajuste",V917="Rechazada"),W917&lt;&gt;""),W917,""))</f>
        <v/>
      </c>
    </row>
    <row r="918" customFormat="false" ht="32.8" hidden="false" customHeight="false" outlineLevel="0" collapsed="false">
      <c r="A918" s="18" t="s">
        <v>4058</v>
      </c>
      <c r="B918" s="18" t="s">
        <v>62</v>
      </c>
      <c r="C918" s="18" t="s">
        <v>63</v>
      </c>
      <c r="D918" s="18" t="s">
        <v>4041</v>
      </c>
      <c r="E918" s="18" t="n">
        <v>0</v>
      </c>
      <c r="F918" s="18" t="s">
        <v>4059</v>
      </c>
      <c r="G918" s="18" t="s">
        <v>108</v>
      </c>
      <c r="H918" s="18" t="s">
        <v>109</v>
      </c>
      <c r="I918" s="18" t="s">
        <v>140</v>
      </c>
      <c r="J918" s="18" t="s">
        <v>4060</v>
      </c>
      <c r="K918" s="18"/>
      <c r="L918" s="18" t="s">
        <v>117</v>
      </c>
      <c r="M918" s="18" t="s">
        <v>109</v>
      </c>
      <c r="N918" s="18"/>
      <c r="O918" s="18"/>
      <c r="P918" s="18" t="s">
        <v>4061</v>
      </c>
      <c r="Q918" s="18" t="s">
        <v>134</v>
      </c>
      <c r="R918" s="18" t="s">
        <v>4062</v>
      </c>
      <c r="S918" s="18" t="s">
        <v>125</v>
      </c>
      <c r="T918" s="18" t="s">
        <v>246</v>
      </c>
      <c r="U918" s="18"/>
      <c r="V918" s="19" t="s">
        <v>29</v>
      </c>
      <c r="W918" s="19"/>
      <c r="X918" s="19"/>
      <c r="Y918" s="20"/>
      <c r="Z918" s="19"/>
      <c r="AA918" s="18" t="str">
        <f aca="false">IF(OR(V918="Aprobada"),R918,IF(AND(OR(V918="Aprobada con ajuste",V918="Rechazada"),W918&lt;&gt;""),W918,""))</f>
        <v/>
      </c>
    </row>
    <row r="919" customFormat="false" ht="43.25" hidden="false" customHeight="false" outlineLevel="0" collapsed="false">
      <c r="A919" s="18" t="s">
        <v>4063</v>
      </c>
      <c r="B919" s="18" t="s">
        <v>62</v>
      </c>
      <c r="C919" s="18" t="s">
        <v>63</v>
      </c>
      <c r="D919" s="18" t="s">
        <v>4041</v>
      </c>
      <c r="E919" s="18" t="n">
        <v>0</v>
      </c>
      <c r="F919" s="18" t="s">
        <v>4064</v>
      </c>
      <c r="G919" s="18" t="s">
        <v>116</v>
      </c>
      <c r="H919" s="18" t="s">
        <v>109</v>
      </c>
      <c r="I919" s="18" t="s">
        <v>140</v>
      </c>
      <c r="J919" s="18"/>
      <c r="K919" s="18"/>
      <c r="L919" s="18" t="s">
        <v>109</v>
      </c>
      <c r="M919" s="18" t="s">
        <v>109</v>
      </c>
      <c r="N919" s="18"/>
      <c r="O919" s="18"/>
      <c r="P919" s="18" t="s">
        <v>4065</v>
      </c>
      <c r="Q919" s="18" t="s">
        <v>134</v>
      </c>
      <c r="R919" s="18" t="s">
        <v>4066</v>
      </c>
      <c r="S919" s="18" t="s">
        <v>125</v>
      </c>
      <c r="T919" s="18" t="s">
        <v>4067</v>
      </c>
      <c r="U919" s="18"/>
      <c r="V919" s="19" t="s">
        <v>29</v>
      </c>
      <c r="W919" s="19"/>
      <c r="X919" s="19"/>
      <c r="Y919" s="20"/>
      <c r="Z919" s="19"/>
      <c r="AA919" s="18" t="str">
        <f aca="false">IF(OR(V919="Aprobada"),R919,IF(AND(OR(V919="Aprobada con ajuste",V919="Rechazada"),W919&lt;&gt;""),W919,""))</f>
        <v/>
      </c>
    </row>
    <row r="920" customFormat="false" ht="43.25" hidden="false" customHeight="false" outlineLevel="0" collapsed="false">
      <c r="A920" s="18" t="s">
        <v>4068</v>
      </c>
      <c r="B920" s="18" t="s">
        <v>62</v>
      </c>
      <c r="C920" s="18" t="s">
        <v>63</v>
      </c>
      <c r="D920" s="18" t="s">
        <v>4041</v>
      </c>
      <c r="E920" s="18" t="n">
        <v>0</v>
      </c>
      <c r="F920" s="18" t="s">
        <v>4069</v>
      </c>
      <c r="G920" s="18" t="s">
        <v>116</v>
      </c>
      <c r="H920" s="18" t="s">
        <v>109</v>
      </c>
      <c r="I920" s="18" t="s">
        <v>140</v>
      </c>
      <c r="J920" s="18"/>
      <c r="K920" s="18"/>
      <c r="L920" s="18" t="s">
        <v>109</v>
      </c>
      <c r="M920" s="18" t="s">
        <v>109</v>
      </c>
      <c r="N920" s="18"/>
      <c r="O920" s="18"/>
      <c r="P920" s="18" t="s">
        <v>4070</v>
      </c>
      <c r="Q920" s="18" t="s">
        <v>134</v>
      </c>
      <c r="R920" s="18" t="s">
        <v>4071</v>
      </c>
      <c r="S920" s="18" t="s">
        <v>125</v>
      </c>
      <c r="T920" s="18" t="s">
        <v>4067</v>
      </c>
      <c r="U920" s="18"/>
      <c r="V920" s="19" t="s">
        <v>29</v>
      </c>
      <c r="W920" s="19"/>
      <c r="X920" s="19"/>
      <c r="Y920" s="20"/>
      <c r="Z920" s="19"/>
      <c r="AA920" s="18" t="str">
        <f aca="false">IF(OR(V920="Aprobada"),R920,IF(AND(OR(V920="Aprobada con ajuste",V920="Rechazada"),W920&lt;&gt;""),W920,""))</f>
        <v/>
      </c>
    </row>
    <row r="921" customFormat="false" ht="43.25" hidden="false" customHeight="false" outlineLevel="0" collapsed="false">
      <c r="A921" s="18" t="s">
        <v>4072</v>
      </c>
      <c r="B921" s="18" t="s">
        <v>62</v>
      </c>
      <c r="C921" s="18" t="s">
        <v>63</v>
      </c>
      <c r="D921" s="18" t="s">
        <v>4041</v>
      </c>
      <c r="E921" s="18" t="n">
        <v>0</v>
      </c>
      <c r="F921" s="18" t="s">
        <v>4073</v>
      </c>
      <c r="G921" s="18" t="s">
        <v>3400</v>
      </c>
      <c r="H921" s="18" t="s">
        <v>109</v>
      </c>
      <c r="I921" s="18" t="s">
        <v>140</v>
      </c>
      <c r="J921" s="18"/>
      <c r="K921" s="18"/>
      <c r="L921" s="18" t="s">
        <v>109</v>
      </c>
      <c r="M921" s="18" t="s">
        <v>109</v>
      </c>
      <c r="N921" s="18"/>
      <c r="O921" s="18"/>
      <c r="P921" s="18" t="s">
        <v>4074</v>
      </c>
      <c r="Q921" s="18" t="s">
        <v>134</v>
      </c>
      <c r="R921" s="18" t="s">
        <v>4075</v>
      </c>
      <c r="S921" s="18" t="s">
        <v>125</v>
      </c>
      <c r="T921" s="18" t="s">
        <v>4076</v>
      </c>
      <c r="U921" s="18"/>
      <c r="V921" s="19" t="s">
        <v>29</v>
      </c>
      <c r="W921" s="19"/>
      <c r="X921" s="19"/>
      <c r="Y921" s="20"/>
      <c r="Z921" s="19"/>
      <c r="AA921" s="18" t="str">
        <f aca="false">IF(OR(V921="Aprobada"),R921,IF(AND(OR(V921="Aprobada con ajuste",V921="Rechazada"),W921&lt;&gt;""),W921,""))</f>
        <v/>
      </c>
    </row>
    <row r="922" customFormat="false" ht="43.25" hidden="false" customHeight="false" outlineLevel="0" collapsed="false">
      <c r="A922" s="18" t="s">
        <v>4077</v>
      </c>
      <c r="B922" s="18" t="s">
        <v>62</v>
      </c>
      <c r="C922" s="18" t="s">
        <v>63</v>
      </c>
      <c r="D922" s="18" t="s">
        <v>4041</v>
      </c>
      <c r="E922" s="18" t="n">
        <v>0</v>
      </c>
      <c r="F922" s="18" t="s">
        <v>4078</v>
      </c>
      <c r="G922" s="18" t="s">
        <v>195</v>
      </c>
      <c r="H922" s="18" t="s">
        <v>109</v>
      </c>
      <c r="I922" s="18" t="s">
        <v>140</v>
      </c>
      <c r="J922" s="18" t="s">
        <v>3997</v>
      </c>
      <c r="K922" s="18"/>
      <c r="L922" s="18" t="s">
        <v>117</v>
      </c>
      <c r="M922" s="18" t="s">
        <v>109</v>
      </c>
      <c r="N922" s="18"/>
      <c r="O922" s="18"/>
      <c r="P922" s="18" t="s">
        <v>4079</v>
      </c>
      <c r="Q922" s="18" t="s">
        <v>134</v>
      </c>
      <c r="R922" s="18" t="s">
        <v>4080</v>
      </c>
      <c r="S922" s="18" t="s">
        <v>125</v>
      </c>
      <c r="T922" s="18" t="s">
        <v>246</v>
      </c>
      <c r="U922" s="18"/>
      <c r="V922" s="19" t="s">
        <v>29</v>
      </c>
      <c r="W922" s="19"/>
      <c r="X922" s="19"/>
      <c r="Y922" s="20"/>
      <c r="Z922" s="19"/>
      <c r="AA922" s="18" t="str">
        <f aca="false">IF(OR(V922="Aprobada"),R922,IF(AND(OR(V922="Aprobada con ajuste",V922="Rechazada"),W922&lt;&gt;""),W922,""))</f>
        <v/>
      </c>
    </row>
    <row r="923" customFormat="false" ht="53.7" hidden="false" customHeight="false" outlineLevel="0" collapsed="false">
      <c r="A923" s="18" t="s">
        <v>4081</v>
      </c>
      <c r="B923" s="18" t="s">
        <v>62</v>
      </c>
      <c r="C923" s="18" t="s">
        <v>63</v>
      </c>
      <c r="D923" s="18" t="s">
        <v>4041</v>
      </c>
      <c r="E923" s="18" t="n">
        <v>0</v>
      </c>
      <c r="F923" s="18" t="s">
        <v>4002</v>
      </c>
      <c r="G923" s="18" t="s">
        <v>145</v>
      </c>
      <c r="H923" s="18" t="s">
        <v>109</v>
      </c>
      <c r="I923" s="18"/>
      <c r="J923" s="18"/>
      <c r="K923" s="18"/>
      <c r="L923" s="18" t="s">
        <v>109</v>
      </c>
      <c r="M923" s="18" t="s">
        <v>109</v>
      </c>
      <c r="N923" s="18"/>
      <c r="O923" s="18"/>
      <c r="P923" s="18" t="s">
        <v>4082</v>
      </c>
      <c r="Q923" s="18" t="s">
        <v>110</v>
      </c>
      <c r="R923" s="18" t="s">
        <v>4004</v>
      </c>
      <c r="S923" s="18" t="s">
        <v>112</v>
      </c>
      <c r="T923" s="18" t="s">
        <v>113</v>
      </c>
      <c r="U923" s="18"/>
      <c r="V923" s="19" t="s">
        <v>29</v>
      </c>
      <c r="W923" s="19"/>
      <c r="X923" s="19"/>
      <c r="Y923" s="20"/>
      <c r="Z923" s="19"/>
      <c r="AA923" s="18" t="str">
        <f aca="false">IF(OR(V923="Aprobada"),R923,IF(AND(OR(V923="Aprobada con ajuste",V923="Rechazada"),W923&lt;&gt;""),W923,""))</f>
        <v/>
      </c>
    </row>
    <row r="924" customFormat="false" ht="43.25" hidden="false" customHeight="false" outlineLevel="0" collapsed="false">
      <c r="A924" s="18" t="s">
        <v>4083</v>
      </c>
      <c r="B924" s="18" t="s">
        <v>62</v>
      </c>
      <c r="C924" s="18" t="s">
        <v>63</v>
      </c>
      <c r="D924" s="18" t="s">
        <v>4041</v>
      </c>
      <c r="E924" s="18" t="n">
        <v>0</v>
      </c>
      <c r="F924" s="18" t="s">
        <v>115</v>
      </c>
      <c r="G924" s="18" t="s">
        <v>116</v>
      </c>
      <c r="H924" s="18" t="s">
        <v>117</v>
      </c>
      <c r="I924" s="18"/>
      <c r="J924" s="18"/>
      <c r="K924" s="18"/>
      <c r="L924" s="18" t="s">
        <v>109</v>
      </c>
      <c r="M924" s="18" t="s">
        <v>109</v>
      </c>
      <c r="N924" s="18"/>
      <c r="O924" s="18"/>
      <c r="P924" s="18" t="s">
        <v>4084</v>
      </c>
      <c r="Q924" s="18" t="s">
        <v>110</v>
      </c>
      <c r="R924" s="18" t="s">
        <v>118</v>
      </c>
      <c r="S924" s="18" t="s">
        <v>112</v>
      </c>
      <c r="T924" s="18" t="s">
        <v>113</v>
      </c>
      <c r="U924" s="18"/>
      <c r="V924" s="19" t="s">
        <v>29</v>
      </c>
      <c r="W924" s="19"/>
      <c r="X924" s="19"/>
      <c r="Y924" s="20"/>
      <c r="Z924" s="19"/>
      <c r="AA924" s="18" t="str">
        <f aca="false">IF(OR(V924="Aprobada"),R924,IF(AND(OR(V924="Aprobada con ajuste",V924="Rechazada"),W924&lt;&gt;""),W924,""))</f>
        <v/>
      </c>
    </row>
    <row r="925" customFormat="false" ht="32.8" hidden="false" customHeight="false" outlineLevel="0" collapsed="false">
      <c r="A925" s="18" t="s">
        <v>4085</v>
      </c>
      <c r="B925" s="18" t="s">
        <v>62</v>
      </c>
      <c r="C925" s="18" t="s">
        <v>63</v>
      </c>
      <c r="D925" s="18" t="s">
        <v>4041</v>
      </c>
      <c r="E925" s="18" t="n">
        <v>0</v>
      </c>
      <c r="F925" s="18" t="s">
        <v>3988</v>
      </c>
      <c r="G925" s="18" t="s">
        <v>184</v>
      </c>
      <c r="H925" s="18" t="s">
        <v>109</v>
      </c>
      <c r="I925" s="18"/>
      <c r="J925" s="18"/>
      <c r="K925" s="18"/>
      <c r="L925" s="18" t="s">
        <v>109</v>
      </c>
      <c r="M925" s="18" t="s">
        <v>109</v>
      </c>
      <c r="N925" s="18"/>
      <c r="O925" s="18"/>
      <c r="P925" s="18" t="s">
        <v>4086</v>
      </c>
      <c r="Q925" s="18" t="s">
        <v>110</v>
      </c>
      <c r="R925" s="18" t="s">
        <v>3990</v>
      </c>
      <c r="S925" s="18" t="s">
        <v>112</v>
      </c>
      <c r="T925" s="18" t="s">
        <v>113</v>
      </c>
      <c r="U925" s="18"/>
      <c r="V925" s="19" t="s">
        <v>29</v>
      </c>
      <c r="W925" s="19"/>
      <c r="X925" s="19"/>
      <c r="Y925" s="20"/>
      <c r="Z925" s="19"/>
      <c r="AA925" s="18" t="str">
        <f aca="false">IF(OR(V925="Aprobada"),R925,IF(AND(OR(V925="Aprobada con ajuste",V925="Rechazada"),W925&lt;&gt;""),W925,""))</f>
        <v/>
      </c>
    </row>
    <row r="926" customFormat="false" ht="32.8" hidden="false" customHeight="false" outlineLevel="0" collapsed="false">
      <c r="A926" s="18" t="s">
        <v>4087</v>
      </c>
      <c r="B926" s="18" t="s">
        <v>62</v>
      </c>
      <c r="C926" s="18" t="s">
        <v>63</v>
      </c>
      <c r="D926" s="18" t="s">
        <v>4041</v>
      </c>
      <c r="E926" s="18" t="n">
        <v>0</v>
      </c>
      <c r="F926" s="18" t="s">
        <v>3992</v>
      </c>
      <c r="G926" s="18" t="s">
        <v>184</v>
      </c>
      <c r="H926" s="18" t="s">
        <v>109</v>
      </c>
      <c r="I926" s="18"/>
      <c r="J926" s="18"/>
      <c r="K926" s="18"/>
      <c r="L926" s="18" t="s">
        <v>109</v>
      </c>
      <c r="M926" s="18" t="s">
        <v>109</v>
      </c>
      <c r="N926" s="18"/>
      <c r="O926" s="18"/>
      <c r="P926" s="18" t="s">
        <v>4088</v>
      </c>
      <c r="Q926" s="18" t="s">
        <v>110</v>
      </c>
      <c r="R926" s="18" t="s">
        <v>3994</v>
      </c>
      <c r="S926" s="18" t="s">
        <v>112</v>
      </c>
      <c r="T926" s="18" t="s">
        <v>113</v>
      </c>
      <c r="U926" s="18"/>
      <c r="V926" s="19" t="s">
        <v>29</v>
      </c>
      <c r="W926" s="19"/>
      <c r="X926" s="19"/>
      <c r="Y926" s="20"/>
      <c r="Z926" s="19"/>
      <c r="AA926" s="18" t="str">
        <f aca="false">IF(OR(V926="Aprobada"),R926,IF(AND(OR(V926="Aprobada con ajuste",V926="Rechazada"),W926&lt;&gt;""),W926,""))</f>
        <v/>
      </c>
    </row>
    <row r="927" customFormat="false" ht="43.25" hidden="false" customHeight="false" outlineLevel="0" collapsed="false">
      <c r="A927" s="18" t="s">
        <v>4089</v>
      </c>
      <c r="B927" s="18" t="s">
        <v>62</v>
      </c>
      <c r="C927" s="18" t="s">
        <v>63</v>
      </c>
      <c r="D927" s="18" t="s">
        <v>4041</v>
      </c>
      <c r="E927" s="18" t="n">
        <v>0</v>
      </c>
      <c r="F927" s="18" t="s">
        <v>4090</v>
      </c>
      <c r="G927" s="18" t="s">
        <v>145</v>
      </c>
      <c r="H927" s="18" t="s">
        <v>109</v>
      </c>
      <c r="I927" s="18"/>
      <c r="J927" s="18"/>
      <c r="K927" s="18"/>
      <c r="L927" s="18" t="s">
        <v>109</v>
      </c>
      <c r="M927" s="18" t="s">
        <v>109</v>
      </c>
      <c r="N927" s="18"/>
      <c r="O927" s="18"/>
      <c r="P927" s="18" t="s">
        <v>4091</v>
      </c>
      <c r="Q927" s="18" t="s">
        <v>110</v>
      </c>
      <c r="R927" s="18" t="s">
        <v>4092</v>
      </c>
      <c r="S927" s="18" t="s">
        <v>112</v>
      </c>
      <c r="T927" s="18" t="s">
        <v>113</v>
      </c>
      <c r="U927" s="18"/>
      <c r="V927" s="19" t="s">
        <v>29</v>
      </c>
      <c r="W927" s="19"/>
      <c r="X927" s="19"/>
      <c r="Y927" s="20"/>
      <c r="Z927" s="19"/>
      <c r="AA927" s="18" t="str">
        <f aca="false">IF(OR(V927="Aprobada"),R927,IF(AND(OR(V927="Aprobada con ajuste",V927="Rechazada"),W927&lt;&gt;""),W927,""))</f>
        <v/>
      </c>
    </row>
    <row r="928" customFormat="false" ht="32.8" hidden="false" customHeight="false" outlineLevel="0" collapsed="false">
      <c r="A928" s="18" t="s">
        <v>4093</v>
      </c>
      <c r="B928" s="18" t="s">
        <v>62</v>
      </c>
      <c r="C928" s="18" t="s">
        <v>63</v>
      </c>
      <c r="D928" s="18" t="s">
        <v>4041</v>
      </c>
      <c r="E928" s="18" t="n">
        <v>0</v>
      </c>
      <c r="F928" s="18" t="s">
        <v>4094</v>
      </c>
      <c r="G928" s="18" t="s">
        <v>249</v>
      </c>
      <c r="H928" s="18" t="s">
        <v>117</v>
      </c>
      <c r="I928" s="18"/>
      <c r="J928" s="18"/>
      <c r="K928" s="18"/>
      <c r="L928" s="18" t="s">
        <v>109</v>
      </c>
      <c r="M928" s="18" t="s">
        <v>109</v>
      </c>
      <c r="N928" s="18"/>
      <c r="O928" s="18"/>
      <c r="P928" s="18" t="s">
        <v>4095</v>
      </c>
      <c r="Q928" s="18" t="s">
        <v>134</v>
      </c>
      <c r="R928" s="18" t="s">
        <v>4096</v>
      </c>
      <c r="S928" s="18" t="s">
        <v>112</v>
      </c>
      <c r="T928" s="18" t="s">
        <v>4097</v>
      </c>
      <c r="U928" s="18" t="s">
        <v>4098</v>
      </c>
      <c r="V928" s="19" t="s">
        <v>29</v>
      </c>
      <c r="W928" s="19"/>
      <c r="X928" s="19"/>
      <c r="Y928" s="20"/>
      <c r="Z928" s="19"/>
      <c r="AA928" s="18" t="str">
        <f aca="false">IF(OR(V928="Aprobada"),R928,IF(AND(OR(V928="Aprobada con ajuste",V928="Rechazada"),W928&lt;&gt;""),W928,""))</f>
        <v/>
      </c>
    </row>
    <row r="929" customFormat="false" ht="53.7" hidden="false" customHeight="false" outlineLevel="0" collapsed="false">
      <c r="A929" s="18" t="s">
        <v>4099</v>
      </c>
      <c r="B929" s="18" t="s">
        <v>62</v>
      </c>
      <c r="C929" s="18" t="s">
        <v>63</v>
      </c>
      <c r="D929" s="18" t="s">
        <v>4100</v>
      </c>
      <c r="E929" s="18" t="n">
        <v>0</v>
      </c>
      <c r="F929" s="18" t="s">
        <v>4101</v>
      </c>
      <c r="G929" s="18" t="s">
        <v>324</v>
      </c>
      <c r="H929" s="18" t="s">
        <v>117</v>
      </c>
      <c r="I929" s="18"/>
      <c r="J929" s="18"/>
      <c r="K929" s="18"/>
      <c r="L929" s="18" t="s">
        <v>109</v>
      </c>
      <c r="M929" s="18" t="s">
        <v>109</v>
      </c>
      <c r="N929" s="18"/>
      <c r="O929" s="18"/>
      <c r="P929" s="18" t="s">
        <v>4102</v>
      </c>
      <c r="Q929" s="18" t="s">
        <v>134</v>
      </c>
      <c r="R929" s="18" t="s">
        <v>4103</v>
      </c>
      <c r="S929" s="18" t="s">
        <v>112</v>
      </c>
      <c r="T929" s="18" t="s">
        <v>4104</v>
      </c>
      <c r="U929" s="18" t="s">
        <v>4105</v>
      </c>
      <c r="V929" s="19" t="s">
        <v>29</v>
      </c>
      <c r="W929" s="19"/>
      <c r="X929" s="19"/>
      <c r="Y929" s="20"/>
      <c r="Z929" s="19"/>
      <c r="AA929" s="18" t="str">
        <f aca="false">IF(OR(V929="Aprobada"),R929,IF(AND(OR(V929="Aprobada con ajuste",V929="Rechazada"),W929&lt;&gt;""),W929,""))</f>
        <v/>
      </c>
    </row>
    <row r="930" customFormat="false" ht="43.25" hidden="false" customHeight="false" outlineLevel="0" collapsed="false">
      <c r="A930" s="18" t="s">
        <v>4106</v>
      </c>
      <c r="B930" s="18" t="s">
        <v>62</v>
      </c>
      <c r="C930" s="18" t="s">
        <v>63</v>
      </c>
      <c r="D930" s="18" t="s">
        <v>4100</v>
      </c>
      <c r="E930" s="18" t="n">
        <v>0</v>
      </c>
      <c r="F930" s="18" t="s">
        <v>129</v>
      </c>
      <c r="G930" s="18" t="s">
        <v>934</v>
      </c>
      <c r="H930" s="18" t="s">
        <v>109</v>
      </c>
      <c r="I930" s="18" t="s">
        <v>140</v>
      </c>
      <c r="J930" s="18"/>
      <c r="K930" s="18"/>
      <c r="L930" s="18" t="s">
        <v>109</v>
      </c>
      <c r="M930" s="18" t="s">
        <v>109</v>
      </c>
      <c r="N930" s="18"/>
      <c r="O930" s="18"/>
      <c r="P930" s="18" t="s">
        <v>4107</v>
      </c>
      <c r="Q930" s="18" t="s">
        <v>110</v>
      </c>
      <c r="R930" s="18" t="s">
        <v>4108</v>
      </c>
      <c r="S930" s="18" t="s">
        <v>112</v>
      </c>
      <c r="T930" s="18" t="s">
        <v>113</v>
      </c>
      <c r="U930" s="18"/>
      <c r="V930" s="19" t="s">
        <v>29</v>
      </c>
      <c r="W930" s="19"/>
      <c r="X930" s="19"/>
      <c r="Y930" s="20"/>
      <c r="Z930" s="19"/>
      <c r="AA930" s="18" t="str">
        <f aca="false">IF(OR(V930="Aprobada"),R930,IF(AND(OR(V930="Aprobada con ajuste",V930="Rechazada"),W930&lt;&gt;""),W930,""))</f>
        <v/>
      </c>
    </row>
    <row r="931" customFormat="false" ht="53.7" hidden="false" customHeight="false" outlineLevel="0" collapsed="false">
      <c r="A931" s="18" t="s">
        <v>4109</v>
      </c>
      <c r="B931" s="18" t="s">
        <v>62</v>
      </c>
      <c r="C931" s="18" t="s">
        <v>63</v>
      </c>
      <c r="D931" s="18" t="s">
        <v>4100</v>
      </c>
      <c r="E931" s="18" t="n">
        <v>0</v>
      </c>
      <c r="F931" s="18" t="s">
        <v>4110</v>
      </c>
      <c r="G931" s="18" t="s">
        <v>4111</v>
      </c>
      <c r="H931" s="18" t="s">
        <v>109</v>
      </c>
      <c r="I931" s="18" t="s">
        <v>140</v>
      </c>
      <c r="J931" s="18"/>
      <c r="K931" s="18"/>
      <c r="L931" s="18" t="s">
        <v>109</v>
      </c>
      <c r="M931" s="18" t="s">
        <v>109</v>
      </c>
      <c r="N931" s="18"/>
      <c r="O931" s="18"/>
      <c r="P931" s="18" t="s">
        <v>4112</v>
      </c>
      <c r="Q931" s="18" t="s">
        <v>134</v>
      </c>
      <c r="R931" s="18" t="s">
        <v>4113</v>
      </c>
      <c r="S931" s="18" t="s">
        <v>125</v>
      </c>
      <c r="T931" s="18" t="s">
        <v>4114</v>
      </c>
      <c r="U931" s="18"/>
      <c r="V931" s="19" t="s">
        <v>29</v>
      </c>
      <c r="W931" s="19"/>
      <c r="X931" s="19"/>
      <c r="Y931" s="20"/>
      <c r="Z931" s="19"/>
      <c r="AA931" s="18" t="str">
        <f aca="false">IF(OR(V931="Aprobada"),R931,IF(AND(OR(V931="Aprobada con ajuste",V931="Rechazada"),W931&lt;&gt;""),W931,""))</f>
        <v/>
      </c>
    </row>
    <row r="932" customFormat="false" ht="53.7" hidden="false" customHeight="false" outlineLevel="0" collapsed="false">
      <c r="A932" s="18" t="s">
        <v>4115</v>
      </c>
      <c r="B932" s="18" t="s">
        <v>62</v>
      </c>
      <c r="C932" s="18" t="s">
        <v>63</v>
      </c>
      <c r="D932" s="18" t="s">
        <v>4100</v>
      </c>
      <c r="E932" s="18" t="n">
        <v>0</v>
      </c>
      <c r="F932" s="18" t="s">
        <v>4116</v>
      </c>
      <c r="G932" s="18" t="s">
        <v>4117</v>
      </c>
      <c r="H932" s="18" t="s">
        <v>109</v>
      </c>
      <c r="I932" s="18" t="s">
        <v>140</v>
      </c>
      <c r="J932" s="18" t="s">
        <v>4118</v>
      </c>
      <c r="K932" s="18"/>
      <c r="L932" s="18" t="s">
        <v>117</v>
      </c>
      <c r="M932" s="18" t="s">
        <v>109</v>
      </c>
      <c r="N932" s="18"/>
      <c r="O932" s="18"/>
      <c r="P932" s="18" t="s">
        <v>4119</v>
      </c>
      <c r="Q932" s="18" t="s">
        <v>134</v>
      </c>
      <c r="R932" s="18" t="s">
        <v>4120</v>
      </c>
      <c r="S932" s="18" t="s">
        <v>125</v>
      </c>
      <c r="T932" s="18" t="s">
        <v>4121</v>
      </c>
      <c r="U932" s="18"/>
      <c r="V932" s="19" t="s">
        <v>29</v>
      </c>
      <c r="W932" s="19"/>
      <c r="X932" s="19"/>
      <c r="Y932" s="20"/>
      <c r="Z932" s="19"/>
      <c r="AA932" s="18" t="str">
        <f aca="false">IF(OR(V932="Aprobada"),R932,IF(AND(OR(V932="Aprobada con ajuste",V932="Rechazada"),W932&lt;&gt;""),W932,""))</f>
        <v/>
      </c>
    </row>
    <row r="933" customFormat="false" ht="53.7" hidden="false" customHeight="false" outlineLevel="0" collapsed="false">
      <c r="A933" s="18" t="s">
        <v>4122</v>
      </c>
      <c r="B933" s="18" t="s">
        <v>62</v>
      </c>
      <c r="C933" s="18" t="s">
        <v>63</v>
      </c>
      <c r="D933" s="18" t="s">
        <v>4100</v>
      </c>
      <c r="E933" s="18" t="n">
        <v>0</v>
      </c>
      <c r="F933" s="18" t="s">
        <v>4123</v>
      </c>
      <c r="G933" s="18" t="s">
        <v>4007</v>
      </c>
      <c r="H933" s="18" t="s">
        <v>109</v>
      </c>
      <c r="I933" s="18" t="s">
        <v>140</v>
      </c>
      <c r="J933" s="18"/>
      <c r="K933" s="18"/>
      <c r="L933" s="18" t="s">
        <v>109</v>
      </c>
      <c r="M933" s="18" t="s">
        <v>109</v>
      </c>
      <c r="N933" s="18"/>
      <c r="O933" s="18"/>
      <c r="P933" s="18" t="s">
        <v>4124</v>
      </c>
      <c r="Q933" s="18" t="s">
        <v>134</v>
      </c>
      <c r="R933" s="18" t="s">
        <v>4125</v>
      </c>
      <c r="S933" s="18" t="s">
        <v>125</v>
      </c>
      <c r="T933" s="18" t="s">
        <v>4126</v>
      </c>
      <c r="U933" s="18"/>
      <c r="V933" s="19" t="s">
        <v>29</v>
      </c>
      <c r="W933" s="19"/>
      <c r="X933" s="19"/>
      <c r="Y933" s="20"/>
      <c r="Z933" s="19"/>
      <c r="AA933" s="18" t="str">
        <f aca="false">IF(OR(V933="Aprobada"),R933,IF(AND(OR(V933="Aprobada con ajuste",V933="Rechazada"),W933&lt;&gt;""),W933,""))</f>
        <v/>
      </c>
    </row>
    <row r="934" customFormat="false" ht="22.35" hidden="false" customHeight="false" outlineLevel="0" collapsed="false">
      <c r="A934" s="18" t="s">
        <v>4127</v>
      </c>
      <c r="B934" s="18" t="s">
        <v>62</v>
      </c>
      <c r="C934" s="18" t="s">
        <v>63</v>
      </c>
      <c r="D934" s="18" t="s">
        <v>4100</v>
      </c>
      <c r="E934" s="18" t="n">
        <v>0</v>
      </c>
      <c r="F934" s="18" t="s">
        <v>4128</v>
      </c>
      <c r="G934" s="18" t="s">
        <v>4007</v>
      </c>
      <c r="H934" s="18" t="s">
        <v>117</v>
      </c>
      <c r="I934" s="18"/>
      <c r="J934" s="18"/>
      <c r="K934" s="18"/>
      <c r="L934" s="18" t="s">
        <v>109</v>
      </c>
      <c r="M934" s="18" t="s">
        <v>109</v>
      </c>
      <c r="N934" s="18"/>
      <c r="O934" s="18"/>
      <c r="P934" s="18"/>
      <c r="Q934" s="18" t="s">
        <v>134</v>
      </c>
      <c r="R934" s="18" t="s">
        <v>4129</v>
      </c>
      <c r="S934" s="18" t="s">
        <v>125</v>
      </c>
      <c r="T934" s="18" t="s">
        <v>4130</v>
      </c>
      <c r="U934" s="18"/>
      <c r="V934" s="19" t="s">
        <v>29</v>
      </c>
      <c r="W934" s="19"/>
      <c r="X934" s="19"/>
      <c r="Y934" s="20"/>
      <c r="Z934" s="19"/>
      <c r="AA934" s="18" t="str">
        <f aca="false">IF(OR(V934="Aprobada"),R934,IF(AND(OR(V934="Aprobada con ajuste",V934="Rechazada"),W934&lt;&gt;""),W934,""))</f>
        <v/>
      </c>
    </row>
    <row r="935" customFormat="false" ht="64.15" hidden="false" customHeight="false" outlineLevel="0" collapsed="false">
      <c r="A935" s="18" t="s">
        <v>4131</v>
      </c>
      <c r="B935" s="18" t="s">
        <v>62</v>
      </c>
      <c r="C935" s="18" t="s">
        <v>63</v>
      </c>
      <c r="D935" s="18" t="s">
        <v>4100</v>
      </c>
      <c r="E935" s="18" t="n">
        <v>0</v>
      </c>
      <c r="F935" s="18" t="s">
        <v>4132</v>
      </c>
      <c r="G935" s="18" t="s">
        <v>108</v>
      </c>
      <c r="H935" s="18" t="s">
        <v>109</v>
      </c>
      <c r="I935" s="18" t="s">
        <v>140</v>
      </c>
      <c r="J935" s="18" t="s">
        <v>4133</v>
      </c>
      <c r="K935" s="18"/>
      <c r="L935" s="18" t="s">
        <v>117</v>
      </c>
      <c r="M935" s="18" t="s">
        <v>109</v>
      </c>
      <c r="N935" s="18"/>
      <c r="O935" s="18"/>
      <c r="P935" s="18" t="s">
        <v>4134</v>
      </c>
      <c r="Q935" s="18" t="s">
        <v>134</v>
      </c>
      <c r="R935" s="18" t="s">
        <v>4135</v>
      </c>
      <c r="S935" s="18" t="s">
        <v>125</v>
      </c>
      <c r="T935" s="18" t="s">
        <v>4136</v>
      </c>
      <c r="U935" s="18"/>
      <c r="V935" s="19" t="s">
        <v>29</v>
      </c>
      <c r="W935" s="19"/>
      <c r="X935" s="19"/>
      <c r="Y935" s="20"/>
      <c r="Z935" s="19"/>
      <c r="AA935" s="18" t="str">
        <f aca="false">IF(OR(V935="Aprobada"),R935,IF(AND(OR(V935="Aprobada con ajuste",V935="Rechazada"),W935&lt;&gt;""),W935,""))</f>
        <v/>
      </c>
    </row>
    <row r="936" customFormat="false" ht="53.7" hidden="false" customHeight="false" outlineLevel="0" collapsed="false">
      <c r="A936" s="18" t="s">
        <v>4137</v>
      </c>
      <c r="B936" s="18" t="s">
        <v>62</v>
      </c>
      <c r="C936" s="18" t="s">
        <v>63</v>
      </c>
      <c r="D936" s="18" t="s">
        <v>4100</v>
      </c>
      <c r="E936" s="18" t="n">
        <v>0</v>
      </c>
      <c r="F936" s="18" t="s">
        <v>4138</v>
      </c>
      <c r="G936" s="18" t="s">
        <v>156</v>
      </c>
      <c r="H936" s="18" t="s">
        <v>117</v>
      </c>
      <c r="I936" s="18" t="s">
        <v>140</v>
      </c>
      <c r="J936" s="18"/>
      <c r="K936" s="18"/>
      <c r="L936" s="18" t="s">
        <v>109</v>
      </c>
      <c r="M936" s="18" t="s">
        <v>109</v>
      </c>
      <c r="N936" s="18"/>
      <c r="O936" s="18"/>
      <c r="P936" s="18" t="s">
        <v>4139</v>
      </c>
      <c r="Q936" s="18" t="s">
        <v>134</v>
      </c>
      <c r="R936" s="18" t="s">
        <v>4140</v>
      </c>
      <c r="S936" s="18" t="s">
        <v>112</v>
      </c>
      <c r="T936" s="18" t="s">
        <v>4141</v>
      </c>
      <c r="U936" s="18" t="s">
        <v>2671</v>
      </c>
      <c r="V936" s="19" t="s">
        <v>29</v>
      </c>
      <c r="W936" s="19"/>
      <c r="X936" s="19"/>
      <c r="Y936" s="20"/>
      <c r="Z936" s="19"/>
      <c r="AA936" s="18" t="str">
        <f aca="false">IF(OR(V936="Aprobada"),R936,IF(AND(OR(V936="Aprobada con ajuste",V936="Rechazada"),W936&lt;&gt;""),W936,""))</f>
        <v/>
      </c>
    </row>
    <row r="937" customFormat="false" ht="43.25" hidden="false" customHeight="false" outlineLevel="0" collapsed="false">
      <c r="A937" s="18" t="s">
        <v>4142</v>
      </c>
      <c r="B937" s="18" t="s">
        <v>62</v>
      </c>
      <c r="C937" s="18" t="s">
        <v>63</v>
      </c>
      <c r="D937" s="18" t="s">
        <v>4100</v>
      </c>
      <c r="E937" s="18" t="n">
        <v>0</v>
      </c>
      <c r="F937" s="18" t="s">
        <v>4143</v>
      </c>
      <c r="G937" s="18" t="s">
        <v>156</v>
      </c>
      <c r="H937" s="18" t="s">
        <v>109</v>
      </c>
      <c r="I937" s="18"/>
      <c r="J937" s="18"/>
      <c r="K937" s="18"/>
      <c r="L937" s="18" t="s">
        <v>109</v>
      </c>
      <c r="M937" s="18" t="s">
        <v>109</v>
      </c>
      <c r="N937" s="18"/>
      <c r="O937" s="18"/>
      <c r="P937" s="18" t="s">
        <v>4144</v>
      </c>
      <c r="Q937" s="18" t="s">
        <v>134</v>
      </c>
      <c r="R937" s="18" t="s">
        <v>4145</v>
      </c>
      <c r="S937" s="18" t="s">
        <v>125</v>
      </c>
      <c r="T937" s="18" t="s">
        <v>4146</v>
      </c>
      <c r="U937" s="18"/>
      <c r="V937" s="19" t="s">
        <v>29</v>
      </c>
      <c r="W937" s="19"/>
      <c r="X937" s="19"/>
      <c r="Y937" s="20"/>
      <c r="Z937" s="19"/>
      <c r="AA937" s="18" t="str">
        <f aca="false">IF(OR(V937="Aprobada"),R937,IF(AND(OR(V937="Aprobada con ajuste",V937="Rechazada"),W937&lt;&gt;""),W937,""))</f>
        <v/>
      </c>
    </row>
    <row r="938" customFormat="false" ht="32.8" hidden="false" customHeight="false" outlineLevel="0" collapsed="false">
      <c r="A938" s="18" t="s">
        <v>4147</v>
      </c>
      <c r="B938" s="18" t="s">
        <v>64</v>
      </c>
      <c r="C938" s="18" t="s">
        <v>65</v>
      </c>
      <c r="D938" s="18" t="s">
        <v>4148</v>
      </c>
      <c r="E938" s="18" t="n">
        <v>0</v>
      </c>
      <c r="F938" s="18" t="s">
        <v>2954</v>
      </c>
      <c r="G938" s="18" t="s">
        <v>934</v>
      </c>
      <c r="H938" s="18" t="s">
        <v>117</v>
      </c>
      <c r="I938" s="18"/>
      <c r="J938" s="18"/>
      <c r="K938" s="18"/>
      <c r="L938" s="18" t="s">
        <v>109</v>
      </c>
      <c r="M938" s="18" t="s">
        <v>109</v>
      </c>
      <c r="N938" s="18"/>
      <c r="O938" s="18"/>
      <c r="P938" s="18" t="s">
        <v>4149</v>
      </c>
      <c r="Q938" s="18" t="s">
        <v>110</v>
      </c>
      <c r="R938" s="18" t="s">
        <v>2956</v>
      </c>
      <c r="S938" s="18" t="s">
        <v>112</v>
      </c>
      <c r="T938" s="18" t="s">
        <v>113</v>
      </c>
      <c r="U938" s="18"/>
      <c r="V938" s="19" t="s">
        <v>29</v>
      </c>
      <c r="W938" s="19"/>
      <c r="X938" s="19"/>
      <c r="Y938" s="20"/>
      <c r="Z938" s="19"/>
      <c r="AA938" s="18" t="str">
        <f aca="false">IF(OR(V938="Aprobada"),R938,IF(AND(OR(V938="Aprobada con ajuste",V938="Rechazada"),W938&lt;&gt;""),W938,""))</f>
        <v/>
      </c>
    </row>
    <row r="939" customFormat="false" ht="32.8" hidden="false" customHeight="false" outlineLevel="0" collapsed="false">
      <c r="A939" s="18" t="s">
        <v>4150</v>
      </c>
      <c r="B939" s="18" t="s">
        <v>64</v>
      </c>
      <c r="C939" s="18" t="s">
        <v>65</v>
      </c>
      <c r="D939" s="18" t="s">
        <v>4148</v>
      </c>
      <c r="E939" s="18" t="n">
        <v>0</v>
      </c>
      <c r="F939" s="18" t="s">
        <v>3869</v>
      </c>
      <c r="G939" s="18" t="s">
        <v>324</v>
      </c>
      <c r="H939" s="18" t="s">
        <v>117</v>
      </c>
      <c r="I939" s="18"/>
      <c r="J939" s="18"/>
      <c r="K939" s="18"/>
      <c r="L939" s="18" t="s">
        <v>109</v>
      </c>
      <c r="M939" s="18" t="s">
        <v>109</v>
      </c>
      <c r="N939" s="18"/>
      <c r="O939" s="18"/>
      <c r="P939" s="18" t="s">
        <v>4151</v>
      </c>
      <c r="Q939" s="18" t="s">
        <v>110</v>
      </c>
      <c r="R939" s="18" t="s">
        <v>3871</v>
      </c>
      <c r="S939" s="18" t="s">
        <v>112</v>
      </c>
      <c r="T939" s="18" t="s">
        <v>113</v>
      </c>
      <c r="U939" s="18"/>
      <c r="V939" s="19" t="s">
        <v>29</v>
      </c>
      <c r="W939" s="19"/>
      <c r="X939" s="19"/>
      <c r="Y939" s="20"/>
      <c r="Z939" s="19"/>
      <c r="AA939" s="18" t="str">
        <f aca="false">IF(OR(V939="Aprobada"),R939,IF(AND(OR(V939="Aprobada con ajuste",V939="Rechazada"),W939&lt;&gt;""),W939,""))</f>
        <v/>
      </c>
    </row>
    <row r="940" customFormat="false" ht="32.8" hidden="false" customHeight="false" outlineLevel="0" collapsed="false">
      <c r="A940" s="18" t="s">
        <v>4152</v>
      </c>
      <c r="B940" s="18" t="s">
        <v>64</v>
      </c>
      <c r="C940" s="18" t="s">
        <v>65</v>
      </c>
      <c r="D940" s="18" t="s">
        <v>4148</v>
      </c>
      <c r="E940" s="18" t="n">
        <v>0</v>
      </c>
      <c r="F940" s="18" t="s">
        <v>2950</v>
      </c>
      <c r="G940" s="18" t="s">
        <v>934</v>
      </c>
      <c r="H940" s="18" t="s">
        <v>117</v>
      </c>
      <c r="I940" s="18"/>
      <c r="J940" s="18"/>
      <c r="K940" s="18"/>
      <c r="L940" s="18" t="s">
        <v>109</v>
      </c>
      <c r="M940" s="18" t="s">
        <v>109</v>
      </c>
      <c r="N940" s="18"/>
      <c r="O940" s="18"/>
      <c r="P940" s="18" t="s">
        <v>4153</v>
      </c>
      <c r="Q940" s="18" t="s">
        <v>134</v>
      </c>
      <c r="R940" s="18" t="s">
        <v>4154</v>
      </c>
      <c r="S940" s="18" t="s">
        <v>112</v>
      </c>
      <c r="T940" s="18" t="s">
        <v>983</v>
      </c>
      <c r="U940" s="18" t="s">
        <v>4155</v>
      </c>
      <c r="V940" s="19" t="s">
        <v>29</v>
      </c>
      <c r="W940" s="19"/>
      <c r="X940" s="19"/>
      <c r="Y940" s="20"/>
      <c r="Z940" s="19"/>
      <c r="AA940" s="18" t="str">
        <f aca="false">IF(OR(V940="Aprobada"),R940,IF(AND(OR(V940="Aprobada con ajuste",V940="Rechazada"),W940&lt;&gt;""),W940,""))</f>
        <v/>
      </c>
    </row>
    <row r="941" customFormat="false" ht="43.25" hidden="false" customHeight="false" outlineLevel="0" collapsed="false">
      <c r="A941" s="18" t="s">
        <v>4156</v>
      </c>
      <c r="B941" s="18" t="s">
        <v>64</v>
      </c>
      <c r="C941" s="18" t="s">
        <v>65</v>
      </c>
      <c r="D941" s="18" t="s">
        <v>4157</v>
      </c>
      <c r="E941" s="18" t="n">
        <v>4</v>
      </c>
      <c r="F941" s="18" t="s">
        <v>4158</v>
      </c>
      <c r="G941" s="18" t="s">
        <v>151</v>
      </c>
      <c r="H941" s="18" t="s">
        <v>109</v>
      </c>
      <c r="I941" s="18" t="s">
        <v>409</v>
      </c>
      <c r="J941" s="18"/>
      <c r="K941" s="18"/>
      <c r="L941" s="18" t="s">
        <v>109</v>
      </c>
      <c r="M941" s="18" t="s">
        <v>109</v>
      </c>
      <c r="N941" s="18"/>
      <c r="O941" s="18" t="s">
        <v>4159</v>
      </c>
      <c r="P941" s="18" t="s">
        <v>4160</v>
      </c>
      <c r="Q941" s="18" t="s">
        <v>134</v>
      </c>
      <c r="R941" s="18" t="s">
        <v>4161</v>
      </c>
      <c r="S941" s="18" t="s">
        <v>125</v>
      </c>
      <c r="T941" s="18" t="s">
        <v>4162</v>
      </c>
      <c r="U941" s="18"/>
      <c r="V941" s="19" t="s">
        <v>29</v>
      </c>
      <c r="W941" s="19"/>
      <c r="X941" s="19"/>
      <c r="Y941" s="20"/>
      <c r="Z941" s="19"/>
      <c r="AA941" s="18" t="str">
        <f aca="false">IF(OR(V941="Aprobada"),R941,IF(AND(OR(V941="Aprobada con ajuste",V941="Rechazada"),W941&lt;&gt;""),W941,""))</f>
        <v/>
      </c>
    </row>
    <row r="942" customFormat="false" ht="43.25" hidden="false" customHeight="false" outlineLevel="0" collapsed="false">
      <c r="A942" s="18" t="s">
        <v>4163</v>
      </c>
      <c r="B942" s="18" t="s">
        <v>64</v>
      </c>
      <c r="C942" s="18" t="s">
        <v>65</v>
      </c>
      <c r="D942" s="18" t="s">
        <v>4157</v>
      </c>
      <c r="E942" s="18" t="n">
        <v>4</v>
      </c>
      <c r="F942" s="18" t="s">
        <v>4164</v>
      </c>
      <c r="G942" s="18" t="s">
        <v>414</v>
      </c>
      <c r="H942" s="18" t="s">
        <v>109</v>
      </c>
      <c r="I942" s="18"/>
      <c r="J942" s="18"/>
      <c r="K942" s="18"/>
      <c r="L942" s="18" t="s">
        <v>109</v>
      </c>
      <c r="M942" s="18" t="s">
        <v>109</v>
      </c>
      <c r="N942" s="18"/>
      <c r="O942" s="18"/>
      <c r="P942" s="18" t="s">
        <v>4165</v>
      </c>
      <c r="Q942" s="18" t="s">
        <v>134</v>
      </c>
      <c r="R942" s="18" t="s">
        <v>4166</v>
      </c>
      <c r="S942" s="18" t="s">
        <v>125</v>
      </c>
      <c r="T942" s="18" t="s">
        <v>129</v>
      </c>
      <c r="U942" s="18"/>
      <c r="V942" s="19" t="s">
        <v>29</v>
      </c>
      <c r="W942" s="19"/>
      <c r="X942" s="19"/>
      <c r="Y942" s="20"/>
      <c r="Z942" s="19"/>
      <c r="AA942" s="18" t="str">
        <f aca="false">IF(OR(V942="Aprobada"),R942,IF(AND(OR(V942="Aprobada con ajuste",V942="Rechazada"),W942&lt;&gt;""),W942,""))</f>
        <v/>
      </c>
    </row>
    <row r="943" customFormat="false" ht="43.25" hidden="false" customHeight="false" outlineLevel="0" collapsed="false">
      <c r="A943" s="18" t="s">
        <v>4167</v>
      </c>
      <c r="B943" s="18" t="s">
        <v>64</v>
      </c>
      <c r="C943" s="18" t="s">
        <v>65</v>
      </c>
      <c r="D943" s="18" t="s">
        <v>4157</v>
      </c>
      <c r="E943" s="18" t="n">
        <v>4</v>
      </c>
      <c r="F943" s="18" t="s">
        <v>4168</v>
      </c>
      <c r="G943" s="18" t="s">
        <v>414</v>
      </c>
      <c r="H943" s="18" t="s">
        <v>117</v>
      </c>
      <c r="I943" s="18"/>
      <c r="J943" s="18"/>
      <c r="K943" s="18"/>
      <c r="L943" s="18" t="s">
        <v>109</v>
      </c>
      <c r="M943" s="18" t="s">
        <v>109</v>
      </c>
      <c r="N943" s="18"/>
      <c r="O943" s="18"/>
      <c r="P943" s="18" t="s">
        <v>4169</v>
      </c>
      <c r="Q943" s="18" t="s">
        <v>134</v>
      </c>
      <c r="R943" s="18" t="s">
        <v>4170</v>
      </c>
      <c r="S943" s="18" t="s">
        <v>125</v>
      </c>
      <c r="T943" s="18" t="s">
        <v>129</v>
      </c>
      <c r="U943" s="18"/>
      <c r="V943" s="19" t="s">
        <v>29</v>
      </c>
      <c r="W943" s="19"/>
      <c r="X943" s="19"/>
      <c r="Y943" s="20"/>
      <c r="Z943" s="19"/>
      <c r="AA943" s="18" t="str">
        <f aca="false">IF(OR(V943="Aprobada"),R943,IF(AND(OR(V943="Aprobada con ajuste",V943="Rechazada"),W943&lt;&gt;""),W943,""))</f>
        <v/>
      </c>
    </row>
    <row r="944" customFormat="false" ht="43.25" hidden="false" customHeight="false" outlineLevel="0" collapsed="false">
      <c r="A944" s="18" t="s">
        <v>4171</v>
      </c>
      <c r="B944" s="18" t="s">
        <v>64</v>
      </c>
      <c r="C944" s="18" t="s">
        <v>65</v>
      </c>
      <c r="D944" s="18" t="s">
        <v>4157</v>
      </c>
      <c r="E944" s="18" t="n">
        <v>4</v>
      </c>
      <c r="F944" s="18" t="s">
        <v>4172</v>
      </c>
      <c r="G944" s="18" t="s">
        <v>414</v>
      </c>
      <c r="H944" s="18" t="s">
        <v>109</v>
      </c>
      <c r="I944" s="18"/>
      <c r="J944" s="18"/>
      <c r="K944" s="18"/>
      <c r="L944" s="18" t="s">
        <v>109</v>
      </c>
      <c r="M944" s="18" t="s">
        <v>109</v>
      </c>
      <c r="N944" s="18"/>
      <c r="O944" s="18"/>
      <c r="P944" s="18" t="s">
        <v>4173</v>
      </c>
      <c r="Q944" s="18" t="s">
        <v>134</v>
      </c>
      <c r="R944" s="18" t="s">
        <v>4174</v>
      </c>
      <c r="S944" s="18" t="s">
        <v>125</v>
      </c>
      <c r="T944" s="18" t="s">
        <v>129</v>
      </c>
      <c r="U944" s="18"/>
      <c r="V944" s="19" t="s">
        <v>29</v>
      </c>
      <c r="W944" s="19"/>
      <c r="X944" s="19"/>
      <c r="Y944" s="20"/>
      <c r="Z944" s="19"/>
      <c r="AA944" s="18" t="str">
        <f aca="false">IF(OR(V944="Aprobada"),R944,IF(AND(OR(V944="Aprobada con ajuste",V944="Rechazada"),W944&lt;&gt;""),W944,""))</f>
        <v/>
      </c>
    </row>
    <row r="945" customFormat="false" ht="43.25" hidden="false" customHeight="false" outlineLevel="0" collapsed="false">
      <c r="A945" s="18" t="s">
        <v>4175</v>
      </c>
      <c r="B945" s="18" t="s">
        <v>64</v>
      </c>
      <c r="C945" s="18" t="s">
        <v>65</v>
      </c>
      <c r="D945" s="18" t="s">
        <v>4157</v>
      </c>
      <c r="E945" s="18" t="n">
        <v>4</v>
      </c>
      <c r="F945" s="18" t="s">
        <v>4176</v>
      </c>
      <c r="G945" s="18" t="s">
        <v>414</v>
      </c>
      <c r="H945" s="18" t="s">
        <v>117</v>
      </c>
      <c r="I945" s="18"/>
      <c r="J945" s="18"/>
      <c r="K945" s="18"/>
      <c r="L945" s="18" t="s">
        <v>109</v>
      </c>
      <c r="M945" s="18" t="s">
        <v>109</v>
      </c>
      <c r="N945" s="18"/>
      <c r="O945" s="18"/>
      <c r="P945" s="18" t="s">
        <v>4177</v>
      </c>
      <c r="Q945" s="18" t="s">
        <v>134</v>
      </c>
      <c r="R945" s="18" t="s">
        <v>4178</v>
      </c>
      <c r="S945" s="18" t="s">
        <v>125</v>
      </c>
      <c r="T945" s="18" t="s">
        <v>129</v>
      </c>
      <c r="U945" s="18"/>
      <c r="V945" s="19" t="s">
        <v>29</v>
      </c>
      <c r="W945" s="19"/>
      <c r="X945" s="19"/>
      <c r="Y945" s="20"/>
      <c r="Z945" s="19"/>
      <c r="AA945" s="18" t="str">
        <f aca="false">IF(OR(V945="Aprobada"),R945,IF(AND(OR(V945="Aprobada con ajuste",V945="Rechazada"),W945&lt;&gt;""),W945,""))</f>
        <v/>
      </c>
    </row>
    <row r="946" customFormat="false" ht="43.25" hidden="false" customHeight="false" outlineLevel="0" collapsed="false">
      <c r="A946" s="18" t="s">
        <v>4179</v>
      </c>
      <c r="B946" s="18" t="s">
        <v>64</v>
      </c>
      <c r="C946" s="18" t="s">
        <v>65</v>
      </c>
      <c r="D946" s="18" t="s">
        <v>4157</v>
      </c>
      <c r="E946" s="18" t="n">
        <v>4</v>
      </c>
      <c r="F946" s="18" t="s">
        <v>2954</v>
      </c>
      <c r="G946" s="18" t="s">
        <v>486</v>
      </c>
      <c r="H946" s="18" t="s">
        <v>109</v>
      </c>
      <c r="I946" s="18"/>
      <c r="J946" s="18"/>
      <c r="K946" s="18"/>
      <c r="L946" s="18" t="s">
        <v>109</v>
      </c>
      <c r="M946" s="18" t="s">
        <v>109</v>
      </c>
      <c r="N946" s="18"/>
      <c r="O946" s="18"/>
      <c r="P946" s="18" t="s">
        <v>4180</v>
      </c>
      <c r="Q946" s="18" t="s">
        <v>110</v>
      </c>
      <c r="R946" s="18" t="s">
        <v>2956</v>
      </c>
      <c r="S946" s="18" t="s">
        <v>112</v>
      </c>
      <c r="T946" s="18" t="s">
        <v>113</v>
      </c>
      <c r="U946" s="18"/>
      <c r="V946" s="19" t="s">
        <v>29</v>
      </c>
      <c r="W946" s="19"/>
      <c r="X946" s="19"/>
      <c r="Y946" s="20"/>
      <c r="Z946" s="19"/>
      <c r="AA946" s="18" t="str">
        <f aca="false">IF(OR(V946="Aprobada"),R946,IF(AND(OR(V946="Aprobada con ajuste",V946="Rechazada"),W946&lt;&gt;""),W946,""))</f>
        <v/>
      </c>
    </row>
    <row r="947" customFormat="false" ht="43.25" hidden="false" customHeight="false" outlineLevel="0" collapsed="false">
      <c r="A947" s="18" t="s">
        <v>4181</v>
      </c>
      <c r="B947" s="18" t="s">
        <v>64</v>
      </c>
      <c r="C947" s="18" t="s">
        <v>65</v>
      </c>
      <c r="D947" s="18" t="s">
        <v>4157</v>
      </c>
      <c r="E947" s="18" t="n">
        <v>4</v>
      </c>
      <c r="F947" s="18" t="s">
        <v>4182</v>
      </c>
      <c r="G947" s="18" t="s">
        <v>486</v>
      </c>
      <c r="H947" s="18" t="s">
        <v>109</v>
      </c>
      <c r="I947" s="18"/>
      <c r="J947" s="18"/>
      <c r="K947" s="18"/>
      <c r="L947" s="18" t="s">
        <v>109</v>
      </c>
      <c r="M947" s="18" t="s">
        <v>109</v>
      </c>
      <c r="N947" s="18"/>
      <c r="O947" s="18"/>
      <c r="P947" s="18" t="s">
        <v>4183</v>
      </c>
      <c r="Q947" s="18" t="s">
        <v>134</v>
      </c>
      <c r="R947" s="18" t="s">
        <v>4184</v>
      </c>
      <c r="S947" s="18" t="s">
        <v>112</v>
      </c>
      <c r="T947" s="18" t="s">
        <v>4185</v>
      </c>
      <c r="U947" s="18" t="s">
        <v>4186</v>
      </c>
      <c r="V947" s="19" t="s">
        <v>29</v>
      </c>
      <c r="W947" s="19"/>
      <c r="X947" s="19"/>
      <c r="Y947" s="20"/>
      <c r="Z947" s="19"/>
      <c r="AA947" s="18" t="str">
        <f aca="false">IF(OR(V947="Aprobada"),R947,IF(AND(OR(V947="Aprobada con ajuste",V947="Rechazada"),W947&lt;&gt;""),W947,""))</f>
        <v/>
      </c>
    </row>
    <row r="948" customFormat="false" ht="64.15" hidden="false" customHeight="false" outlineLevel="0" collapsed="false">
      <c r="A948" s="18" t="s">
        <v>4187</v>
      </c>
      <c r="B948" s="18" t="s">
        <v>64</v>
      </c>
      <c r="C948" s="18" t="s">
        <v>65</v>
      </c>
      <c r="D948" s="18" t="s">
        <v>4157</v>
      </c>
      <c r="E948" s="18" t="n">
        <v>4</v>
      </c>
      <c r="F948" s="18" t="s">
        <v>4188</v>
      </c>
      <c r="G948" s="18" t="s">
        <v>324</v>
      </c>
      <c r="H948" s="18" t="s">
        <v>109</v>
      </c>
      <c r="I948" s="18" t="s">
        <v>140</v>
      </c>
      <c r="J948" s="18" t="s">
        <v>4189</v>
      </c>
      <c r="K948" s="18"/>
      <c r="L948" s="18" t="s">
        <v>117</v>
      </c>
      <c r="M948" s="18" t="s">
        <v>109</v>
      </c>
      <c r="N948" s="18"/>
      <c r="O948" s="18"/>
      <c r="P948" s="18" t="s">
        <v>4190</v>
      </c>
      <c r="Q948" s="18" t="s">
        <v>134</v>
      </c>
      <c r="R948" s="18" t="s">
        <v>4191</v>
      </c>
      <c r="S948" s="18" t="s">
        <v>125</v>
      </c>
      <c r="T948" s="18" t="s">
        <v>4121</v>
      </c>
      <c r="U948" s="18"/>
      <c r="V948" s="19" t="s">
        <v>29</v>
      </c>
      <c r="W948" s="19"/>
      <c r="X948" s="19"/>
      <c r="Y948" s="20"/>
      <c r="Z948" s="19"/>
      <c r="AA948" s="18" t="str">
        <f aca="false">IF(OR(V948="Aprobada"),R948,IF(AND(OR(V948="Aprobada con ajuste",V948="Rechazada"),W948&lt;&gt;""),W948,""))</f>
        <v/>
      </c>
    </row>
    <row r="949" customFormat="false" ht="43.25" hidden="false" customHeight="false" outlineLevel="0" collapsed="false">
      <c r="A949" s="18" t="s">
        <v>4192</v>
      </c>
      <c r="B949" s="18" t="s">
        <v>64</v>
      </c>
      <c r="C949" s="18" t="s">
        <v>65</v>
      </c>
      <c r="D949" s="18" t="s">
        <v>4157</v>
      </c>
      <c r="E949" s="18" t="n">
        <v>4</v>
      </c>
      <c r="F949" s="18" t="s">
        <v>4193</v>
      </c>
      <c r="G949" s="18" t="s">
        <v>324</v>
      </c>
      <c r="H949" s="18" t="s">
        <v>109</v>
      </c>
      <c r="I949" s="18" t="s">
        <v>140</v>
      </c>
      <c r="J949" s="18" t="s">
        <v>4194</v>
      </c>
      <c r="K949" s="18"/>
      <c r="L949" s="18" t="s">
        <v>117</v>
      </c>
      <c r="M949" s="18" t="s">
        <v>109</v>
      </c>
      <c r="N949" s="18"/>
      <c r="O949" s="18"/>
      <c r="P949" s="18" t="s">
        <v>4195</v>
      </c>
      <c r="Q949" s="18" t="s">
        <v>134</v>
      </c>
      <c r="R949" s="18" t="s">
        <v>4196</v>
      </c>
      <c r="S949" s="18" t="s">
        <v>112</v>
      </c>
      <c r="T949" s="18" t="s">
        <v>4197</v>
      </c>
      <c r="U949" s="18" t="s">
        <v>4198</v>
      </c>
      <c r="V949" s="19" t="s">
        <v>29</v>
      </c>
      <c r="W949" s="19"/>
      <c r="X949" s="19"/>
      <c r="Y949" s="20"/>
      <c r="Z949" s="19"/>
      <c r="AA949" s="18" t="str">
        <f aca="false">IF(OR(V949="Aprobada"),R949,IF(AND(OR(V949="Aprobada con ajuste",V949="Rechazada"),W949&lt;&gt;""),W949,""))</f>
        <v/>
      </c>
    </row>
    <row r="950" customFormat="false" ht="43.25" hidden="false" customHeight="false" outlineLevel="0" collapsed="false">
      <c r="A950" s="18" t="s">
        <v>4199</v>
      </c>
      <c r="B950" s="18" t="s">
        <v>64</v>
      </c>
      <c r="C950" s="18" t="s">
        <v>65</v>
      </c>
      <c r="D950" s="18" t="s">
        <v>4157</v>
      </c>
      <c r="E950" s="18" t="n">
        <v>4</v>
      </c>
      <c r="F950" s="18" t="s">
        <v>4200</v>
      </c>
      <c r="G950" s="18" t="s">
        <v>145</v>
      </c>
      <c r="H950" s="18" t="s">
        <v>109</v>
      </c>
      <c r="I950" s="18"/>
      <c r="J950" s="18"/>
      <c r="K950" s="18"/>
      <c r="L950" s="18" t="s">
        <v>109</v>
      </c>
      <c r="M950" s="18" t="s">
        <v>109</v>
      </c>
      <c r="N950" s="18"/>
      <c r="O950" s="18"/>
      <c r="P950" s="18" t="s">
        <v>4201</v>
      </c>
      <c r="Q950" s="18" t="s">
        <v>110</v>
      </c>
      <c r="R950" s="18" t="s">
        <v>4202</v>
      </c>
      <c r="S950" s="18" t="s">
        <v>112</v>
      </c>
      <c r="T950" s="18" t="s">
        <v>113</v>
      </c>
      <c r="U950" s="18"/>
      <c r="V950" s="19" t="s">
        <v>29</v>
      </c>
      <c r="W950" s="19"/>
      <c r="X950" s="19"/>
      <c r="Y950" s="20"/>
      <c r="Z950" s="19"/>
      <c r="AA950" s="18" t="str">
        <f aca="false">IF(OR(V950="Aprobada"),R950,IF(AND(OR(V950="Aprobada con ajuste",V950="Rechazada"),W950&lt;&gt;""),W950,""))</f>
        <v/>
      </c>
    </row>
    <row r="951" customFormat="false" ht="32.8" hidden="false" customHeight="false" outlineLevel="0" collapsed="false">
      <c r="A951" s="18" t="s">
        <v>4203</v>
      </c>
      <c r="B951" s="18" t="s">
        <v>64</v>
      </c>
      <c r="C951" s="18" t="s">
        <v>65</v>
      </c>
      <c r="D951" s="18" t="s">
        <v>4157</v>
      </c>
      <c r="E951" s="18" t="n">
        <v>4</v>
      </c>
      <c r="F951" s="18" t="s">
        <v>4204</v>
      </c>
      <c r="G951" s="18" t="s">
        <v>735</v>
      </c>
      <c r="H951" s="18" t="s">
        <v>117</v>
      </c>
      <c r="I951" s="18"/>
      <c r="J951" s="18"/>
      <c r="K951" s="18"/>
      <c r="L951" s="18" t="s">
        <v>109</v>
      </c>
      <c r="M951" s="18" t="s">
        <v>109</v>
      </c>
      <c r="N951" s="18"/>
      <c r="O951" s="18"/>
      <c r="P951" s="18" t="s">
        <v>4205</v>
      </c>
      <c r="Q951" s="18" t="s">
        <v>110</v>
      </c>
      <c r="R951" s="18" t="s">
        <v>4206</v>
      </c>
      <c r="S951" s="18" t="s">
        <v>112</v>
      </c>
      <c r="T951" s="18" t="s">
        <v>113</v>
      </c>
      <c r="U951" s="18"/>
      <c r="V951" s="19" t="s">
        <v>29</v>
      </c>
      <c r="W951" s="19"/>
      <c r="X951" s="19"/>
      <c r="Y951" s="20"/>
      <c r="Z951" s="19"/>
      <c r="AA951" s="18" t="str">
        <f aca="false">IF(OR(V951="Aprobada"),R951,IF(AND(OR(V951="Aprobada con ajuste",V951="Rechazada"),W951&lt;&gt;""),W951,""))</f>
        <v/>
      </c>
    </row>
    <row r="952" customFormat="false" ht="43.25" hidden="false" customHeight="false" outlineLevel="0" collapsed="false">
      <c r="A952" s="18" t="s">
        <v>4207</v>
      </c>
      <c r="B952" s="18" t="s">
        <v>64</v>
      </c>
      <c r="C952" s="18" t="s">
        <v>65</v>
      </c>
      <c r="D952" s="18" t="s">
        <v>4157</v>
      </c>
      <c r="E952" s="18" t="n">
        <v>4</v>
      </c>
      <c r="F952" s="18" t="s">
        <v>4208</v>
      </c>
      <c r="G952" s="18" t="s">
        <v>4209</v>
      </c>
      <c r="H952" s="18" t="s">
        <v>117</v>
      </c>
      <c r="I952" s="18"/>
      <c r="J952" s="18"/>
      <c r="K952" s="18"/>
      <c r="L952" s="18" t="s">
        <v>109</v>
      </c>
      <c r="M952" s="18" t="s">
        <v>109</v>
      </c>
      <c r="N952" s="18"/>
      <c r="O952" s="18"/>
      <c r="P952" s="18" t="s">
        <v>4210</v>
      </c>
      <c r="Q952" s="18" t="s">
        <v>134</v>
      </c>
      <c r="R952" s="18" t="s">
        <v>4211</v>
      </c>
      <c r="S952" s="18" t="s">
        <v>125</v>
      </c>
      <c r="T952" s="18" t="s">
        <v>4212</v>
      </c>
      <c r="U952" s="18"/>
      <c r="V952" s="19" t="s">
        <v>29</v>
      </c>
      <c r="W952" s="19"/>
      <c r="X952" s="19"/>
      <c r="Y952" s="20"/>
      <c r="Z952" s="19"/>
      <c r="AA952" s="18" t="str">
        <f aca="false">IF(OR(V952="Aprobada"),R952,IF(AND(OR(V952="Aprobada con ajuste",V952="Rechazada"),W952&lt;&gt;""),W952,""))</f>
        <v/>
      </c>
    </row>
    <row r="953" customFormat="false" ht="43.25" hidden="false" customHeight="false" outlineLevel="0" collapsed="false">
      <c r="A953" s="18" t="s">
        <v>4213</v>
      </c>
      <c r="B953" s="18" t="s">
        <v>64</v>
      </c>
      <c r="C953" s="18" t="s">
        <v>65</v>
      </c>
      <c r="D953" s="18" t="s">
        <v>4214</v>
      </c>
      <c r="E953" s="18" t="n">
        <v>19</v>
      </c>
      <c r="F953" s="18" t="s">
        <v>4215</v>
      </c>
      <c r="G953" s="18" t="s">
        <v>414</v>
      </c>
      <c r="H953" s="18" t="s">
        <v>109</v>
      </c>
      <c r="I953" s="18" t="s">
        <v>409</v>
      </c>
      <c r="J953" s="18"/>
      <c r="K953" s="18"/>
      <c r="L953" s="18" t="s">
        <v>117</v>
      </c>
      <c r="M953" s="18" t="s">
        <v>109</v>
      </c>
      <c r="N953" s="18"/>
      <c r="O953" s="18" t="s">
        <v>4216</v>
      </c>
      <c r="P953" s="18" t="s">
        <v>4217</v>
      </c>
      <c r="Q953" s="18" t="s">
        <v>134</v>
      </c>
      <c r="R953" s="18" t="s">
        <v>4218</v>
      </c>
      <c r="S953" s="18" t="s">
        <v>125</v>
      </c>
      <c r="T953" s="18" t="s">
        <v>4219</v>
      </c>
      <c r="U953" s="18"/>
      <c r="V953" s="19" t="s">
        <v>29</v>
      </c>
      <c r="W953" s="19"/>
      <c r="X953" s="19"/>
      <c r="Y953" s="20"/>
      <c r="Z953" s="19"/>
      <c r="AA953" s="18" t="str">
        <f aca="false">IF(OR(V953="Aprobada"),R953,IF(AND(OR(V953="Aprobada con ajuste",V953="Rechazada"),W953&lt;&gt;""),W953,""))</f>
        <v/>
      </c>
    </row>
    <row r="954" customFormat="false" ht="32.8" hidden="false" customHeight="false" outlineLevel="0" collapsed="false">
      <c r="A954" s="18" t="s">
        <v>4220</v>
      </c>
      <c r="B954" s="18" t="s">
        <v>64</v>
      </c>
      <c r="C954" s="18" t="s">
        <v>65</v>
      </c>
      <c r="D954" s="18" t="s">
        <v>4214</v>
      </c>
      <c r="E954" s="18" t="n">
        <v>19</v>
      </c>
      <c r="F954" s="18" t="s">
        <v>1801</v>
      </c>
      <c r="G954" s="18" t="s">
        <v>459</v>
      </c>
      <c r="H954" s="18" t="s">
        <v>109</v>
      </c>
      <c r="I954" s="18"/>
      <c r="J954" s="18"/>
      <c r="K954" s="18"/>
      <c r="L954" s="18" t="s">
        <v>117</v>
      </c>
      <c r="M954" s="18" t="s">
        <v>109</v>
      </c>
      <c r="N954" s="18"/>
      <c r="O954" s="18"/>
      <c r="P954" s="18" t="s">
        <v>4221</v>
      </c>
      <c r="Q954" s="18" t="s">
        <v>134</v>
      </c>
      <c r="R954" s="18" t="s">
        <v>4222</v>
      </c>
      <c r="S954" s="18" t="s">
        <v>125</v>
      </c>
      <c r="T954" s="18" t="s">
        <v>4223</v>
      </c>
      <c r="U954" s="18"/>
      <c r="V954" s="19" t="s">
        <v>29</v>
      </c>
      <c r="W954" s="19"/>
      <c r="X954" s="19"/>
      <c r="Y954" s="20"/>
      <c r="Z954" s="19"/>
      <c r="AA954" s="18" t="str">
        <f aca="false">IF(OR(V954="Aprobada"),R954,IF(AND(OR(V954="Aprobada con ajuste",V954="Rechazada"),W954&lt;&gt;""),W954,""))</f>
        <v/>
      </c>
    </row>
    <row r="955" customFormat="false" ht="22.35" hidden="false" customHeight="false" outlineLevel="0" collapsed="false">
      <c r="A955" s="18" t="s">
        <v>4224</v>
      </c>
      <c r="B955" s="18" t="s">
        <v>64</v>
      </c>
      <c r="C955" s="18" t="s">
        <v>65</v>
      </c>
      <c r="D955" s="18" t="s">
        <v>4214</v>
      </c>
      <c r="E955" s="18" t="n">
        <v>19</v>
      </c>
      <c r="F955" s="18" t="s">
        <v>4225</v>
      </c>
      <c r="G955" s="18" t="s">
        <v>324</v>
      </c>
      <c r="H955" s="18" t="s">
        <v>109</v>
      </c>
      <c r="I955" s="18"/>
      <c r="J955" s="18"/>
      <c r="K955" s="18"/>
      <c r="L955" s="18" t="s">
        <v>117</v>
      </c>
      <c r="M955" s="18" t="s">
        <v>109</v>
      </c>
      <c r="N955" s="18"/>
      <c r="O955" s="18"/>
      <c r="P955" s="18" t="s">
        <v>4226</v>
      </c>
      <c r="Q955" s="18" t="s">
        <v>134</v>
      </c>
      <c r="R955" s="18" t="s">
        <v>4227</v>
      </c>
      <c r="S955" s="18" t="s">
        <v>112</v>
      </c>
      <c r="T955" s="18" t="s">
        <v>4223</v>
      </c>
      <c r="U955" s="18" t="s">
        <v>4228</v>
      </c>
      <c r="V955" s="19" t="s">
        <v>29</v>
      </c>
      <c r="W955" s="19"/>
      <c r="X955" s="19"/>
      <c r="Y955" s="20"/>
      <c r="Z955" s="19"/>
      <c r="AA955" s="18" t="str">
        <f aca="false">IF(OR(V955="Aprobada"),R955,IF(AND(OR(V955="Aprobada con ajuste",V955="Rechazada"),W955&lt;&gt;""),W955,""))</f>
        <v/>
      </c>
    </row>
    <row r="956" customFormat="false" ht="32.8" hidden="false" customHeight="false" outlineLevel="0" collapsed="false">
      <c r="A956" s="18" t="s">
        <v>4229</v>
      </c>
      <c r="B956" s="18" t="s">
        <v>64</v>
      </c>
      <c r="C956" s="18" t="s">
        <v>65</v>
      </c>
      <c r="D956" s="18" t="s">
        <v>4214</v>
      </c>
      <c r="E956" s="18" t="n">
        <v>19</v>
      </c>
      <c r="F956" s="18" t="s">
        <v>4230</v>
      </c>
      <c r="G956" s="18" t="s">
        <v>459</v>
      </c>
      <c r="H956" s="18" t="s">
        <v>117</v>
      </c>
      <c r="I956" s="18"/>
      <c r="J956" s="18"/>
      <c r="K956" s="18"/>
      <c r="L956" s="18" t="s">
        <v>117</v>
      </c>
      <c r="M956" s="18" t="s">
        <v>109</v>
      </c>
      <c r="N956" s="18"/>
      <c r="O956" s="18"/>
      <c r="P956" s="18" t="s">
        <v>4231</v>
      </c>
      <c r="Q956" s="18" t="s">
        <v>134</v>
      </c>
      <c r="R956" s="18" t="s">
        <v>4232</v>
      </c>
      <c r="S956" s="18" t="s">
        <v>125</v>
      </c>
      <c r="T956" s="18" t="s">
        <v>4223</v>
      </c>
      <c r="U956" s="18"/>
      <c r="V956" s="19" t="s">
        <v>29</v>
      </c>
      <c r="W956" s="19"/>
      <c r="X956" s="19"/>
      <c r="Y956" s="20"/>
      <c r="Z956" s="19"/>
      <c r="AA956" s="18" t="str">
        <f aca="false">IF(OR(V956="Aprobada"),R956,IF(AND(OR(V956="Aprobada con ajuste",V956="Rechazada"),W956&lt;&gt;""),W956,""))</f>
        <v/>
      </c>
    </row>
    <row r="957" customFormat="false" ht="22.35" hidden="false" customHeight="false" outlineLevel="0" collapsed="false">
      <c r="A957" s="18" t="s">
        <v>4233</v>
      </c>
      <c r="B957" s="18" t="s">
        <v>64</v>
      </c>
      <c r="C957" s="18" t="s">
        <v>65</v>
      </c>
      <c r="D957" s="18" t="s">
        <v>4214</v>
      </c>
      <c r="E957" s="18" t="n">
        <v>19</v>
      </c>
      <c r="F957" s="18" t="s">
        <v>1826</v>
      </c>
      <c r="G957" s="18" t="s">
        <v>212</v>
      </c>
      <c r="H957" s="18" t="s">
        <v>117</v>
      </c>
      <c r="I957" s="18"/>
      <c r="J957" s="18"/>
      <c r="K957" s="18"/>
      <c r="L957" s="18" t="s">
        <v>117</v>
      </c>
      <c r="M957" s="18" t="s">
        <v>109</v>
      </c>
      <c r="N957" s="18"/>
      <c r="O957" s="18"/>
      <c r="P957" s="18" t="s">
        <v>4234</v>
      </c>
      <c r="Q957" s="18" t="s">
        <v>134</v>
      </c>
      <c r="R957" s="18" t="s">
        <v>4235</v>
      </c>
      <c r="S957" s="18" t="s">
        <v>112</v>
      </c>
      <c r="T957" s="18" t="s">
        <v>1012</v>
      </c>
      <c r="U957" s="18" t="s">
        <v>4236</v>
      </c>
      <c r="V957" s="19" t="s">
        <v>29</v>
      </c>
      <c r="W957" s="19"/>
      <c r="X957" s="19"/>
      <c r="Y957" s="20"/>
      <c r="Z957" s="19"/>
      <c r="AA957" s="18" t="str">
        <f aca="false">IF(OR(V957="Aprobada"),R957,IF(AND(OR(V957="Aprobada con ajuste",V957="Rechazada"),W957&lt;&gt;""),W957,""))</f>
        <v/>
      </c>
    </row>
    <row r="958" customFormat="false" ht="22.35" hidden="false" customHeight="false" outlineLevel="0" collapsed="false">
      <c r="A958" s="18" t="s">
        <v>4237</v>
      </c>
      <c r="B958" s="18" t="s">
        <v>64</v>
      </c>
      <c r="C958" s="18" t="s">
        <v>65</v>
      </c>
      <c r="D958" s="18" t="s">
        <v>4214</v>
      </c>
      <c r="E958" s="18" t="n">
        <v>19</v>
      </c>
      <c r="F958" s="18" t="s">
        <v>376</v>
      </c>
      <c r="G958" s="18" t="s">
        <v>324</v>
      </c>
      <c r="H958" s="18" t="s">
        <v>117</v>
      </c>
      <c r="I958" s="18"/>
      <c r="J958" s="18"/>
      <c r="K958" s="18"/>
      <c r="L958" s="18" t="s">
        <v>117</v>
      </c>
      <c r="M958" s="18" t="s">
        <v>109</v>
      </c>
      <c r="N958" s="18"/>
      <c r="O958" s="18" t="s">
        <v>4238</v>
      </c>
      <c r="P958" s="18" t="s">
        <v>4239</v>
      </c>
      <c r="Q958" s="18" t="s">
        <v>134</v>
      </c>
      <c r="R958" s="18" t="s">
        <v>4240</v>
      </c>
      <c r="S958" s="18" t="s">
        <v>112</v>
      </c>
      <c r="T958" s="18" t="s">
        <v>4241</v>
      </c>
      <c r="U958" s="18" t="s">
        <v>4242</v>
      </c>
      <c r="V958" s="19" t="s">
        <v>29</v>
      </c>
      <c r="W958" s="19"/>
      <c r="X958" s="19"/>
      <c r="Y958" s="20"/>
      <c r="Z958" s="19"/>
      <c r="AA958" s="18" t="str">
        <f aca="false">IF(OR(V958="Aprobada"),R958,IF(AND(OR(V958="Aprobada con ajuste",V958="Rechazada"),W958&lt;&gt;""),W958,""))</f>
        <v/>
      </c>
    </row>
    <row r="959" customFormat="false" ht="32.8" hidden="false" customHeight="false" outlineLevel="0" collapsed="false">
      <c r="A959" s="18" t="s">
        <v>4243</v>
      </c>
      <c r="B959" s="18" t="s">
        <v>64</v>
      </c>
      <c r="C959" s="18" t="s">
        <v>65</v>
      </c>
      <c r="D959" s="18" t="s">
        <v>4214</v>
      </c>
      <c r="E959" s="18" t="n">
        <v>19</v>
      </c>
      <c r="F959" s="18" t="s">
        <v>1030</v>
      </c>
      <c r="G959" s="18" t="s">
        <v>139</v>
      </c>
      <c r="H959" s="18" t="s">
        <v>109</v>
      </c>
      <c r="I959" s="18"/>
      <c r="J959" s="18"/>
      <c r="K959" s="18"/>
      <c r="L959" s="18" t="s">
        <v>117</v>
      </c>
      <c r="M959" s="18" t="s">
        <v>109</v>
      </c>
      <c r="N959" s="18"/>
      <c r="O959" s="18" t="s">
        <v>4238</v>
      </c>
      <c r="P959" s="18" t="s">
        <v>4244</v>
      </c>
      <c r="Q959" s="18" t="s">
        <v>110</v>
      </c>
      <c r="R959" s="18" t="s">
        <v>1031</v>
      </c>
      <c r="S959" s="18" t="s">
        <v>112</v>
      </c>
      <c r="T959" s="18" t="s">
        <v>113</v>
      </c>
      <c r="U959" s="18"/>
      <c r="V959" s="19" t="s">
        <v>29</v>
      </c>
      <c r="W959" s="19"/>
      <c r="X959" s="19"/>
      <c r="Y959" s="20"/>
      <c r="Z959" s="19"/>
      <c r="AA959" s="18" t="str">
        <f aca="false">IF(OR(V959="Aprobada"),R959,IF(AND(OR(V959="Aprobada con ajuste",V959="Rechazada"),W959&lt;&gt;""),W959,""))</f>
        <v/>
      </c>
    </row>
    <row r="960" customFormat="false" ht="32.8" hidden="false" customHeight="false" outlineLevel="0" collapsed="false">
      <c r="A960" s="18" t="s">
        <v>4245</v>
      </c>
      <c r="B960" s="18" t="s">
        <v>64</v>
      </c>
      <c r="C960" s="18" t="s">
        <v>65</v>
      </c>
      <c r="D960" s="18" t="s">
        <v>4214</v>
      </c>
      <c r="E960" s="18" t="n">
        <v>19</v>
      </c>
      <c r="F960" s="18" t="s">
        <v>857</v>
      </c>
      <c r="G960" s="18" t="s">
        <v>145</v>
      </c>
      <c r="H960" s="18" t="s">
        <v>109</v>
      </c>
      <c r="I960" s="18"/>
      <c r="J960" s="18"/>
      <c r="K960" s="18"/>
      <c r="L960" s="18" t="s">
        <v>117</v>
      </c>
      <c r="M960" s="18" t="s">
        <v>109</v>
      </c>
      <c r="N960" s="18"/>
      <c r="O960" s="18"/>
      <c r="P960" s="18" t="s">
        <v>4246</v>
      </c>
      <c r="Q960" s="18" t="s">
        <v>110</v>
      </c>
      <c r="R960" s="18" t="s">
        <v>859</v>
      </c>
      <c r="S960" s="18" t="s">
        <v>112</v>
      </c>
      <c r="T960" s="18" t="s">
        <v>113</v>
      </c>
      <c r="U960" s="18"/>
      <c r="V960" s="19" t="s">
        <v>29</v>
      </c>
      <c r="W960" s="19"/>
      <c r="X960" s="19"/>
      <c r="Y960" s="20"/>
      <c r="Z960" s="19"/>
      <c r="AA960" s="18" t="str">
        <f aca="false">IF(OR(V960="Aprobada"),R960,IF(AND(OR(V960="Aprobada con ajuste",V960="Rechazada"),W960&lt;&gt;""),W960,""))</f>
        <v/>
      </c>
    </row>
    <row r="961" customFormat="false" ht="43.25" hidden="false" customHeight="false" outlineLevel="0" collapsed="false">
      <c r="A961" s="18" t="s">
        <v>4247</v>
      </c>
      <c r="B961" s="18" t="s">
        <v>64</v>
      </c>
      <c r="C961" s="18" t="s">
        <v>65</v>
      </c>
      <c r="D961" s="18" t="s">
        <v>4248</v>
      </c>
      <c r="E961" s="18" t="n">
        <v>1</v>
      </c>
      <c r="F961" s="18" t="s">
        <v>408</v>
      </c>
      <c r="G961" s="18" t="s">
        <v>324</v>
      </c>
      <c r="H961" s="18" t="s">
        <v>109</v>
      </c>
      <c r="I961" s="18" t="s">
        <v>409</v>
      </c>
      <c r="J961" s="18"/>
      <c r="K961" s="18"/>
      <c r="L961" s="18" t="s">
        <v>117</v>
      </c>
      <c r="M961" s="18" t="s">
        <v>109</v>
      </c>
      <c r="N961" s="18"/>
      <c r="O961" s="18" t="s">
        <v>4249</v>
      </c>
      <c r="P961" s="18" t="s">
        <v>4250</v>
      </c>
      <c r="Q961" s="18" t="s">
        <v>110</v>
      </c>
      <c r="R961" s="18" t="s">
        <v>4251</v>
      </c>
      <c r="S961" s="18" t="s">
        <v>112</v>
      </c>
      <c r="T961" s="18" t="s">
        <v>113</v>
      </c>
      <c r="U961" s="18"/>
      <c r="V961" s="19" t="s">
        <v>29</v>
      </c>
      <c r="W961" s="19"/>
      <c r="X961" s="19"/>
      <c r="Y961" s="20"/>
      <c r="Z961" s="19"/>
      <c r="AA961" s="18" t="str">
        <f aca="false">IF(OR(V961="Aprobada"),R961,IF(AND(OR(V961="Aprobada con ajuste",V961="Rechazada"),W961&lt;&gt;""),W961,""))</f>
        <v/>
      </c>
    </row>
    <row r="962" customFormat="false" ht="32.8" hidden="false" customHeight="false" outlineLevel="0" collapsed="false">
      <c r="A962" s="18" t="s">
        <v>4252</v>
      </c>
      <c r="B962" s="18" t="s">
        <v>64</v>
      </c>
      <c r="C962" s="18" t="s">
        <v>65</v>
      </c>
      <c r="D962" s="18" t="s">
        <v>4248</v>
      </c>
      <c r="E962" s="18" t="n">
        <v>1</v>
      </c>
      <c r="F962" s="18" t="s">
        <v>129</v>
      </c>
      <c r="G962" s="18" t="s">
        <v>414</v>
      </c>
      <c r="H962" s="18" t="s">
        <v>109</v>
      </c>
      <c r="I962" s="18"/>
      <c r="J962" s="18"/>
      <c r="K962" s="18"/>
      <c r="L962" s="18" t="s">
        <v>117</v>
      </c>
      <c r="M962" s="18" t="s">
        <v>109</v>
      </c>
      <c r="N962" s="18"/>
      <c r="O962" s="18"/>
      <c r="P962" s="18" t="s">
        <v>4253</v>
      </c>
      <c r="Q962" s="18" t="s">
        <v>110</v>
      </c>
      <c r="R962" s="18" t="s">
        <v>4254</v>
      </c>
      <c r="S962" s="18" t="s">
        <v>112</v>
      </c>
      <c r="T962" s="18" t="s">
        <v>113</v>
      </c>
      <c r="U962" s="18"/>
      <c r="V962" s="19" t="s">
        <v>29</v>
      </c>
      <c r="W962" s="19"/>
      <c r="X962" s="19"/>
      <c r="Y962" s="20"/>
      <c r="Z962" s="19"/>
      <c r="AA962" s="18" t="str">
        <f aca="false">IF(OR(V962="Aprobada"),R962,IF(AND(OR(V962="Aprobada con ajuste",V962="Rechazada"),W962&lt;&gt;""),W962,""))</f>
        <v/>
      </c>
    </row>
    <row r="963" customFormat="false" ht="32.8" hidden="false" customHeight="false" outlineLevel="0" collapsed="false">
      <c r="A963" s="18" t="s">
        <v>4255</v>
      </c>
      <c r="B963" s="18" t="s">
        <v>64</v>
      </c>
      <c r="C963" s="18" t="s">
        <v>65</v>
      </c>
      <c r="D963" s="18" t="s">
        <v>4248</v>
      </c>
      <c r="E963" s="18" t="n">
        <v>1</v>
      </c>
      <c r="F963" s="18" t="s">
        <v>343</v>
      </c>
      <c r="G963" s="18" t="s">
        <v>4256</v>
      </c>
      <c r="H963" s="18" t="s">
        <v>109</v>
      </c>
      <c r="I963" s="18"/>
      <c r="J963" s="18"/>
      <c r="K963" s="18"/>
      <c r="L963" s="18" t="s">
        <v>117</v>
      </c>
      <c r="M963" s="18" t="s">
        <v>109</v>
      </c>
      <c r="N963" s="18"/>
      <c r="O963" s="18"/>
      <c r="P963" s="18" t="s">
        <v>4257</v>
      </c>
      <c r="Q963" s="18" t="s">
        <v>134</v>
      </c>
      <c r="R963" s="18" t="s">
        <v>4258</v>
      </c>
      <c r="S963" s="18" t="s">
        <v>125</v>
      </c>
      <c r="T963" s="18" t="s">
        <v>4259</v>
      </c>
      <c r="U963" s="18"/>
      <c r="V963" s="19" t="s">
        <v>29</v>
      </c>
      <c r="W963" s="19"/>
      <c r="X963" s="19"/>
      <c r="Y963" s="20"/>
      <c r="Z963" s="19"/>
      <c r="AA963" s="18" t="str">
        <f aca="false">IF(OR(V963="Aprobada"),R963,IF(AND(OR(V963="Aprobada con ajuste",V963="Rechazada"),W963&lt;&gt;""),W963,""))</f>
        <v/>
      </c>
    </row>
    <row r="964" customFormat="false" ht="22.35" hidden="false" customHeight="false" outlineLevel="0" collapsed="false">
      <c r="A964" s="18" t="s">
        <v>4260</v>
      </c>
      <c r="B964" s="18" t="s">
        <v>64</v>
      </c>
      <c r="C964" s="18" t="s">
        <v>65</v>
      </c>
      <c r="D964" s="18" t="s">
        <v>4248</v>
      </c>
      <c r="E964" s="18" t="n">
        <v>1</v>
      </c>
      <c r="F964" s="18" t="s">
        <v>349</v>
      </c>
      <c r="G964" s="18" t="s">
        <v>4256</v>
      </c>
      <c r="H964" s="18" t="s">
        <v>109</v>
      </c>
      <c r="I964" s="18"/>
      <c r="J964" s="18"/>
      <c r="K964" s="18"/>
      <c r="L964" s="18" t="s">
        <v>117</v>
      </c>
      <c r="M964" s="18" t="s">
        <v>109</v>
      </c>
      <c r="N964" s="18"/>
      <c r="O964" s="18"/>
      <c r="P964" s="18" t="s">
        <v>4261</v>
      </c>
      <c r="Q964" s="18" t="s">
        <v>134</v>
      </c>
      <c r="R964" s="18" t="s">
        <v>4262</v>
      </c>
      <c r="S964" s="18" t="s">
        <v>125</v>
      </c>
      <c r="T964" s="18" t="s">
        <v>4263</v>
      </c>
      <c r="U964" s="18"/>
      <c r="V964" s="19" t="s">
        <v>29</v>
      </c>
      <c r="W964" s="19"/>
      <c r="X964" s="19"/>
      <c r="Y964" s="20"/>
      <c r="Z964" s="19"/>
      <c r="AA964" s="18" t="str">
        <f aca="false">IF(OR(V964="Aprobada"),R964,IF(AND(OR(V964="Aprobada con ajuste",V964="Rechazada"),W964&lt;&gt;""),W964,""))</f>
        <v/>
      </c>
    </row>
    <row r="965" customFormat="false" ht="53.7" hidden="false" customHeight="false" outlineLevel="0" collapsed="false">
      <c r="A965" s="18" t="s">
        <v>4264</v>
      </c>
      <c r="B965" s="18" t="s">
        <v>64</v>
      </c>
      <c r="C965" s="18" t="s">
        <v>65</v>
      </c>
      <c r="D965" s="18" t="s">
        <v>4248</v>
      </c>
      <c r="E965" s="18" t="n">
        <v>1</v>
      </c>
      <c r="F965" s="18" t="s">
        <v>4265</v>
      </c>
      <c r="G965" s="18" t="s">
        <v>212</v>
      </c>
      <c r="H965" s="18" t="s">
        <v>109</v>
      </c>
      <c r="I965" s="18"/>
      <c r="J965" s="18"/>
      <c r="K965" s="18"/>
      <c r="L965" s="18" t="s">
        <v>117</v>
      </c>
      <c r="M965" s="18" t="s">
        <v>109</v>
      </c>
      <c r="N965" s="18"/>
      <c r="O965" s="18"/>
      <c r="P965" s="18" t="s">
        <v>4266</v>
      </c>
      <c r="Q965" s="18" t="s">
        <v>123</v>
      </c>
      <c r="R965" s="18" t="s">
        <v>4267</v>
      </c>
      <c r="S965" s="18" t="s">
        <v>125</v>
      </c>
      <c r="T965" s="18" t="s">
        <v>4268</v>
      </c>
      <c r="U965" s="18"/>
      <c r="V965" s="19" t="s">
        <v>29</v>
      </c>
      <c r="W965" s="19"/>
      <c r="X965" s="19"/>
      <c r="Y965" s="20"/>
      <c r="Z965" s="19"/>
      <c r="AA965" s="18" t="str">
        <f aca="false">IF(OR(V965="Aprobada"),R965,IF(AND(OR(V965="Aprobada con ajuste",V965="Rechazada"),W965&lt;&gt;""),W965,""))</f>
        <v/>
      </c>
    </row>
    <row r="966" customFormat="false" ht="53.7" hidden="false" customHeight="false" outlineLevel="0" collapsed="false">
      <c r="A966" s="18" t="s">
        <v>4269</v>
      </c>
      <c r="B966" s="18" t="s">
        <v>64</v>
      </c>
      <c r="C966" s="18" t="s">
        <v>65</v>
      </c>
      <c r="D966" s="18" t="s">
        <v>4248</v>
      </c>
      <c r="E966" s="18" t="n">
        <v>1</v>
      </c>
      <c r="F966" s="18" t="s">
        <v>4270</v>
      </c>
      <c r="G966" s="18" t="s">
        <v>139</v>
      </c>
      <c r="H966" s="18" t="s">
        <v>109</v>
      </c>
      <c r="I966" s="18"/>
      <c r="J966" s="18"/>
      <c r="K966" s="18"/>
      <c r="L966" s="18" t="s">
        <v>117</v>
      </c>
      <c r="M966" s="18" t="s">
        <v>109</v>
      </c>
      <c r="N966" s="18"/>
      <c r="O966" s="18"/>
      <c r="P966" s="18" t="s">
        <v>4271</v>
      </c>
      <c r="Q966" s="18" t="s">
        <v>123</v>
      </c>
      <c r="R966" s="18" t="s">
        <v>4272</v>
      </c>
      <c r="S966" s="18" t="s">
        <v>125</v>
      </c>
      <c r="T966" s="18" t="s">
        <v>4273</v>
      </c>
      <c r="U966" s="18" t="s">
        <v>4274</v>
      </c>
      <c r="V966" s="19" t="s">
        <v>29</v>
      </c>
      <c r="W966" s="19"/>
      <c r="X966" s="19"/>
      <c r="Y966" s="20"/>
      <c r="Z966" s="19"/>
      <c r="AA966" s="18" t="str">
        <f aca="false">IF(OR(V966="Aprobada"),R966,IF(AND(OR(V966="Aprobada con ajuste",V966="Rechazada"),W966&lt;&gt;""),W966,""))</f>
        <v/>
      </c>
    </row>
    <row r="967" customFormat="false" ht="53.7" hidden="false" customHeight="false" outlineLevel="0" collapsed="false">
      <c r="A967" s="18" t="s">
        <v>4275</v>
      </c>
      <c r="B967" s="18" t="s">
        <v>64</v>
      </c>
      <c r="C967" s="18" t="s">
        <v>65</v>
      </c>
      <c r="D967" s="18" t="s">
        <v>4248</v>
      </c>
      <c r="E967" s="18" t="n">
        <v>1</v>
      </c>
      <c r="F967" s="18" t="s">
        <v>4276</v>
      </c>
      <c r="G967" s="18" t="s">
        <v>139</v>
      </c>
      <c r="H967" s="18" t="s">
        <v>109</v>
      </c>
      <c r="I967" s="18"/>
      <c r="J967" s="18"/>
      <c r="K967" s="18"/>
      <c r="L967" s="18" t="s">
        <v>117</v>
      </c>
      <c r="M967" s="18" t="s">
        <v>109</v>
      </c>
      <c r="N967" s="18"/>
      <c r="O967" s="18"/>
      <c r="P967" s="18" t="s">
        <v>4277</v>
      </c>
      <c r="Q967" s="18" t="s">
        <v>123</v>
      </c>
      <c r="R967" s="18" t="s">
        <v>4278</v>
      </c>
      <c r="S967" s="18" t="s">
        <v>125</v>
      </c>
      <c r="T967" s="18" t="s">
        <v>4279</v>
      </c>
      <c r="U967" s="18" t="s">
        <v>4280</v>
      </c>
      <c r="V967" s="19" t="s">
        <v>29</v>
      </c>
      <c r="W967" s="19"/>
      <c r="X967" s="19"/>
      <c r="Y967" s="20"/>
      <c r="Z967" s="19"/>
      <c r="AA967" s="18" t="str">
        <f aca="false">IF(OR(V967="Aprobada"),R967,IF(AND(OR(V967="Aprobada con ajuste",V967="Rechazada"),W967&lt;&gt;""),W967,""))</f>
        <v/>
      </c>
    </row>
    <row r="968" customFormat="false" ht="32.8" hidden="false" customHeight="false" outlineLevel="0" collapsed="false">
      <c r="A968" s="18" t="s">
        <v>4281</v>
      </c>
      <c r="B968" s="18" t="s">
        <v>64</v>
      </c>
      <c r="C968" s="18" t="s">
        <v>65</v>
      </c>
      <c r="D968" s="18" t="s">
        <v>4248</v>
      </c>
      <c r="E968" s="18" t="n">
        <v>1</v>
      </c>
      <c r="F968" s="18" t="s">
        <v>857</v>
      </c>
      <c r="G968" s="18" t="s">
        <v>145</v>
      </c>
      <c r="H968" s="18" t="s">
        <v>109</v>
      </c>
      <c r="I968" s="18"/>
      <c r="J968" s="18"/>
      <c r="K968" s="18"/>
      <c r="L968" s="18" t="s">
        <v>117</v>
      </c>
      <c r="M968" s="18" t="s">
        <v>109</v>
      </c>
      <c r="N968" s="18"/>
      <c r="O968" s="18" t="s">
        <v>4282</v>
      </c>
      <c r="P968" s="18" t="s">
        <v>4283</v>
      </c>
      <c r="Q968" s="18" t="s">
        <v>110</v>
      </c>
      <c r="R968" s="18" t="s">
        <v>859</v>
      </c>
      <c r="S968" s="18" t="s">
        <v>112</v>
      </c>
      <c r="T968" s="18" t="s">
        <v>113</v>
      </c>
      <c r="U968" s="18"/>
      <c r="V968" s="19" t="s">
        <v>29</v>
      </c>
      <c r="W968" s="19"/>
      <c r="X968" s="19"/>
      <c r="Y968" s="20"/>
      <c r="Z968" s="19"/>
      <c r="AA968" s="18" t="str">
        <f aca="false">IF(OR(V968="Aprobada"),R968,IF(AND(OR(V968="Aprobada con ajuste",V968="Rechazada"),W968&lt;&gt;""),W968,""))</f>
        <v/>
      </c>
    </row>
    <row r="969" customFormat="false" ht="43.25" hidden="false" customHeight="false" outlineLevel="0" collapsed="false">
      <c r="A969" s="18" t="s">
        <v>4284</v>
      </c>
      <c r="B969" s="18" t="s">
        <v>64</v>
      </c>
      <c r="C969" s="18" t="s">
        <v>65</v>
      </c>
      <c r="D969" s="18" t="s">
        <v>4248</v>
      </c>
      <c r="E969" s="18" t="n">
        <v>1</v>
      </c>
      <c r="F969" s="18" t="s">
        <v>1018</v>
      </c>
      <c r="G969" s="18" t="s">
        <v>116</v>
      </c>
      <c r="H969" s="18" t="s">
        <v>117</v>
      </c>
      <c r="I969" s="18"/>
      <c r="J969" s="18"/>
      <c r="K969" s="18"/>
      <c r="L969" s="18" t="s">
        <v>117</v>
      </c>
      <c r="M969" s="18" t="s">
        <v>109</v>
      </c>
      <c r="N969" s="18"/>
      <c r="O969" s="18"/>
      <c r="P969" s="18" t="s">
        <v>4285</v>
      </c>
      <c r="Q969" s="18" t="s">
        <v>110</v>
      </c>
      <c r="R969" s="18" t="s">
        <v>4286</v>
      </c>
      <c r="S969" s="18" t="s">
        <v>112</v>
      </c>
      <c r="T969" s="18" t="s">
        <v>113</v>
      </c>
      <c r="U969" s="18"/>
      <c r="V969" s="19" t="s">
        <v>29</v>
      </c>
      <c r="W969" s="19"/>
      <c r="X969" s="19"/>
      <c r="Y969" s="20"/>
      <c r="Z969" s="19"/>
      <c r="AA969" s="18" t="str">
        <f aca="false">IF(OR(V969="Aprobada"),R969,IF(AND(OR(V969="Aprobada con ajuste",V969="Rechazada"),W969&lt;&gt;""),W969,""))</f>
        <v/>
      </c>
    </row>
    <row r="970" customFormat="false" ht="43.25" hidden="false" customHeight="false" outlineLevel="0" collapsed="false">
      <c r="A970" s="18" t="s">
        <v>4287</v>
      </c>
      <c r="B970" s="18" t="s">
        <v>64</v>
      </c>
      <c r="C970" s="18" t="s">
        <v>65</v>
      </c>
      <c r="D970" s="18" t="s">
        <v>4288</v>
      </c>
      <c r="E970" s="18" t="n">
        <v>2</v>
      </c>
      <c r="F970" s="18" t="s">
        <v>2445</v>
      </c>
      <c r="G970" s="18" t="s">
        <v>139</v>
      </c>
      <c r="H970" s="18" t="s">
        <v>109</v>
      </c>
      <c r="I970" s="18" t="s">
        <v>140</v>
      </c>
      <c r="J970" s="18"/>
      <c r="K970" s="18"/>
      <c r="L970" s="18" t="s">
        <v>117</v>
      </c>
      <c r="M970" s="18" t="s">
        <v>109</v>
      </c>
      <c r="N970" s="18"/>
      <c r="O970" s="18"/>
      <c r="P970" s="18" t="s">
        <v>4289</v>
      </c>
      <c r="Q970" s="18" t="s">
        <v>110</v>
      </c>
      <c r="R970" s="18" t="s">
        <v>4290</v>
      </c>
      <c r="S970" s="18" t="s">
        <v>112</v>
      </c>
      <c r="T970" s="18" t="s">
        <v>113</v>
      </c>
      <c r="U970" s="18"/>
      <c r="V970" s="19" t="s">
        <v>29</v>
      </c>
      <c r="W970" s="19"/>
      <c r="X970" s="19"/>
      <c r="Y970" s="20"/>
      <c r="Z970" s="19"/>
      <c r="AA970" s="18" t="str">
        <f aca="false">IF(OR(V970="Aprobada"),R970,IF(AND(OR(V970="Aprobada con ajuste",V970="Rechazada"),W970&lt;&gt;""),W970,""))</f>
        <v/>
      </c>
    </row>
    <row r="971" customFormat="false" ht="43.25" hidden="false" customHeight="false" outlineLevel="0" collapsed="false">
      <c r="A971" s="18" t="s">
        <v>4291</v>
      </c>
      <c r="B971" s="18" t="s">
        <v>64</v>
      </c>
      <c r="C971" s="18" t="s">
        <v>65</v>
      </c>
      <c r="D971" s="18" t="s">
        <v>4288</v>
      </c>
      <c r="E971" s="18" t="n">
        <v>2</v>
      </c>
      <c r="F971" s="18" t="s">
        <v>4292</v>
      </c>
      <c r="G971" s="18" t="s">
        <v>139</v>
      </c>
      <c r="H971" s="18" t="s">
        <v>109</v>
      </c>
      <c r="I971" s="18" t="s">
        <v>140</v>
      </c>
      <c r="J971" s="18"/>
      <c r="K971" s="18"/>
      <c r="L971" s="18" t="s">
        <v>117</v>
      </c>
      <c r="M971" s="18" t="s">
        <v>109</v>
      </c>
      <c r="N971" s="18"/>
      <c r="O971" s="18"/>
      <c r="P971" s="18" t="s">
        <v>4293</v>
      </c>
      <c r="Q971" s="18" t="s">
        <v>134</v>
      </c>
      <c r="R971" s="18" t="s">
        <v>4294</v>
      </c>
      <c r="S971" s="18" t="s">
        <v>112</v>
      </c>
      <c r="T971" s="18" t="s">
        <v>4295</v>
      </c>
      <c r="U971" s="18" t="s">
        <v>4296</v>
      </c>
      <c r="V971" s="19" t="s">
        <v>29</v>
      </c>
      <c r="W971" s="19"/>
      <c r="X971" s="19"/>
      <c r="Y971" s="20"/>
      <c r="Z971" s="19"/>
      <c r="AA971" s="18" t="str">
        <f aca="false">IF(OR(V971="Aprobada"),R971,IF(AND(OR(V971="Aprobada con ajuste",V971="Rechazada"),W971&lt;&gt;""),W971,""))</f>
        <v/>
      </c>
    </row>
    <row r="972" customFormat="false" ht="43.25" hidden="false" customHeight="false" outlineLevel="0" collapsed="false">
      <c r="A972" s="18" t="s">
        <v>4297</v>
      </c>
      <c r="B972" s="18" t="s">
        <v>64</v>
      </c>
      <c r="C972" s="18" t="s">
        <v>65</v>
      </c>
      <c r="D972" s="18" t="s">
        <v>4288</v>
      </c>
      <c r="E972" s="18" t="n">
        <v>2</v>
      </c>
      <c r="F972" s="18" t="s">
        <v>857</v>
      </c>
      <c r="G972" s="18" t="s">
        <v>145</v>
      </c>
      <c r="H972" s="18" t="s">
        <v>109</v>
      </c>
      <c r="I972" s="18"/>
      <c r="J972" s="18"/>
      <c r="K972" s="18"/>
      <c r="L972" s="18" t="s">
        <v>117</v>
      </c>
      <c r="M972" s="18" t="s">
        <v>109</v>
      </c>
      <c r="N972" s="18"/>
      <c r="O972" s="18"/>
      <c r="P972" s="18" t="s">
        <v>4298</v>
      </c>
      <c r="Q972" s="18" t="s">
        <v>110</v>
      </c>
      <c r="R972" s="18" t="s">
        <v>859</v>
      </c>
      <c r="S972" s="18" t="s">
        <v>112</v>
      </c>
      <c r="T972" s="18" t="s">
        <v>113</v>
      </c>
      <c r="U972" s="18"/>
      <c r="V972" s="19" t="s">
        <v>29</v>
      </c>
      <c r="W972" s="19"/>
      <c r="X972" s="19"/>
      <c r="Y972" s="20"/>
      <c r="Z972" s="19"/>
      <c r="AA972" s="18" t="str">
        <f aca="false">IF(OR(V972="Aprobada"),R972,IF(AND(OR(V972="Aprobada con ajuste",V972="Rechazada"),W972&lt;&gt;""),W972,""))</f>
        <v/>
      </c>
    </row>
    <row r="973" customFormat="false" ht="43.25" hidden="false" customHeight="false" outlineLevel="0" collapsed="false">
      <c r="A973" s="18" t="s">
        <v>4299</v>
      </c>
      <c r="B973" s="18" t="s">
        <v>64</v>
      </c>
      <c r="C973" s="18" t="s">
        <v>65</v>
      </c>
      <c r="D973" s="18" t="s">
        <v>4288</v>
      </c>
      <c r="E973" s="18" t="n">
        <v>2</v>
      </c>
      <c r="F973" s="18" t="s">
        <v>4300</v>
      </c>
      <c r="G973" s="18" t="s">
        <v>249</v>
      </c>
      <c r="H973" s="18" t="s">
        <v>117</v>
      </c>
      <c r="I973" s="18"/>
      <c r="J973" s="18"/>
      <c r="K973" s="18"/>
      <c r="L973" s="18" t="s">
        <v>117</v>
      </c>
      <c r="M973" s="18" t="s">
        <v>109</v>
      </c>
      <c r="N973" s="18"/>
      <c r="O973" s="18"/>
      <c r="P973" s="18" t="s">
        <v>4301</v>
      </c>
      <c r="Q973" s="18" t="s">
        <v>134</v>
      </c>
      <c r="R973" s="18" t="s">
        <v>4302</v>
      </c>
      <c r="S973" s="18" t="s">
        <v>112</v>
      </c>
      <c r="T973" s="18" t="s">
        <v>4303</v>
      </c>
      <c r="U973" s="18" t="s">
        <v>4304</v>
      </c>
      <c r="V973" s="19" t="s">
        <v>29</v>
      </c>
      <c r="W973" s="19"/>
      <c r="X973" s="19"/>
      <c r="Y973" s="20"/>
      <c r="Z973" s="19"/>
      <c r="AA973" s="18" t="str">
        <f aca="false">IF(OR(V973="Aprobada"),R973,IF(AND(OR(V973="Aprobada con ajuste",V973="Rechazada"),W973&lt;&gt;""),W973,""))</f>
        <v/>
      </c>
    </row>
    <row r="974" customFormat="false" ht="43.25" hidden="false" customHeight="false" outlineLevel="0" collapsed="false">
      <c r="A974" s="18" t="s">
        <v>4305</v>
      </c>
      <c r="B974" s="18" t="s">
        <v>64</v>
      </c>
      <c r="C974" s="18" t="s">
        <v>65</v>
      </c>
      <c r="D974" s="18" t="s">
        <v>4306</v>
      </c>
      <c r="E974" s="18" t="n">
        <v>42</v>
      </c>
      <c r="F974" s="18" t="s">
        <v>4307</v>
      </c>
      <c r="G974" s="18" t="s">
        <v>151</v>
      </c>
      <c r="H974" s="18" t="s">
        <v>109</v>
      </c>
      <c r="I974" s="18" t="s">
        <v>140</v>
      </c>
      <c r="J974" s="18" t="s">
        <v>4308</v>
      </c>
      <c r="K974" s="18"/>
      <c r="L974" s="18" t="s">
        <v>117</v>
      </c>
      <c r="M974" s="18" t="s">
        <v>109</v>
      </c>
      <c r="N974" s="18"/>
      <c r="O974" s="18"/>
      <c r="P974" s="18" t="s">
        <v>4309</v>
      </c>
      <c r="Q974" s="18" t="s">
        <v>134</v>
      </c>
      <c r="R974" s="18" t="s">
        <v>4310</v>
      </c>
      <c r="S974" s="18" t="s">
        <v>125</v>
      </c>
      <c r="T974" s="18" t="s">
        <v>4136</v>
      </c>
      <c r="U974" s="18"/>
      <c r="V974" s="19" t="s">
        <v>29</v>
      </c>
      <c r="W974" s="19"/>
      <c r="X974" s="19"/>
      <c r="Y974" s="20"/>
      <c r="Z974" s="19"/>
      <c r="AA974" s="18" t="str">
        <f aca="false">IF(OR(V974="Aprobada"),R974,IF(AND(OR(V974="Aprobada con ajuste",V974="Rechazada"),W974&lt;&gt;""),W974,""))</f>
        <v/>
      </c>
    </row>
    <row r="975" customFormat="false" ht="53.7" hidden="false" customHeight="false" outlineLevel="0" collapsed="false">
      <c r="A975" s="18" t="s">
        <v>4311</v>
      </c>
      <c r="B975" s="18" t="s">
        <v>64</v>
      </c>
      <c r="C975" s="18" t="s">
        <v>65</v>
      </c>
      <c r="D975" s="18" t="s">
        <v>4306</v>
      </c>
      <c r="E975" s="18" t="n">
        <v>42</v>
      </c>
      <c r="F975" s="18" t="s">
        <v>1030</v>
      </c>
      <c r="G975" s="18" t="s">
        <v>139</v>
      </c>
      <c r="H975" s="18" t="s">
        <v>109</v>
      </c>
      <c r="I975" s="18"/>
      <c r="J975" s="18"/>
      <c r="K975" s="18"/>
      <c r="L975" s="18" t="s">
        <v>117</v>
      </c>
      <c r="M975" s="18" t="s">
        <v>109</v>
      </c>
      <c r="N975" s="18"/>
      <c r="O975" s="18"/>
      <c r="P975" s="18" t="s">
        <v>4312</v>
      </c>
      <c r="Q975" s="18" t="s">
        <v>110</v>
      </c>
      <c r="R975" s="18" t="s">
        <v>1031</v>
      </c>
      <c r="S975" s="18" t="s">
        <v>112</v>
      </c>
      <c r="T975" s="18" t="s">
        <v>113</v>
      </c>
      <c r="U975" s="18"/>
      <c r="V975" s="19" t="s">
        <v>29</v>
      </c>
      <c r="W975" s="19"/>
      <c r="X975" s="19"/>
      <c r="Y975" s="20"/>
      <c r="Z975" s="19"/>
      <c r="AA975" s="18" t="str">
        <f aca="false">IF(OR(V975="Aprobada"),R975,IF(AND(OR(V975="Aprobada con ajuste",V975="Rechazada"),W975&lt;&gt;""),W975,""))</f>
        <v/>
      </c>
    </row>
    <row r="976" customFormat="false" ht="53.7" hidden="false" customHeight="false" outlineLevel="0" collapsed="false">
      <c r="A976" s="18" t="s">
        <v>4313</v>
      </c>
      <c r="B976" s="18" t="s">
        <v>64</v>
      </c>
      <c r="C976" s="18" t="s">
        <v>65</v>
      </c>
      <c r="D976" s="18" t="s">
        <v>4306</v>
      </c>
      <c r="E976" s="18" t="n">
        <v>42</v>
      </c>
      <c r="F976" s="18" t="s">
        <v>857</v>
      </c>
      <c r="G976" s="18" t="s">
        <v>145</v>
      </c>
      <c r="H976" s="18" t="s">
        <v>109</v>
      </c>
      <c r="I976" s="18"/>
      <c r="J976" s="18"/>
      <c r="K976" s="18"/>
      <c r="L976" s="18" t="s">
        <v>117</v>
      </c>
      <c r="M976" s="18" t="s">
        <v>109</v>
      </c>
      <c r="N976" s="18"/>
      <c r="O976" s="18"/>
      <c r="P976" s="18" t="s">
        <v>4314</v>
      </c>
      <c r="Q976" s="18" t="s">
        <v>110</v>
      </c>
      <c r="R976" s="18" t="s">
        <v>859</v>
      </c>
      <c r="S976" s="18" t="s">
        <v>112</v>
      </c>
      <c r="T976" s="18" t="s">
        <v>113</v>
      </c>
      <c r="U976" s="18"/>
      <c r="V976" s="19" t="s">
        <v>29</v>
      </c>
      <c r="W976" s="19"/>
      <c r="X976" s="19"/>
      <c r="Y976" s="20"/>
      <c r="Z976" s="19"/>
      <c r="AA976" s="18" t="str">
        <f aca="false">IF(OR(V976="Aprobada"),R976,IF(AND(OR(V976="Aprobada con ajuste",V976="Rechazada"),W976&lt;&gt;""),W976,""))</f>
        <v/>
      </c>
    </row>
    <row r="977" customFormat="false" ht="64.15" hidden="false" customHeight="false" outlineLevel="0" collapsed="false">
      <c r="A977" s="18" t="s">
        <v>4315</v>
      </c>
      <c r="B977" s="18" t="s">
        <v>64</v>
      </c>
      <c r="C977" s="18" t="s">
        <v>65</v>
      </c>
      <c r="D977" s="18" t="s">
        <v>4316</v>
      </c>
      <c r="E977" s="18" t="n">
        <v>7</v>
      </c>
      <c r="F977" s="18" t="s">
        <v>4188</v>
      </c>
      <c r="G977" s="18" t="s">
        <v>324</v>
      </c>
      <c r="H977" s="18" t="s">
        <v>109</v>
      </c>
      <c r="I977" s="18" t="s">
        <v>409</v>
      </c>
      <c r="J977" s="18"/>
      <c r="K977" s="18"/>
      <c r="L977" s="18" t="s">
        <v>117</v>
      </c>
      <c r="M977" s="18" t="s">
        <v>109</v>
      </c>
      <c r="N977" s="18"/>
      <c r="O977" s="18" t="s">
        <v>4317</v>
      </c>
      <c r="P977" s="18" t="s">
        <v>4318</v>
      </c>
      <c r="Q977" s="18" t="s">
        <v>134</v>
      </c>
      <c r="R977" s="18" t="s">
        <v>4319</v>
      </c>
      <c r="S977" s="18" t="s">
        <v>125</v>
      </c>
      <c r="T977" s="18" t="s">
        <v>4320</v>
      </c>
      <c r="U977" s="18"/>
      <c r="V977" s="19" t="s">
        <v>29</v>
      </c>
      <c r="W977" s="19"/>
      <c r="X977" s="19"/>
      <c r="Y977" s="20"/>
      <c r="Z977" s="19"/>
      <c r="AA977" s="18" t="str">
        <f aca="false">IF(OR(V977="Aprobada"),R977,IF(AND(OR(V977="Aprobada con ajuste",V977="Rechazada"),W977&lt;&gt;""),W977,""))</f>
        <v/>
      </c>
    </row>
    <row r="978" customFormat="false" ht="43.25" hidden="false" customHeight="false" outlineLevel="0" collapsed="false">
      <c r="A978" s="18" t="s">
        <v>4321</v>
      </c>
      <c r="B978" s="18" t="s">
        <v>64</v>
      </c>
      <c r="C978" s="18" t="s">
        <v>65</v>
      </c>
      <c r="D978" s="18" t="s">
        <v>4316</v>
      </c>
      <c r="E978" s="18" t="n">
        <v>7</v>
      </c>
      <c r="F978" s="18" t="s">
        <v>4322</v>
      </c>
      <c r="G978" s="18" t="s">
        <v>324</v>
      </c>
      <c r="H978" s="18" t="s">
        <v>109</v>
      </c>
      <c r="I978" s="18"/>
      <c r="J978" s="18"/>
      <c r="K978" s="18"/>
      <c r="L978" s="18" t="s">
        <v>117</v>
      </c>
      <c r="M978" s="18" t="s">
        <v>109</v>
      </c>
      <c r="N978" s="18"/>
      <c r="O978" s="18" t="s">
        <v>4323</v>
      </c>
      <c r="P978" s="18" t="s">
        <v>4324</v>
      </c>
      <c r="Q978" s="18" t="s">
        <v>134</v>
      </c>
      <c r="R978" s="18" t="s">
        <v>4325</v>
      </c>
      <c r="S978" s="18" t="s">
        <v>112</v>
      </c>
      <c r="T978" s="18" t="s">
        <v>540</v>
      </c>
      <c r="U978" s="18" t="s">
        <v>4326</v>
      </c>
      <c r="V978" s="19" t="s">
        <v>29</v>
      </c>
      <c r="W978" s="19"/>
      <c r="X978" s="19"/>
      <c r="Y978" s="20"/>
      <c r="Z978" s="19"/>
      <c r="AA978" s="18" t="str">
        <f aca="false">IF(OR(V978="Aprobada"),R978,IF(AND(OR(V978="Aprobada con ajuste",V978="Rechazada"),W978&lt;&gt;""),W978,""))</f>
        <v/>
      </c>
    </row>
    <row r="979" customFormat="false" ht="43.25" hidden="false" customHeight="false" outlineLevel="0" collapsed="false">
      <c r="A979" s="18" t="s">
        <v>4327</v>
      </c>
      <c r="B979" s="18" t="s">
        <v>64</v>
      </c>
      <c r="C979" s="18" t="s">
        <v>65</v>
      </c>
      <c r="D979" s="18" t="s">
        <v>4316</v>
      </c>
      <c r="E979" s="18" t="n">
        <v>7</v>
      </c>
      <c r="F979" s="18" t="s">
        <v>4328</v>
      </c>
      <c r="G979" s="18" t="s">
        <v>212</v>
      </c>
      <c r="H979" s="18" t="s">
        <v>109</v>
      </c>
      <c r="I979" s="18"/>
      <c r="J979" s="18"/>
      <c r="K979" s="18"/>
      <c r="L979" s="18" t="s">
        <v>117</v>
      </c>
      <c r="M979" s="18" t="s">
        <v>109</v>
      </c>
      <c r="N979" s="18"/>
      <c r="O979" s="18"/>
      <c r="P979" s="18" t="s">
        <v>4329</v>
      </c>
      <c r="Q979" s="18" t="s">
        <v>134</v>
      </c>
      <c r="R979" s="18" t="s">
        <v>4330</v>
      </c>
      <c r="S979" s="18" t="s">
        <v>112</v>
      </c>
      <c r="T979" s="18" t="s">
        <v>4331</v>
      </c>
      <c r="U979" s="18" t="s">
        <v>4332</v>
      </c>
      <c r="V979" s="19" t="s">
        <v>29</v>
      </c>
      <c r="W979" s="19"/>
      <c r="X979" s="19"/>
      <c r="Y979" s="20"/>
      <c r="Z979" s="19"/>
      <c r="AA979" s="18" t="str">
        <f aca="false">IF(OR(V979="Aprobada"),R979,IF(AND(OR(V979="Aprobada con ajuste",V979="Rechazada"),W979&lt;&gt;""),W979,""))</f>
        <v/>
      </c>
    </row>
    <row r="980" customFormat="false" ht="43.25" hidden="false" customHeight="false" outlineLevel="0" collapsed="false">
      <c r="A980" s="18" t="s">
        <v>4333</v>
      </c>
      <c r="B980" s="18" t="s">
        <v>64</v>
      </c>
      <c r="C980" s="18" t="s">
        <v>65</v>
      </c>
      <c r="D980" s="18" t="s">
        <v>4316</v>
      </c>
      <c r="E980" s="18" t="n">
        <v>7</v>
      </c>
      <c r="F980" s="18" t="s">
        <v>4334</v>
      </c>
      <c r="G980" s="18" t="s">
        <v>212</v>
      </c>
      <c r="H980" s="18" t="s">
        <v>109</v>
      </c>
      <c r="I980" s="18"/>
      <c r="J980" s="18"/>
      <c r="K980" s="18"/>
      <c r="L980" s="18" t="s">
        <v>117</v>
      </c>
      <c r="M980" s="18" t="s">
        <v>109</v>
      </c>
      <c r="N980" s="18"/>
      <c r="O980" s="18"/>
      <c r="P980" s="18" t="s">
        <v>4335</v>
      </c>
      <c r="Q980" s="18" t="s">
        <v>134</v>
      </c>
      <c r="R980" s="18" t="s">
        <v>4336</v>
      </c>
      <c r="S980" s="18" t="s">
        <v>112</v>
      </c>
      <c r="T980" s="18" t="s">
        <v>4331</v>
      </c>
      <c r="U980" s="18" t="s">
        <v>4332</v>
      </c>
      <c r="V980" s="19" t="s">
        <v>29</v>
      </c>
      <c r="W980" s="19"/>
      <c r="X980" s="19"/>
      <c r="Y980" s="20"/>
      <c r="Z980" s="19"/>
      <c r="AA980" s="18" t="str">
        <f aca="false">IF(OR(V980="Aprobada"),R980,IF(AND(OR(V980="Aprobada con ajuste",V980="Rechazada"),W980&lt;&gt;""),W980,""))</f>
        <v/>
      </c>
    </row>
    <row r="981" customFormat="false" ht="43.25" hidden="false" customHeight="false" outlineLevel="0" collapsed="false">
      <c r="A981" s="18" t="s">
        <v>4337</v>
      </c>
      <c r="B981" s="18" t="s">
        <v>64</v>
      </c>
      <c r="C981" s="18" t="s">
        <v>65</v>
      </c>
      <c r="D981" s="18" t="s">
        <v>4316</v>
      </c>
      <c r="E981" s="18" t="n">
        <v>7</v>
      </c>
      <c r="F981" s="18" t="s">
        <v>4338</v>
      </c>
      <c r="G981" s="18" t="s">
        <v>212</v>
      </c>
      <c r="H981" s="18" t="s">
        <v>109</v>
      </c>
      <c r="I981" s="18"/>
      <c r="J981" s="18"/>
      <c r="K981" s="18"/>
      <c r="L981" s="18" t="s">
        <v>117</v>
      </c>
      <c r="M981" s="18" t="s">
        <v>109</v>
      </c>
      <c r="N981" s="18"/>
      <c r="O981" s="18"/>
      <c r="P981" s="18" t="s">
        <v>4339</v>
      </c>
      <c r="Q981" s="18" t="s">
        <v>134</v>
      </c>
      <c r="R981" s="18" t="s">
        <v>4340</v>
      </c>
      <c r="S981" s="18" t="s">
        <v>112</v>
      </c>
      <c r="T981" s="18" t="s">
        <v>4331</v>
      </c>
      <c r="U981" s="18" t="s">
        <v>4332</v>
      </c>
      <c r="V981" s="19" t="s">
        <v>29</v>
      </c>
      <c r="W981" s="19"/>
      <c r="X981" s="19"/>
      <c r="Y981" s="20"/>
      <c r="Z981" s="19"/>
      <c r="AA981" s="18" t="str">
        <f aca="false">IF(OR(V981="Aprobada"),R981,IF(AND(OR(V981="Aprobada con ajuste",V981="Rechazada"),W981&lt;&gt;""),W981,""))</f>
        <v/>
      </c>
    </row>
    <row r="982" customFormat="false" ht="32.8" hidden="false" customHeight="false" outlineLevel="0" collapsed="false">
      <c r="A982" s="18" t="s">
        <v>4341</v>
      </c>
      <c r="B982" s="18" t="s">
        <v>64</v>
      </c>
      <c r="C982" s="18" t="s">
        <v>65</v>
      </c>
      <c r="D982" s="18" t="s">
        <v>4316</v>
      </c>
      <c r="E982" s="18" t="n">
        <v>7</v>
      </c>
      <c r="F982" s="18" t="s">
        <v>857</v>
      </c>
      <c r="G982" s="18" t="s">
        <v>145</v>
      </c>
      <c r="H982" s="18" t="s">
        <v>109</v>
      </c>
      <c r="I982" s="18"/>
      <c r="J982" s="18"/>
      <c r="K982" s="18"/>
      <c r="L982" s="18" t="s">
        <v>117</v>
      </c>
      <c r="M982" s="18" t="s">
        <v>109</v>
      </c>
      <c r="N982" s="18"/>
      <c r="O982" s="18"/>
      <c r="P982" s="18" t="s">
        <v>4342</v>
      </c>
      <c r="Q982" s="18" t="s">
        <v>110</v>
      </c>
      <c r="R982" s="18" t="s">
        <v>859</v>
      </c>
      <c r="S982" s="18" t="s">
        <v>112</v>
      </c>
      <c r="T982" s="18" t="s">
        <v>113</v>
      </c>
      <c r="U982" s="18"/>
      <c r="V982" s="19" t="s">
        <v>29</v>
      </c>
      <c r="W982" s="19"/>
      <c r="X982" s="19"/>
      <c r="Y982" s="20"/>
      <c r="Z982" s="19"/>
      <c r="AA982" s="18" t="str">
        <f aca="false">IF(OR(V982="Aprobada"),R982,IF(AND(OR(V982="Aprobada con ajuste",V982="Rechazada"),W982&lt;&gt;""),W982,""))</f>
        <v/>
      </c>
    </row>
    <row r="983" customFormat="false" ht="32.8" hidden="false" customHeight="false" outlineLevel="0" collapsed="false">
      <c r="A983" s="18" t="s">
        <v>4343</v>
      </c>
      <c r="B983" s="18" t="s">
        <v>64</v>
      </c>
      <c r="C983" s="18" t="s">
        <v>65</v>
      </c>
      <c r="D983" s="18" t="s">
        <v>4344</v>
      </c>
      <c r="E983" s="18" t="n">
        <v>24</v>
      </c>
      <c r="F983" s="18" t="s">
        <v>4307</v>
      </c>
      <c r="G983" s="18" t="s">
        <v>151</v>
      </c>
      <c r="H983" s="18" t="s">
        <v>109</v>
      </c>
      <c r="I983" s="18" t="s">
        <v>140</v>
      </c>
      <c r="J983" s="18" t="s">
        <v>4308</v>
      </c>
      <c r="K983" s="18"/>
      <c r="L983" s="18" t="s">
        <v>117</v>
      </c>
      <c r="M983" s="18" t="s">
        <v>109</v>
      </c>
      <c r="N983" s="18"/>
      <c r="O983" s="18"/>
      <c r="P983" s="18" t="s">
        <v>4345</v>
      </c>
      <c r="Q983" s="18" t="s">
        <v>134</v>
      </c>
      <c r="R983" s="18" t="s">
        <v>4346</v>
      </c>
      <c r="S983" s="18" t="s">
        <v>125</v>
      </c>
      <c r="T983" s="18" t="s">
        <v>4347</v>
      </c>
      <c r="U983" s="18"/>
      <c r="V983" s="19" t="s">
        <v>29</v>
      </c>
      <c r="W983" s="19"/>
      <c r="X983" s="19"/>
      <c r="Y983" s="20"/>
      <c r="Z983" s="19"/>
      <c r="AA983" s="18" t="str">
        <f aca="false">IF(OR(V983="Aprobada"),R983,IF(AND(OR(V983="Aprobada con ajuste",V983="Rechazada"),W983&lt;&gt;""),W983,""))</f>
        <v/>
      </c>
    </row>
    <row r="984" customFormat="false" ht="22.35" hidden="false" customHeight="false" outlineLevel="0" collapsed="false">
      <c r="A984" s="18" t="s">
        <v>4348</v>
      </c>
      <c r="B984" s="18" t="s">
        <v>64</v>
      </c>
      <c r="C984" s="18" t="s">
        <v>65</v>
      </c>
      <c r="D984" s="18" t="s">
        <v>4349</v>
      </c>
      <c r="E984" s="18" t="n">
        <v>6</v>
      </c>
      <c r="F984" s="18" t="s">
        <v>1102</v>
      </c>
      <c r="G984" s="18" t="s">
        <v>116</v>
      </c>
      <c r="H984" s="18" t="s">
        <v>109</v>
      </c>
      <c r="I984" s="18"/>
      <c r="J984" s="18"/>
      <c r="K984" s="18"/>
      <c r="L984" s="18" t="s">
        <v>117</v>
      </c>
      <c r="M984" s="18" t="s">
        <v>109</v>
      </c>
      <c r="N984" s="18"/>
      <c r="O984" s="18"/>
      <c r="P984" s="18"/>
      <c r="Q984" s="18" t="s">
        <v>134</v>
      </c>
      <c r="R984" s="18" t="s">
        <v>4350</v>
      </c>
      <c r="S984" s="18" t="s">
        <v>112</v>
      </c>
      <c r="T984" s="18" t="s">
        <v>4351</v>
      </c>
      <c r="U984" s="18" t="s">
        <v>4352</v>
      </c>
      <c r="V984" s="19" t="s">
        <v>29</v>
      </c>
      <c r="W984" s="19"/>
      <c r="X984" s="19"/>
      <c r="Y984" s="20"/>
      <c r="Z984" s="19"/>
      <c r="AA984" s="18" t="str">
        <f aca="false">IF(OR(V984="Aprobada"),R984,IF(AND(OR(V984="Aprobada con ajuste",V984="Rechazada"),W984&lt;&gt;""),W984,""))</f>
        <v/>
      </c>
    </row>
    <row r="985" customFormat="false" ht="22.35" hidden="false" customHeight="false" outlineLevel="0" collapsed="false">
      <c r="A985" s="18" t="s">
        <v>4353</v>
      </c>
      <c r="B985" s="18" t="s">
        <v>64</v>
      </c>
      <c r="C985" s="18" t="s">
        <v>65</v>
      </c>
      <c r="D985" s="18" t="s">
        <v>4349</v>
      </c>
      <c r="E985" s="18" t="n">
        <v>6</v>
      </c>
      <c r="F985" s="18" t="s">
        <v>1018</v>
      </c>
      <c r="G985" s="18" t="s">
        <v>116</v>
      </c>
      <c r="H985" s="18" t="s">
        <v>117</v>
      </c>
      <c r="I985" s="18"/>
      <c r="J985" s="18"/>
      <c r="K985" s="18"/>
      <c r="L985" s="18" t="s">
        <v>117</v>
      </c>
      <c r="M985" s="18" t="s">
        <v>109</v>
      </c>
      <c r="N985" s="18"/>
      <c r="O985" s="18"/>
      <c r="P985" s="18"/>
      <c r="Q985" s="18" t="s">
        <v>110</v>
      </c>
      <c r="R985" s="18" t="s">
        <v>4354</v>
      </c>
      <c r="S985" s="18" t="s">
        <v>112</v>
      </c>
      <c r="T985" s="18" t="s">
        <v>113</v>
      </c>
      <c r="U985" s="18"/>
      <c r="V985" s="19" t="s">
        <v>29</v>
      </c>
      <c r="W985" s="19"/>
      <c r="X985" s="19"/>
      <c r="Y985" s="20"/>
      <c r="Z985" s="19"/>
      <c r="AA985" s="18" t="str">
        <f aca="false">IF(OR(V985="Aprobada"),R985,IF(AND(OR(V985="Aprobada con ajuste",V985="Rechazada"),W985&lt;&gt;""),W985,""))</f>
        <v/>
      </c>
    </row>
    <row r="986" customFormat="false" ht="32.8" hidden="false" customHeight="false" outlineLevel="0" collapsed="false">
      <c r="A986" s="18" t="s">
        <v>4355</v>
      </c>
      <c r="B986" s="18" t="s">
        <v>64</v>
      </c>
      <c r="C986" s="18" t="s">
        <v>65</v>
      </c>
      <c r="D986" s="18" t="s">
        <v>4356</v>
      </c>
      <c r="E986" s="18" t="n">
        <v>0</v>
      </c>
      <c r="F986" s="18" t="s">
        <v>4357</v>
      </c>
      <c r="G986" s="18" t="s">
        <v>324</v>
      </c>
      <c r="H986" s="18" t="s">
        <v>109</v>
      </c>
      <c r="I986" s="18" t="s">
        <v>140</v>
      </c>
      <c r="J986" s="18" t="s">
        <v>4358</v>
      </c>
      <c r="K986" s="18"/>
      <c r="L986" s="18" t="s">
        <v>117</v>
      </c>
      <c r="M986" s="18" t="s">
        <v>109</v>
      </c>
      <c r="N986" s="18"/>
      <c r="O986" s="18"/>
      <c r="P986" s="18" t="s">
        <v>4359</v>
      </c>
      <c r="Q986" s="18" t="s">
        <v>134</v>
      </c>
      <c r="R986" s="18" t="s">
        <v>4360</v>
      </c>
      <c r="S986" s="18" t="s">
        <v>125</v>
      </c>
      <c r="T986" s="18" t="s">
        <v>4121</v>
      </c>
      <c r="U986" s="18"/>
      <c r="V986" s="19" t="s">
        <v>29</v>
      </c>
      <c r="W986" s="19"/>
      <c r="X986" s="19"/>
      <c r="Y986" s="20"/>
      <c r="Z986" s="19"/>
      <c r="AA986" s="18" t="str">
        <f aca="false">IF(OR(V986="Aprobada"),R986,IF(AND(OR(V986="Aprobada con ajuste",V986="Rechazada"),W986&lt;&gt;""),W986,""))</f>
        <v/>
      </c>
    </row>
    <row r="987" customFormat="false" ht="43.25" hidden="false" customHeight="false" outlineLevel="0" collapsed="false">
      <c r="A987" s="18" t="s">
        <v>4361</v>
      </c>
      <c r="B987" s="18" t="s">
        <v>64</v>
      </c>
      <c r="C987" s="18" t="s">
        <v>65</v>
      </c>
      <c r="D987" s="18" t="s">
        <v>4356</v>
      </c>
      <c r="E987" s="18" t="n">
        <v>0</v>
      </c>
      <c r="F987" s="18" t="s">
        <v>4362</v>
      </c>
      <c r="G987" s="18" t="s">
        <v>934</v>
      </c>
      <c r="H987" s="18" t="s">
        <v>109</v>
      </c>
      <c r="I987" s="18"/>
      <c r="J987" s="18"/>
      <c r="K987" s="18"/>
      <c r="L987" s="18" t="s">
        <v>109</v>
      </c>
      <c r="M987" s="18" t="s">
        <v>109</v>
      </c>
      <c r="N987" s="18"/>
      <c r="O987" s="18"/>
      <c r="P987" s="18" t="s">
        <v>4363</v>
      </c>
      <c r="Q987" s="18" t="s">
        <v>134</v>
      </c>
      <c r="R987" s="18" t="s">
        <v>4364</v>
      </c>
      <c r="S987" s="18" t="s">
        <v>125</v>
      </c>
      <c r="T987" s="18" t="s">
        <v>4365</v>
      </c>
      <c r="U987" s="18"/>
      <c r="V987" s="19" t="s">
        <v>29</v>
      </c>
      <c r="W987" s="19"/>
      <c r="X987" s="19"/>
      <c r="Y987" s="20"/>
      <c r="Z987" s="19"/>
      <c r="AA987" s="18" t="str">
        <f aca="false">IF(OR(V987="Aprobada"),R987,IF(AND(OR(V987="Aprobada con ajuste",V987="Rechazada"),W987&lt;&gt;""),W987,""))</f>
        <v/>
      </c>
    </row>
    <row r="988" customFormat="false" ht="43.25" hidden="false" customHeight="false" outlineLevel="0" collapsed="false">
      <c r="A988" s="18" t="s">
        <v>4366</v>
      </c>
      <c r="B988" s="18" t="s">
        <v>64</v>
      </c>
      <c r="C988" s="18" t="s">
        <v>65</v>
      </c>
      <c r="D988" s="18" t="s">
        <v>4356</v>
      </c>
      <c r="E988" s="18" t="n">
        <v>0</v>
      </c>
      <c r="F988" s="18" t="s">
        <v>4367</v>
      </c>
      <c r="G988" s="18" t="s">
        <v>934</v>
      </c>
      <c r="H988" s="18" t="s">
        <v>109</v>
      </c>
      <c r="I988" s="18"/>
      <c r="J988" s="18"/>
      <c r="K988" s="18"/>
      <c r="L988" s="18" t="s">
        <v>109</v>
      </c>
      <c r="M988" s="18" t="s">
        <v>109</v>
      </c>
      <c r="N988" s="18"/>
      <c r="O988" s="18"/>
      <c r="P988" s="18" t="s">
        <v>4368</v>
      </c>
      <c r="Q988" s="18" t="s">
        <v>134</v>
      </c>
      <c r="R988" s="18" t="s">
        <v>4369</v>
      </c>
      <c r="S988" s="18" t="s">
        <v>112</v>
      </c>
      <c r="T988" s="18" t="s">
        <v>4370</v>
      </c>
      <c r="U988" s="18" t="s">
        <v>4371</v>
      </c>
      <c r="V988" s="19" t="s">
        <v>29</v>
      </c>
      <c r="W988" s="19"/>
      <c r="X988" s="19"/>
      <c r="Y988" s="20"/>
      <c r="Z988" s="19"/>
      <c r="AA988" s="18" t="str">
        <f aca="false">IF(OR(V988="Aprobada"),R988,IF(AND(OR(V988="Aprobada con ajuste",V988="Rechazada"),W988&lt;&gt;""),W988,""))</f>
        <v/>
      </c>
    </row>
    <row r="989" customFormat="false" ht="32.8" hidden="false" customHeight="false" outlineLevel="0" collapsed="false">
      <c r="A989" s="18" t="s">
        <v>4372</v>
      </c>
      <c r="B989" s="18" t="s">
        <v>64</v>
      </c>
      <c r="C989" s="18" t="s">
        <v>65</v>
      </c>
      <c r="D989" s="18" t="s">
        <v>4356</v>
      </c>
      <c r="E989" s="18" t="n">
        <v>0</v>
      </c>
      <c r="F989" s="18" t="s">
        <v>4373</v>
      </c>
      <c r="G989" s="18" t="s">
        <v>4374</v>
      </c>
      <c r="H989" s="18" t="s">
        <v>109</v>
      </c>
      <c r="I989" s="18"/>
      <c r="J989" s="18"/>
      <c r="K989" s="18"/>
      <c r="L989" s="18" t="s">
        <v>109</v>
      </c>
      <c r="M989" s="18" t="s">
        <v>109</v>
      </c>
      <c r="N989" s="18"/>
      <c r="O989" s="18"/>
      <c r="P989" s="18" t="s">
        <v>4375</v>
      </c>
      <c r="Q989" s="18" t="s">
        <v>134</v>
      </c>
      <c r="R989" s="18" t="s">
        <v>4376</v>
      </c>
      <c r="S989" s="18" t="s">
        <v>112</v>
      </c>
      <c r="T989" s="18" t="s">
        <v>4377</v>
      </c>
      <c r="U989" s="18" t="s">
        <v>4378</v>
      </c>
      <c r="V989" s="19" t="s">
        <v>29</v>
      </c>
      <c r="W989" s="19"/>
      <c r="X989" s="19"/>
      <c r="Y989" s="20"/>
      <c r="Z989" s="19"/>
      <c r="AA989" s="18" t="str">
        <f aca="false">IF(OR(V989="Aprobada"),R989,IF(AND(OR(V989="Aprobada con ajuste",V989="Rechazada"),W989&lt;&gt;""),W989,""))</f>
        <v/>
      </c>
    </row>
    <row r="990" customFormat="false" ht="32.8" hidden="false" customHeight="false" outlineLevel="0" collapsed="false">
      <c r="A990" s="18" t="s">
        <v>4379</v>
      </c>
      <c r="B990" s="18" t="s">
        <v>64</v>
      </c>
      <c r="C990" s="18" t="s">
        <v>65</v>
      </c>
      <c r="D990" s="18" t="s">
        <v>4356</v>
      </c>
      <c r="E990" s="18" t="n">
        <v>0</v>
      </c>
      <c r="F990" s="18" t="s">
        <v>985</v>
      </c>
      <c r="G990" s="18" t="s">
        <v>414</v>
      </c>
      <c r="H990" s="18" t="s">
        <v>117</v>
      </c>
      <c r="I990" s="18"/>
      <c r="J990" s="18"/>
      <c r="K990" s="18"/>
      <c r="L990" s="18" t="s">
        <v>109</v>
      </c>
      <c r="M990" s="18" t="s">
        <v>109</v>
      </c>
      <c r="N990" s="18"/>
      <c r="O990" s="18"/>
      <c r="P990" s="18" t="s">
        <v>4380</v>
      </c>
      <c r="Q990" s="18" t="s">
        <v>134</v>
      </c>
      <c r="R990" s="18" t="s">
        <v>4381</v>
      </c>
      <c r="S990" s="18" t="s">
        <v>125</v>
      </c>
      <c r="T990" s="18" t="s">
        <v>4382</v>
      </c>
      <c r="U990" s="18"/>
      <c r="V990" s="19" t="s">
        <v>29</v>
      </c>
      <c r="W990" s="19"/>
      <c r="X990" s="19"/>
      <c r="Y990" s="20"/>
      <c r="Z990" s="19"/>
      <c r="AA990" s="18" t="str">
        <f aca="false">IF(OR(V990="Aprobada"),R990,IF(AND(OR(V990="Aprobada con ajuste",V990="Rechazada"),W990&lt;&gt;""),W990,""))</f>
        <v/>
      </c>
    </row>
    <row r="991" customFormat="false" ht="43.25" hidden="false" customHeight="false" outlineLevel="0" collapsed="false">
      <c r="A991" s="18" t="s">
        <v>4383</v>
      </c>
      <c r="B991" s="18" t="s">
        <v>64</v>
      </c>
      <c r="C991" s="18" t="s">
        <v>65</v>
      </c>
      <c r="D991" s="18" t="s">
        <v>4384</v>
      </c>
      <c r="E991" s="18" t="n">
        <v>11</v>
      </c>
      <c r="F991" s="18" t="s">
        <v>4385</v>
      </c>
      <c r="G991" s="18" t="s">
        <v>324</v>
      </c>
      <c r="H991" s="18" t="s">
        <v>109</v>
      </c>
      <c r="I991" s="18"/>
      <c r="J991" s="18"/>
      <c r="K991" s="18"/>
      <c r="L991" s="18" t="s">
        <v>109</v>
      </c>
      <c r="M991" s="18" t="s">
        <v>109</v>
      </c>
      <c r="N991" s="18"/>
      <c r="O991" s="18"/>
      <c r="P991" s="18" t="s">
        <v>4386</v>
      </c>
      <c r="Q991" s="18" t="s">
        <v>134</v>
      </c>
      <c r="R991" s="18" t="s">
        <v>4387</v>
      </c>
      <c r="S991" s="18" t="s">
        <v>125</v>
      </c>
      <c r="T991" s="18" t="s">
        <v>4388</v>
      </c>
      <c r="U991" s="18"/>
      <c r="V991" s="19" t="s">
        <v>29</v>
      </c>
      <c r="W991" s="19"/>
      <c r="X991" s="19"/>
      <c r="Y991" s="20"/>
      <c r="Z991" s="19"/>
      <c r="AA991" s="18" t="str">
        <f aca="false">IF(OR(V991="Aprobada"),R991,IF(AND(OR(V991="Aprobada con ajuste",V991="Rechazada"),W991&lt;&gt;""),W991,""))</f>
        <v/>
      </c>
    </row>
    <row r="992" customFormat="false" ht="43.25" hidden="false" customHeight="false" outlineLevel="0" collapsed="false">
      <c r="A992" s="18" t="s">
        <v>4389</v>
      </c>
      <c r="B992" s="18" t="s">
        <v>64</v>
      </c>
      <c r="C992" s="18" t="s">
        <v>65</v>
      </c>
      <c r="D992" s="18" t="s">
        <v>4384</v>
      </c>
      <c r="E992" s="18" t="n">
        <v>11</v>
      </c>
      <c r="F992" s="18" t="s">
        <v>4390</v>
      </c>
      <c r="G992" s="18" t="s">
        <v>139</v>
      </c>
      <c r="H992" s="18" t="s">
        <v>109</v>
      </c>
      <c r="I992" s="18"/>
      <c r="J992" s="18"/>
      <c r="K992" s="18"/>
      <c r="L992" s="18" t="s">
        <v>109</v>
      </c>
      <c r="M992" s="18" t="s">
        <v>109</v>
      </c>
      <c r="N992" s="18"/>
      <c r="O992" s="18" t="s">
        <v>4391</v>
      </c>
      <c r="P992" s="18" t="s">
        <v>4392</v>
      </c>
      <c r="Q992" s="18" t="s">
        <v>134</v>
      </c>
      <c r="R992" s="18" t="s">
        <v>4393</v>
      </c>
      <c r="S992" s="18" t="s">
        <v>125</v>
      </c>
      <c r="T992" s="18" t="s">
        <v>4394</v>
      </c>
      <c r="U992" s="18"/>
      <c r="V992" s="19" t="s">
        <v>29</v>
      </c>
      <c r="W992" s="19"/>
      <c r="X992" s="19"/>
      <c r="Y992" s="20"/>
      <c r="Z992" s="19"/>
      <c r="AA992" s="18" t="str">
        <f aca="false">IF(OR(V992="Aprobada"),R992,IF(AND(OR(V992="Aprobada con ajuste",V992="Rechazada"),W992&lt;&gt;""),W992,""))</f>
        <v/>
      </c>
    </row>
    <row r="993" customFormat="false" ht="43.25" hidden="false" customHeight="false" outlineLevel="0" collapsed="false">
      <c r="A993" s="18" t="s">
        <v>4395</v>
      </c>
      <c r="B993" s="18" t="s">
        <v>64</v>
      </c>
      <c r="C993" s="18" t="s">
        <v>65</v>
      </c>
      <c r="D993" s="18" t="s">
        <v>4384</v>
      </c>
      <c r="E993" s="18" t="n">
        <v>11</v>
      </c>
      <c r="F993" s="18" t="s">
        <v>4396</v>
      </c>
      <c r="G993" s="18" t="s">
        <v>4397</v>
      </c>
      <c r="H993" s="18" t="s">
        <v>109</v>
      </c>
      <c r="I993" s="18"/>
      <c r="J993" s="18"/>
      <c r="K993" s="18"/>
      <c r="L993" s="18" t="s">
        <v>109</v>
      </c>
      <c r="M993" s="18" t="s">
        <v>109</v>
      </c>
      <c r="N993" s="18"/>
      <c r="O993" s="18" t="s">
        <v>4398</v>
      </c>
      <c r="P993" s="18" t="s">
        <v>4399</v>
      </c>
      <c r="Q993" s="18" t="s">
        <v>134</v>
      </c>
      <c r="R993" s="18" t="s">
        <v>4400</v>
      </c>
      <c r="S993" s="18" t="s">
        <v>112</v>
      </c>
      <c r="T993" s="18" t="s">
        <v>4401</v>
      </c>
      <c r="U993" s="18" t="s">
        <v>4402</v>
      </c>
      <c r="V993" s="19" t="s">
        <v>29</v>
      </c>
      <c r="W993" s="19"/>
      <c r="X993" s="19"/>
      <c r="Y993" s="20"/>
      <c r="Z993" s="19"/>
      <c r="AA993" s="18" t="str">
        <f aca="false">IF(OR(V993="Aprobada"),R993,IF(AND(OR(V993="Aprobada con ajuste",V993="Rechazada"),W993&lt;&gt;""),W993,""))</f>
        <v/>
      </c>
    </row>
    <row r="994" customFormat="false" ht="43.25" hidden="false" customHeight="false" outlineLevel="0" collapsed="false">
      <c r="A994" s="18" t="s">
        <v>4403</v>
      </c>
      <c r="B994" s="18" t="s">
        <v>64</v>
      </c>
      <c r="C994" s="18" t="s">
        <v>65</v>
      </c>
      <c r="D994" s="18" t="s">
        <v>4384</v>
      </c>
      <c r="E994" s="18" t="n">
        <v>11</v>
      </c>
      <c r="F994" s="18" t="s">
        <v>4404</v>
      </c>
      <c r="G994" s="18" t="s">
        <v>4397</v>
      </c>
      <c r="H994" s="18" t="s">
        <v>109</v>
      </c>
      <c r="I994" s="18"/>
      <c r="J994" s="18"/>
      <c r="K994" s="18"/>
      <c r="L994" s="18" t="s">
        <v>109</v>
      </c>
      <c r="M994" s="18" t="s">
        <v>109</v>
      </c>
      <c r="N994" s="18"/>
      <c r="O994" s="18" t="s">
        <v>4398</v>
      </c>
      <c r="P994" s="18" t="s">
        <v>4405</v>
      </c>
      <c r="Q994" s="18" t="s">
        <v>134</v>
      </c>
      <c r="R994" s="18" t="s">
        <v>4406</v>
      </c>
      <c r="S994" s="18" t="s">
        <v>112</v>
      </c>
      <c r="T994" s="18" t="s">
        <v>4407</v>
      </c>
      <c r="U994" s="18" t="s">
        <v>4402</v>
      </c>
      <c r="V994" s="19" t="s">
        <v>29</v>
      </c>
      <c r="W994" s="19"/>
      <c r="X994" s="19"/>
      <c r="Y994" s="20"/>
      <c r="Z994" s="19"/>
      <c r="AA994" s="18" t="str">
        <f aca="false">IF(OR(V994="Aprobada"),R994,IF(AND(OR(V994="Aprobada con ajuste",V994="Rechazada"),W994&lt;&gt;""),W994,""))</f>
        <v/>
      </c>
    </row>
    <row r="995" customFormat="false" ht="43.25" hidden="false" customHeight="false" outlineLevel="0" collapsed="false">
      <c r="A995" s="18" t="s">
        <v>4408</v>
      </c>
      <c r="B995" s="18" t="s">
        <v>64</v>
      </c>
      <c r="C995" s="18" t="s">
        <v>65</v>
      </c>
      <c r="D995" s="18" t="s">
        <v>4384</v>
      </c>
      <c r="E995" s="18" t="n">
        <v>11</v>
      </c>
      <c r="F995" s="18" t="s">
        <v>4409</v>
      </c>
      <c r="G995" s="18" t="s">
        <v>4397</v>
      </c>
      <c r="H995" s="18" t="s">
        <v>109</v>
      </c>
      <c r="I995" s="18"/>
      <c r="J995" s="18"/>
      <c r="K995" s="18"/>
      <c r="L995" s="18" t="s">
        <v>109</v>
      </c>
      <c r="M995" s="18" t="s">
        <v>109</v>
      </c>
      <c r="N995" s="18"/>
      <c r="O995" s="18"/>
      <c r="P995" s="18" t="s">
        <v>4410</v>
      </c>
      <c r="Q995" s="18" t="s">
        <v>134</v>
      </c>
      <c r="R995" s="18" t="s">
        <v>4411</v>
      </c>
      <c r="S995" s="18" t="s">
        <v>112</v>
      </c>
      <c r="T995" s="18" t="s">
        <v>4412</v>
      </c>
      <c r="U995" s="18" t="s">
        <v>4413</v>
      </c>
      <c r="V995" s="19" t="s">
        <v>29</v>
      </c>
      <c r="W995" s="19"/>
      <c r="X995" s="19"/>
      <c r="Y995" s="20"/>
      <c r="Z995" s="19"/>
      <c r="AA995" s="18" t="str">
        <f aca="false">IF(OR(V995="Aprobada"),R995,IF(AND(OR(V995="Aprobada con ajuste",V995="Rechazada"),W995&lt;&gt;""),W995,""))</f>
        <v/>
      </c>
    </row>
    <row r="996" customFormat="false" ht="43.25" hidden="false" customHeight="false" outlineLevel="0" collapsed="false">
      <c r="A996" s="18" t="s">
        <v>4414</v>
      </c>
      <c r="B996" s="18" t="s">
        <v>64</v>
      </c>
      <c r="C996" s="18" t="s">
        <v>65</v>
      </c>
      <c r="D996" s="18" t="s">
        <v>4384</v>
      </c>
      <c r="E996" s="18" t="n">
        <v>11</v>
      </c>
      <c r="F996" s="18" t="s">
        <v>857</v>
      </c>
      <c r="G996" s="18" t="s">
        <v>145</v>
      </c>
      <c r="H996" s="18" t="s">
        <v>109</v>
      </c>
      <c r="I996" s="18"/>
      <c r="J996" s="18"/>
      <c r="K996" s="18"/>
      <c r="L996" s="18" t="s">
        <v>109</v>
      </c>
      <c r="M996" s="18" t="s">
        <v>109</v>
      </c>
      <c r="N996" s="18"/>
      <c r="O996" s="18" t="s">
        <v>4415</v>
      </c>
      <c r="P996" s="18" t="s">
        <v>4416</v>
      </c>
      <c r="Q996" s="18" t="s">
        <v>110</v>
      </c>
      <c r="R996" s="18" t="s">
        <v>859</v>
      </c>
      <c r="S996" s="18" t="s">
        <v>112</v>
      </c>
      <c r="T996" s="18" t="s">
        <v>113</v>
      </c>
      <c r="U996" s="18"/>
      <c r="V996" s="19" t="s">
        <v>29</v>
      </c>
      <c r="W996" s="19"/>
      <c r="X996" s="19"/>
      <c r="Y996" s="20"/>
      <c r="Z996" s="19"/>
      <c r="AA996" s="18" t="str">
        <f aca="false">IF(OR(V996="Aprobada"),R996,IF(AND(OR(V996="Aprobada con ajuste",V996="Rechazada"),W996&lt;&gt;""),W996,""))</f>
        <v/>
      </c>
    </row>
    <row r="997" customFormat="false" ht="43.25" hidden="false" customHeight="false" outlineLevel="0" collapsed="false">
      <c r="A997" s="18" t="s">
        <v>4417</v>
      </c>
      <c r="B997" s="18" t="s">
        <v>64</v>
      </c>
      <c r="C997" s="18" t="s">
        <v>65</v>
      </c>
      <c r="D997" s="18" t="s">
        <v>4418</v>
      </c>
      <c r="E997" s="18" t="n">
        <v>0</v>
      </c>
      <c r="F997" s="18" t="s">
        <v>4419</v>
      </c>
      <c r="G997" s="18" t="s">
        <v>249</v>
      </c>
      <c r="H997" s="18" t="s">
        <v>109</v>
      </c>
      <c r="I997" s="18"/>
      <c r="J997" s="18"/>
      <c r="K997" s="18"/>
      <c r="L997" s="18" t="s">
        <v>109</v>
      </c>
      <c r="M997" s="18" t="s">
        <v>109</v>
      </c>
      <c r="N997" s="18"/>
      <c r="O997" s="18" t="s">
        <v>4420</v>
      </c>
      <c r="P997" s="18" t="s">
        <v>4421</v>
      </c>
      <c r="Q997" s="18" t="s">
        <v>134</v>
      </c>
      <c r="R997" s="18" t="s">
        <v>4422</v>
      </c>
      <c r="S997" s="18" t="s">
        <v>125</v>
      </c>
      <c r="T997" s="18" t="s">
        <v>4423</v>
      </c>
      <c r="U997" s="18"/>
      <c r="V997" s="19" t="s">
        <v>29</v>
      </c>
      <c r="W997" s="19"/>
      <c r="X997" s="19"/>
      <c r="Y997" s="20"/>
      <c r="Z997" s="19"/>
      <c r="AA997" s="18" t="str">
        <f aca="false">IF(OR(V997="Aprobada"),R997,IF(AND(OR(V997="Aprobada con ajuste",V997="Rechazada"),W997&lt;&gt;""),W997,""))</f>
        <v/>
      </c>
    </row>
    <row r="998" customFormat="false" ht="43.25" hidden="false" customHeight="false" outlineLevel="0" collapsed="false">
      <c r="A998" s="18" t="s">
        <v>4424</v>
      </c>
      <c r="B998" s="18" t="s">
        <v>64</v>
      </c>
      <c r="C998" s="18" t="s">
        <v>65</v>
      </c>
      <c r="D998" s="18" t="s">
        <v>4418</v>
      </c>
      <c r="E998" s="18" t="n">
        <v>0</v>
      </c>
      <c r="F998" s="18" t="s">
        <v>4425</v>
      </c>
      <c r="G998" s="18" t="s">
        <v>324</v>
      </c>
      <c r="H998" s="18" t="s">
        <v>109</v>
      </c>
      <c r="I998" s="18" t="s">
        <v>140</v>
      </c>
      <c r="J998" s="18" t="s">
        <v>4426</v>
      </c>
      <c r="K998" s="18"/>
      <c r="L998" s="18" t="s">
        <v>117</v>
      </c>
      <c r="M998" s="18" t="s">
        <v>109</v>
      </c>
      <c r="N998" s="18"/>
      <c r="O998" s="18" t="s">
        <v>4427</v>
      </c>
      <c r="P998" s="18" t="s">
        <v>4428</v>
      </c>
      <c r="Q998" s="18" t="s">
        <v>123</v>
      </c>
      <c r="R998" s="18" t="s">
        <v>4429</v>
      </c>
      <c r="S998" s="18" t="s">
        <v>125</v>
      </c>
      <c r="T998" s="18" t="s">
        <v>4430</v>
      </c>
      <c r="U998" s="18"/>
      <c r="V998" s="19" t="s">
        <v>29</v>
      </c>
      <c r="W998" s="19"/>
      <c r="X998" s="19"/>
      <c r="Y998" s="20"/>
      <c r="Z998" s="19"/>
      <c r="AA998" s="18" t="str">
        <f aca="false">IF(OR(V998="Aprobada"),R998,IF(AND(OR(V998="Aprobada con ajuste",V998="Rechazada"),W998&lt;&gt;""),W998,""))</f>
        <v/>
      </c>
    </row>
    <row r="999" customFormat="false" ht="32.8" hidden="false" customHeight="false" outlineLevel="0" collapsed="false">
      <c r="A999" s="18" t="s">
        <v>4431</v>
      </c>
      <c r="B999" s="18" t="s">
        <v>64</v>
      </c>
      <c r="C999" s="18" t="s">
        <v>65</v>
      </c>
      <c r="D999" s="18" t="s">
        <v>4418</v>
      </c>
      <c r="E999" s="18" t="n">
        <v>0</v>
      </c>
      <c r="F999" s="18" t="s">
        <v>4432</v>
      </c>
      <c r="G999" s="18" t="s">
        <v>486</v>
      </c>
      <c r="H999" s="18" t="s">
        <v>109</v>
      </c>
      <c r="I999" s="18" t="s">
        <v>140</v>
      </c>
      <c r="J999" s="18" t="s">
        <v>4433</v>
      </c>
      <c r="K999" s="18"/>
      <c r="L999" s="18" t="s">
        <v>117</v>
      </c>
      <c r="M999" s="18" t="s">
        <v>109</v>
      </c>
      <c r="N999" s="18"/>
      <c r="O999" s="18"/>
      <c r="P999" s="18" t="s">
        <v>4434</v>
      </c>
      <c r="Q999" s="18" t="s">
        <v>123</v>
      </c>
      <c r="R999" s="18" t="s">
        <v>4435</v>
      </c>
      <c r="S999" s="18" t="s">
        <v>125</v>
      </c>
      <c r="T999" s="18" t="s">
        <v>4436</v>
      </c>
      <c r="U999" s="18"/>
      <c r="V999" s="19" t="s">
        <v>29</v>
      </c>
      <c r="W999" s="19"/>
      <c r="X999" s="19"/>
      <c r="Y999" s="20"/>
      <c r="Z999" s="19"/>
      <c r="AA999" s="18" t="str">
        <f aca="false">IF(OR(V999="Aprobada"),R999,IF(AND(OR(V999="Aprobada con ajuste",V999="Rechazada"),W999&lt;&gt;""),W999,""))</f>
        <v/>
      </c>
    </row>
    <row r="1000" customFormat="false" ht="53.7" hidden="false" customHeight="false" outlineLevel="0" collapsed="false">
      <c r="A1000" s="18" t="s">
        <v>4437</v>
      </c>
      <c r="B1000" s="18" t="s">
        <v>64</v>
      </c>
      <c r="C1000" s="18" t="s">
        <v>65</v>
      </c>
      <c r="D1000" s="18" t="s">
        <v>4418</v>
      </c>
      <c r="E1000" s="18" t="n">
        <v>0</v>
      </c>
      <c r="F1000" s="18" t="s">
        <v>4438</v>
      </c>
      <c r="G1000" s="18" t="s">
        <v>414</v>
      </c>
      <c r="H1000" s="18" t="s">
        <v>109</v>
      </c>
      <c r="I1000" s="18"/>
      <c r="J1000" s="18"/>
      <c r="K1000" s="18"/>
      <c r="L1000" s="18" t="s">
        <v>109</v>
      </c>
      <c r="M1000" s="18" t="s">
        <v>109</v>
      </c>
      <c r="N1000" s="18"/>
      <c r="O1000" s="18"/>
      <c r="P1000" s="18" t="s">
        <v>4439</v>
      </c>
      <c r="Q1000" s="18" t="s">
        <v>134</v>
      </c>
      <c r="R1000" s="18" t="s">
        <v>4440</v>
      </c>
      <c r="S1000" s="18" t="s">
        <v>112</v>
      </c>
      <c r="T1000" s="18" t="s">
        <v>4441</v>
      </c>
      <c r="U1000" s="18" t="s">
        <v>4442</v>
      </c>
      <c r="V1000" s="19" t="s">
        <v>29</v>
      </c>
      <c r="W1000" s="19"/>
      <c r="X1000" s="19"/>
      <c r="Y1000" s="20"/>
      <c r="Z1000" s="19"/>
      <c r="AA1000" s="18" t="str">
        <f aca="false">IF(OR(V1000="Aprobada"),R1000,IF(AND(OR(V1000="Aprobada con ajuste",V1000="Rechazada"),W1000&lt;&gt;""),W1000,""))</f>
        <v/>
      </c>
    </row>
    <row r="1001" customFormat="false" ht="43.25" hidden="false" customHeight="false" outlineLevel="0" collapsed="false">
      <c r="A1001" s="18" t="s">
        <v>4443</v>
      </c>
      <c r="B1001" s="18" t="s">
        <v>64</v>
      </c>
      <c r="C1001" s="18" t="s">
        <v>65</v>
      </c>
      <c r="D1001" s="18" t="s">
        <v>4418</v>
      </c>
      <c r="E1001" s="18" t="n">
        <v>0</v>
      </c>
      <c r="F1001" s="18" t="s">
        <v>4444</v>
      </c>
      <c r="G1001" s="18" t="s">
        <v>2248</v>
      </c>
      <c r="H1001" s="18" t="s">
        <v>117</v>
      </c>
      <c r="I1001" s="18"/>
      <c r="J1001" s="18"/>
      <c r="K1001" s="18"/>
      <c r="L1001" s="18" t="s">
        <v>109</v>
      </c>
      <c r="M1001" s="18" t="s">
        <v>109</v>
      </c>
      <c r="N1001" s="18"/>
      <c r="O1001" s="18"/>
      <c r="P1001" s="18" t="s">
        <v>4445</v>
      </c>
      <c r="Q1001" s="18" t="s">
        <v>134</v>
      </c>
      <c r="R1001" s="18" t="s">
        <v>4446</v>
      </c>
      <c r="S1001" s="18" t="s">
        <v>125</v>
      </c>
      <c r="T1001" s="18" t="s">
        <v>4447</v>
      </c>
      <c r="U1001" s="18"/>
      <c r="V1001" s="19" t="s">
        <v>29</v>
      </c>
      <c r="W1001" s="19"/>
      <c r="X1001" s="19"/>
      <c r="Y1001" s="20"/>
      <c r="Z1001" s="19"/>
      <c r="AA1001" s="18" t="str">
        <f aca="false">IF(OR(V1001="Aprobada"),R1001,IF(AND(OR(V1001="Aprobada con ajuste",V1001="Rechazada"),W1001&lt;&gt;""),W1001,""))</f>
        <v/>
      </c>
    </row>
    <row r="1002" customFormat="false" ht="43.25" hidden="false" customHeight="false" outlineLevel="0" collapsed="false">
      <c r="A1002" s="18" t="s">
        <v>4448</v>
      </c>
      <c r="B1002" s="18" t="s">
        <v>64</v>
      </c>
      <c r="C1002" s="18" t="s">
        <v>65</v>
      </c>
      <c r="D1002" s="18" t="s">
        <v>4418</v>
      </c>
      <c r="E1002" s="18" t="n">
        <v>0</v>
      </c>
      <c r="F1002" s="18" t="s">
        <v>769</v>
      </c>
      <c r="G1002" s="18" t="s">
        <v>116</v>
      </c>
      <c r="H1002" s="18" t="s">
        <v>117</v>
      </c>
      <c r="I1002" s="18"/>
      <c r="J1002" s="18"/>
      <c r="K1002" s="18"/>
      <c r="L1002" s="18" t="s">
        <v>109</v>
      </c>
      <c r="M1002" s="18" t="s">
        <v>109</v>
      </c>
      <c r="N1002" s="18"/>
      <c r="O1002" s="18"/>
      <c r="P1002" s="18" t="s">
        <v>4449</v>
      </c>
      <c r="Q1002" s="18" t="s">
        <v>134</v>
      </c>
      <c r="R1002" s="18" t="s">
        <v>4450</v>
      </c>
      <c r="S1002" s="18" t="s">
        <v>125</v>
      </c>
      <c r="T1002" s="18" t="s">
        <v>225</v>
      </c>
      <c r="U1002" s="18"/>
      <c r="V1002" s="19" t="s">
        <v>29</v>
      </c>
      <c r="W1002" s="19"/>
      <c r="X1002" s="19"/>
      <c r="Y1002" s="20"/>
      <c r="Z1002" s="19"/>
      <c r="AA1002" s="18" t="str">
        <f aca="false">IF(OR(V1002="Aprobada"),R1002,IF(AND(OR(V1002="Aprobada con ajuste",V1002="Rechazada"),W1002&lt;&gt;""),W1002,""))</f>
        <v/>
      </c>
    </row>
    <row r="1003" customFormat="false" ht="32.8" hidden="false" customHeight="false" outlineLevel="0" collapsed="false">
      <c r="A1003" s="18" t="s">
        <v>4451</v>
      </c>
      <c r="B1003" s="18" t="s">
        <v>64</v>
      </c>
      <c r="C1003" s="18" t="s">
        <v>65</v>
      </c>
      <c r="D1003" s="18" t="s">
        <v>4452</v>
      </c>
      <c r="E1003" s="18" t="n">
        <v>0</v>
      </c>
      <c r="F1003" s="18" t="s">
        <v>107</v>
      </c>
      <c r="G1003" s="18" t="s">
        <v>151</v>
      </c>
      <c r="H1003" s="18" t="s">
        <v>109</v>
      </c>
      <c r="I1003" s="18" t="s">
        <v>140</v>
      </c>
      <c r="J1003" s="18" t="s">
        <v>4453</v>
      </c>
      <c r="K1003" s="18"/>
      <c r="L1003" s="18" t="s">
        <v>117</v>
      </c>
      <c r="M1003" s="18" t="s">
        <v>109</v>
      </c>
      <c r="N1003" s="18"/>
      <c r="O1003" s="18"/>
      <c r="P1003" s="18" t="s">
        <v>4454</v>
      </c>
      <c r="Q1003" s="18" t="s">
        <v>110</v>
      </c>
      <c r="R1003" s="18" t="s">
        <v>4455</v>
      </c>
      <c r="S1003" s="18" t="s">
        <v>112</v>
      </c>
      <c r="T1003" s="18" t="s">
        <v>113</v>
      </c>
      <c r="U1003" s="18"/>
      <c r="V1003" s="19" t="s">
        <v>29</v>
      </c>
      <c r="W1003" s="19"/>
      <c r="X1003" s="19"/>
      <c r="Y1003" s="20"/>
      <c r="Z1003" s="19"/>
      <c r="AA1003" s="18" t="str">
        <f aca="false">IF(OR(V1003="Aprobada"),R1003,IF(AND(OR(V1003="Aprobada con ajuste",V1003="Rechazada"),W1003&lt;&gt;""),W1003,""))</f>
        <v/>
      </c>
    </row>
    <row r="1004" customFormat="false" ht="43.25" hidden="false" customHeight="false" outlineLevel="0" collapsed="false">
      <c r="A1004" s="18" t="s">
        <v>4456</v>
      </c>
      <c r="B1004" s="18" t="s">
        <v>64</v>
      </c>
      <c r="C1004" s="18" t="s">
        <v>65</v>
      </c>
      <c r="D1004" s="18" t="s">
        <v>4452</v>
      </c>
      <c r="E1004" s="18" t="n">
        <v>0</v>
      </c>
      <c r="F1004" s="18" t="s">
        <v>312</v>
      </c>
      <c r="G1004" s="18" t="s">
        <v>116</v>
      </c>
      <c r="H1004" s="18" t="s">
        <v>109</v>
      </c>
      <c r="I1004" s="18" t="s">
        <v>140</v>
      </c>
      <c r="J1004" s="18"/>
      <c r="K1004" s="18"/>
      <c r="L1004" s="18" t="s">
        <v>109</v>
      </c>
      <c r="M1004" s="18" t="s">
        <v>109</v>
      </c>
      <c r="N1004" s="18"/>
      <c r="O1004" s="18"/>
      <c r="P1004" s="18" t="s">
        <v>4457</v>
      </c>
      <c r="Q1004" s="18" t="s">
        <v>134</v>
      </c>
      <c r="R1004" s="18" t="s">
        <v>4458</v>
      </c>
      <c r="S1004" s="18" t="s">
        <v>125</v>
      </c>
      <c r="T1004" s="18" t="s">
        <v>4459</v>
      </c>
      <c r="U1004" s="18"/>
      <c r="V1004" s="19" t="s">
        <v>29</v>
      </c>
      <c r="W1004" s="19"/>
      <c r="X1004" s="19"/>
      <c r="Y1004" s="20"/>
      <c r="Z1004" s="19"/>
      <c r="AA1004" s="18" t="str">
        <f aca="false">IF(OR(V1004="Aprobada"),R1004,IF(AND(OR(V1004="Aprobada con ajuste",V1004="Rechazada"),W1004&lt;&gt;""),W1004,""))</f>
        <v/>
      </c>
    </row>
    <row r="1005" customFormat="false" ht="43.25" hidden="false" customHeight="false" outlineLevel="0" collapsed="false">
      <c r="A1005" s="18" t="s">
        <v>4460</v>
      </c>
      <c r="B1005" s="18" t="s">
        <v>64</v>
      </c>
      <c r="C1005" s="18" t="s">
        <v>65</v>
      </c>
      <c r="D1005" s="18" t="s">
        <v>4452</v>
      </c>
      <c r="E1005" s="18" t="n">
        <v>0</v>
      </c>
      <c r="F1005" s="18" t="s">
        <v>4461</v>
      </c>
      <c r="G1005" s="18" t="s">
        <v>249</v>
      </c>
      <c r="H1005" s="18" t="s">
        <v>109</v>
      </c>
      <c r="I1005" s="18" t="s">
        <v>140</v>
      </c>
      <c r="J1005" s="18"/>
      <c r="K1005" s="18"/>
      <c r="L1005" s="18" t="s">
        <v>109</v>
      </c>
      <c r="M1005" s="18" t="s">
        <v>109</v>
      </c>
      <c r="N1005" s="18"/>
      <c r="O1005" s="18"/>
      <c r="P1005" s="18" t="s">
        <v>4462</v>
      </c>
      <c r="Q1005" s="18" t="s">
        <v>134</v>
      </c>
      <c r="R1005" s="18" t="s">
        <v>4463</v>
      </c>
      <c r="S1005" s="18" t="s">
        <v>112</v>
      </c>
      <c r="T1005" s="18" t="s">
        <v>4464</v>
      </c>
      <c r="U1005" s="18" t="s">
        <v>4465</v>
      </c>
      <c r="V1005" s="19" t="s">
        <v>29</v>
      </c>
      <c r="W1005" s="19"/>
      <c r="X1005" s="19"/>
      <c r="Y1005" s="20"/>
      <c r="Z1005" s="19"/>
      <c r="AA1005" s="18" t="str">
        <f aca="false">IF(OR(V1005="Aprobada"),R1005,IF(AND(OR(V1005="Aprobada con ajuste",V1005="Rechazada"),W1005&lt;&gt;""),W1005,""))</f>
        <v/>
      </c>
    </row>
    <row r="1006" customFormat="false" ht="43.25" hidden="false" customHeight="false" outlineLevel="0" collapsed="false">
      <c r="A1006" s="18" t="s">
        <v>4466</v>
      </c>
      <c r="B1006" s="18" t="s">
        <v>64</v>
      </c>
      <c r="C1006" s="18" t="s">
        <v>65</v>
      </c>
      <c r="D1006" s="18" t="s">
        <v>4452</v>
      </c>
      <c r="E1006" s="18" t="n">
        <v>0</v>
      </c>
      <c r="F1006" s="18" t="s">
        <v>4467</v>
      </c>
      <c r="G1006" s="18" t="s">
        <v>184</v>
      </c>
      <c r="H1006" s="18" t="s">
        <v>109</v>
      </c>
      <c r="I1006" s="18"/>
      <c r="J1006" s="18"/>
      <c r="K1006" s="18"/>
      <c r="L1006" s="18" t="s">
        <v>109</v>
      </c>
      <c r="M1006" s="18" t="s">
        <v>109</v>
      </c>
      <c r="N1006" s="18"/>
      <c r="O1006" s="18" t="s">
        <v>4468</v>
      </c>
      <c r="P1006" s="18" t="s">
        <v>4469</v>
      </c>
      <c r="Q1006" s="18" t="s">
        <v>110</v>
      </c>
      <c r="R1006" s="18" t="s">
        <v>1904</v>
      </c>
      <c r="S1006" s="18" t="s">
        <v>112</v>
      </c>
      <c r="T1006" s="18" t="s">
        <v>113</v>
      </c>
      <c r="U1006" s="18"/>
      <c r="V1006" s="19" t="s">
        <v>29</v>
      </c>
      <c r="W1006" s="19"/>
      <c r="X1006" s="19"/>
      <c r="Y1006" s="20"/>
      <c r="Z1006" s="19"/>
      <c r="AA1006" s="18" t="str">
        <f aca="false">IF(OR(V1006="Aprobada"),R1006,IF(AND(OR(V1006="Aprobada con ajuste",V1006="Rechazada"),W1006&lt;&gt;""),W1006,""))</f>
        <v/>
      </c>
    </row>
    <row r="1007" customFormat="false" ht="43.25" hidden="false" customHeight="false" outlineLevel="0" collapsed="false">
      <c r="A1007" s="18" t="s">
        <v>4470</v>
      </c>
      <c r="B1007" s="18" t="s">
        <v>64</v>
      </c>
      <c r="C1007" s="18" t="s">
        <v>65</v>
      </c>
      <c r="D1007" s="18" t="s">
        <v>4452</v>
      </c>
      <c r="E1007" s="18" t="n">
        <v>0</v>
      </c>
      <c r="F1007" s="18" t="s">
        <v>4471</v>
      </c>
      <c r="G1007" s="18" t="s">
        <v>249</v>
      </c>
      <c r="H1007" s="18" t="s">
        <v>117</v>
      </c>
      <c r="I1007" s="18" t="s">
        <v>140</v>
      </c>
      <c r="J1007" s="18"/>
      <c r="K1007" s="18"/>
      <c r="L1007" s="18" t="s">
        <v>109</v>
      </c>
      <c r="M1007" s="18" t="s">
        <v>109</v>
      </c>
      <c r="N1007" s="18"/>
      <c r="O1007" s="18"/>
      <c r="P1007" s="18" t="s">
        <v>4472</v>
      </c>
      <c r="Q1007" s="18" t="s">
        <v>134</v>
      </c>
      <c r="R1007" s="18" t="s">
        <v>4473</v>
      </c>
      <c r="S1007" s="18" t="s">
        <v>112</v>
      </c>
      <c r="T1007" s="18" t="s">
        <v>4474</v>
      </c>
      <c r="U1007" s="18" t="s">
        <v>4465</v>
      </c>
      <c r="V1007" s="19" t="s">
        <v>29</v>
      </c>
      <c r="W1007" s="19"/>
      <c r="X1007" s="19"/>
      <c r="Y1007" s="20"/>
      <c r="Z1007" s="19"/>
      <c r="AA1007" s="18" t="str">
        <f aca="false">IF(OR(V1007="Aprobada"),R1007,IF(AND(OR(V1007="Aprobada con ajuste",V1007="Rechazada"),W1007&lt;&gt;""),W1007,""))</f>
        <v/>
      </c>
    </row>
    <row r="1008" customFormat="false" ht="32.8" hidden="false" customHeight="false" outlineLevel="0" collapsed="false">
      <c r="A1008" s="18" t="s">
        <v>4475</v>
      </c>
      <c r="B1008" s="18" t="s">
        <v>64</v>
      </c>
      <c r="C1008" s="18" t="s">
        <v>65</v>
      </c>
      <c r="D1008" s="18" t="s">
        <v>4452</v>
      </c>
      <c r="E1008" s="18" t="n">
        <v>0</v>
      </c>
      <c r="F1008" s="18" t="s">
        <v>4476</v>
      </c>
      <c r="G1008" s="18" t="s">
        <v>184</v>
      </c>
      <c r="H1008" s="18" t="s">
        <v>117</v>
      </c>
      <c r="I1008" s="18" t="s">
        <v>140</v>
      </c>
      <c r="J1008" s="18"/>
      <c r="K1008" s="18"/>
      <c r="L1008" s="18" t="s">
        <v>109</v>
      </c>
      <c r="M1008" s="18" t="s">
        <v>109</v>
      </c>
      <c r="N1008" s="18"/>
      <c r="O1008" s="18"/>
      <c r="P1008" s="18" t="s">
        <v>4477</v>
      </c>
      <c r="Q1008" s="18" t="s">
        <v>134</v>
      </c>
      <c r="R1008" s="18" t="s">
        <v>4478</v>
      </c>
      <c r="S1008" s="18" t="s">
        <v>125</v>
      </c>
      <c r="T1008" s="18" t="s">
        <v>4479</v>
      </c>
      <c r="U1008" s="18"/>
      <c r="V1008" s="19" t="s">
        <v>29</v>
      </c>
      <c r="W1008" s="19"/>
      <c r="X1008" s="19"/>
      <c r="Y1008" s="20"/>
      <c r="Z1008" s="19"/>
      <c r="AA1008" s="18" t="str">
        <f aca="false">IF(OR(V1008="Aprobada"),R1008,IF(AND(OR(V1008="Aprobada con ajuste",V1008="Rechazada"),W1008&lt;&gt;""),W1008,""))</f>
        <v/>
      </c>
    </row>
    <row r="1009" customFormat="false" ht="43.25" hidden="false" customHeight="false" outlineLevel="0" collapsed="false">
      <c r="A1009" s="18" t="s">
        <v>4480</v>
      </c>
      <c r="B1009" s="18" t="s">
        <v>64</v>
      </c>
      <c r="C1009" s="18" t="s">
        <v>65</v>
      </c>
      <c r="D1009" s="18" t="s">
        <v>4452</v>
      </c>
      <c r="E1009" s="18" t="n">
        <v>0</v>
      </c>
      <c r="F1009" s="18" t="s">
        <v>4481</v>
      </c>
      <c r="G1009" s="18" t="s">
        <v>116</v>
      </c>
      <c r="H1009" s="18" t="s">
        <v>117</v>
      </c>
      <c r="I1009" s="18" t="s">
        <v>140</v>
      </c>
      <c r="J1009" s="18"/>
      <c r="K1009" s="18"/>
      <c r="L1009" s="18" t="s">
        <v>109</v>
      </c>
      <c r="M1009" s="18" t="s">
        <v>109</v>
      </c>
      <c r="N1009" s="18"/>
      <c r="O1009" s="18"/>
      <c r="P1009" s="18" t="s">
        <v>4482</v>
      </c>
      <c r="Q1009" s="18" t="s">
        <v>134</v>
      </c>
      <c r="R1009" s="18" t="s">
        <v>4483</v>
      </c>
      <c r="S1009" s="18" t="s">
        <v>112</v>
      </c>
      <c r="T1009" s="18" t="s">
        <v>4484</v>
      </c>
      <c r="U1009" s="18" t="s">
        <v>4485</v>
      </c>
      <c r="V1009" s="19" t="s">
        <v>29</v>
      </c>
      <c r="W1009" s="19"/>
      <c r="X1009" s="19"/>
      <c r="Y1009" s="20"/>
      <c r="Z1009" s="19"/>
      <c r="AA1009" s="18" t="str">
        <f aca="false">IF(OR(V1009="Aprobada"),R1009,IF(AND(OR(V1009="Aprobada con ajuste",V1009="Rechazada"),W1009&lt;&gt;""),W1009,""))</f>
        <v/>
      </c>
    </row>
    <row r="1010" customFormat="false" ht="32.8" hidden="false" customHeight="false" outlineLevel="0" collapsed="false">
      <c r="A1010" s="18" t="s">
        <v>4486</v>
      </c>
      <c r="B1010" s="18" t="s">
        <v>64</v>
      </c>
      <c r="C1010" s="18" t="s">
        <v>65</v>
      </c>
      <c r="D1010" s="18" t="s">
        <v>4487</v>
      </c>
      <c r="E1010" s="18" t="n">
        <v>0</v>
      </c>
      <c r="F1010" s="18" t="s">
        <v>919</v>
      </c>
      <c r="G1010" s="18" t="s">
        <v>249</v>
      </c>
      <c r="H1010" s="18" t="s">
        <v>117</v>
      </c>
      <c r="I1010" s="18"/>
      <c r="J1010" s="18"/>
      <c r="K1010" s="18"/>
      <c r="L1010" s="18" t="s">
        <v>109</v>
      </c>
      <c r="M1010" s="18" t="s">
        <v>109</v>
      </c>
      <c r="N1010" s="18"/>
      <c r="O1010" s="18"/>
      <c r="P1010" s="18" t="s">
        <v>4488</v>
      </c>
      <c r="Q1010" s="18" t="s">
        <v>134</v>
      </c>
      <c r="R1010" s="18" t="s">
        <v>4489</v>
      </c>
      <c r="S1010" s="18" t="s">
        <v>112</v>
      </c>
      <c r="T1010" s="18" t="s">
        <v>4490</v>
      </c>
      <c r="U1010" s="18" t="s">
        <v>4491</v>
      </c>
      <c r="V1010" s="19" t="s">
        <v>29</v>
      </c>
      <c r="W1010" s="19"/>
      <c r="X1010" s="19"/>
      <c r="Y1010" s="20"/>
      <c r="Z1010" s="19"/>
      <c r="AA1010" s="18" t="str">
        <f aca="false">IF(OR(V1010="Aprobada"),R1010,IF(AND(OR(V1010="Aprobada con ajuste",V1010="Rechazada"),W1010&lt;&gt;""),W1010,""))</f>
        <v/>
      </c>
    </row>
    <row r="1011" customFormat="false" ht="85.05" hidden="false" customHeight="false" outlineLevel="0" collapsed="false">
      <c r="A1011" s="18" t="s">
        <v>4492</v>
      </c>
      <c r="B1011" s="18" t="s">
        <v>64</v>
      </c>
      <c r="C1011" s="18" t="s">
        <v>65</v>
      </c>
      <c r="D1011" s="18" t="s">
        <v>4487</v>
      </c>
      <c r="E1011" s="18" t="n">
        <v>0</v>
      </c>
      <c r="F1011" s="18" t="s">
        <v>271</v>
      </c>
      <c r="G1011" s="18" t="s">
        <v>133</v>
      </c>
      <c r="H1011" s="18" t="s">
        <v>109</v>
      </c>
      <c r="I1011" s="18" t="s">
        <v>140</v>
      </c>
      <c r="J1011" s="18" t="s">
        <v>4493</v>
      </c>
      <c r="K1011" s="18"/>
      <c r="L1011" s="18" t="s">
        <v>117</v>
      </c>
      <c r="M1011" s="18" t="s">
        <v>109</v>
      </c>
      <c r="N1011" s="18"/>
      <c r="O1011" s="18"/>
      <c r="P1011" s="18" t="s">
        <v>4494</v>
      </c>
      <c r="Q1011" s="18" t="s">
        <v>134</v>
      </c>
      <c r="R1011" s="18" t="s">
        <v>4495</v>
      </c>
      <c r="S1011" s="18" t="s">
        <v>125</v>
      </c>
      <c r="T1011" s="18" t="s">
        <v>4121</v>
      </c>
      <c r="U1011" s="18"/>
      <c r="V1011" s="19" t="s">
        <v>29</v>
      </c>
      <c r="W1011" s="19"/>
      <c r="X1011" s="19"/>
      <c r="Y1011" s="20"/>
      <c r="Z1011" s="19"/>
      <c r="AA1011" s="18" t="str">
        <f aca="false">IF(OR(V1011="Aprobada"),R1011,IF(AND(OR(V1011="Aprobada con ajuste",V1011="Rechazada"),W1011&lt;&gt;""),W1011,""))</f>
        <v/>
      </c>
    </row>
    <row r="1012" customFormat="false" ht="32.8" hidden="false" customHeight="false" outlineLevel="0" collapsed="false">
      <c r="A1012" s="18" t="s">
        <v>4496</v>
      </c>
      <c r="B1012" s="18" t="s">
        <v>64</v>
      </c>
      <c r="C1012" s="18" t="s">
        <v>65</v>
      </c>
      <c r="D1012" s="18" t="s">
        <v>4487</v>
      </c>
      <c r="E1012" s="18" t="n">
        <v>0</v>
      </c>
      <c r="F1012" s="18" t="s">
        <v>914</v>
      </c>
      <c r="G1012" s="18" t="s">
        <v>116</v>
      </c>
      <c r="H1012" s="18" t="s">
        <v>117</v>
      </c>
      <c r="I1012" s="18"/>
      <c r="J1012" s="18"/>
      <c r="K1012" s="18"/>
      <c r="L1012" s="18" t="s">
        <v>109</v>
      </c>
      <c r="M1012" s="18" t="s">
        <v>109</v>
      </c>
      <c r="N1012" s="18"/>
      <c r="O1012" s="18"/>
      <c r="P1012" s="18" t="s">
        <v>4497</v>
      </c>
      <c r="Q1012" s="18" t="s">
        <v>110</v>
      </c>
      <c r="R1012" s="18" t="s">
        <v>2258</v>
      </c>
      <c r="S1012" s="18" t="s">
        <v>112</v>
      </c>
      <c r="T1012" s="18" t="s">
        <v>113</v>
      </c>
      <c r="U1012" s="18"/>
      <c r="V1012" s="19" t="s">
        <v>29</v>
      </c>
      <c r="W1012" s="19"/>
      <c r="X1012" s="19"/>
      <c r="Y1012" s="20"/>
      <c r="Z1012" s="19"/>
      <c r="AA1012" s="18" t="str">
        <f aca="false">IF(OR(V1012="Aprobada"),R1012,IF(AND(OR(V1012="Aprobada con ajuste",V1012="Rechazada"),W1012&lt;&gt;""),W1012,""))</f>
        <v/>
      </c>
    </row>
    <row r="1013" customFormat="false" ht="32.8" hidden="false" customHeight="false" outlineLevel="0" collapsed="false">
      <c r="A1013" s="18" t="s">
        <v>4498</v>
      </c>
      <c r="B1013" s="18" t="s">
        <v>64</v>
      </c>
      <c r="C1013" s="18" t="s">
        <v>65</v>
      </c>
      <c r="D1013" s="18" t="s">
        <v>4487</v>
      </c>
      <c r="E1013" s="18" t="n">
        <v>0</v>
      </c>
      <c r="F1013" s="18" t="s">
        <v>3709</v>
      </c>
      <c r="G1013" s="18" t="s">
        <v>212</v>
      </c>
      <c r="H1013" s="18" t="s">
        <v>117</v>
      </c>
      <c r="I1013" s="18"/>
      <c r="J1013" s="18"/>
      <c r="K1013" s="18"/>
      <c r="L1013" s="18" t="s">
        <v>109</v>
      </c>
      <c r="M1013" s="18" t="s">
        <v>109</v>
      </c>
      <c r="N1013" s="18"/>
      <c r="O1013" s="18"/>
      <c r="P1013" s="18" t="s">
        <v>4499</v>
      </c>
      <c r="Q1013" s="18" t="s">
        <v>134</v>
      </c>
      <c r="R1013" s="18" t="s">
        <v>4500</v>
      </c>
      <c r="S1013" s="18" t="s">
        <v>169</v>
      </c>
      <c r="T1013" s="18" t="s">
        <v>1012</v>
      </c>
      <c r="U1013" s="18" t="s">
        <v>4501</v>
      </c>
      <c r="V1013" s="19" t="s">
        <v>29</v>
      </c>
      <c r="W1013" s="19"/>
      <c r="X1013" s="19"/>
      <c r="Y1013" s="20"/>
      <c r="Z1013" s="19"/>
      <c r="AA1013" s="18" t="str">
        <f aca="false">IF(OR(V1013="Aprobada"),R1013,IF(AND(OR(V1013="Aprobada con ajuste",V1013="Rechazada"),W1013&lt;&gt;""),W1013,""))</f>
        <v/>
      </c>
    </row>
    <row r="1014" customFormat="false" ht="32.8" hidden="false" customHeight="false" outlineLevel="0" collapsed="false">
      <c r="A1014" s="18" t="s">
        <v>4502</v>
      </c>
      <c r="B1014" s="18" t="s">
        <v>64</v>
      </c>
      <c r="C1014" s="18" t="s">
        <v>65</v>
      </c>
      <c r="D1014" s="18" t="s">
        <v>4487</v>
      </c>
      <c r="E1014" s="18" t="n">
        <v>0</v>
      </c>
      <c r="F1014" s="18" t="s">
        <v>2932</v>
      </c>
      <c r="G1014" s="18" t="s">
        <v>249</v>
      </c>
      <c r="H1014" s="18" t="s">
        <v>109</v>
      </c>
      <c r="I1014" s="18"/>
      <c r="J1014" s="18"/>
      <c r="K1014" s="18"/>
      <c r="L1014" s="18" t="s">
        <v>109</v>
      </c>
      <c r="M1014" s="18" t="s">
        <v>109</v>
      </c>
      <c r="N1014" s="18"/>
      <c r="O1014" s="18"/>
      <c r="P1014" s="18" t="s">
        <v>4503</v>
      </c>
      <c r="Q1014" s="18" t="s">
        <v>134</v>
      </c>
      <c r="R1014" s="18" t="s">
        <v>284</v>
      </c>
      <c r="S1014" s="18" t="s">
        <v>112</v>
      </c>
      <c r="T1014" s="18" t="s">
        <v>4504</v>
      </c>
      <c r="U1014" s="18" t="s">
        <v>4465</v>
      </c>
      <c r="V1014" s="19" t="s">
        <v>29</v>
      </c>
      <c r="W1014" s="19"/>
      <c r="X1014" s="19"/>
      <c r="Y1014" s="20"/>
      <c r="Z1014" s="19"/>
      <c r="AA1014" s="18" t="str">
        <f aca="false">IF(OR(V1014="Aprobada"),R1014,IF(AND(OR(V1014="Aprobada con ajuste",V1014="Rechazada"),W1014&lt;&gt;""),W1014,""))</f>
        <v/>
      </c>
    </row>
    <row r="1015" customFormat="false" ht="53.7" hidden="false" customHeight="false" outlineLevel="0" collapsed="false">
      <c r="A1015" s="18" t="s">
        <v>4505</v>
      </c>
      <c r="B1015" s="18" t="s">
        <v>64</v>
      </c>
      <c r="C1015" s="18" t="s">
        <v>65</v>
      </c>
      <c r="D1015" s="18" t="s">
        <v>4506</v>
      </c>
      <c r="E1015" s="18" t="n">
        <v>0</v>
      </c>
      <c r="F1015" s="18" t="s">
        <v>4362</v>
      </c>
      <c r="G1015" s="18" t="s">
        <v>934</v>
      </c>
      <c r="H1015" s="18" t="s">
        <v>109</v>
      </c>
      <c r="I1015" s="18"/>
      <c r="J1015" s="18"/>
      <c r="K1015" s="18"/>
      <c r="L1015" s="18" t="s">
        <v>109</v>
      </c>
      <c r="M1015" s="18" t="s">
        <v>109</v>
      </c>
      <c r="N1015" s="18"/>
      <c r="O1015" s="18"/>
      <c r="P1015" s="18" t="s">
        <v>4507</v>
      </c>
      <c r="Q1015" s="18" t="s">
        <v>134</v>
      </c>
      <c r="R1015" s="18" t="s">
        <v>4508</v>
      </c>
      <c r="S1015" s="18" t="s">
        <v>125</v>
      </c>
      <c r="T1015" s="18" t="s">
        <v>983</v>
      </c>
      <c r="U1015" s="18"/>
      <c r="V1015" s="19" t="s">
        <v>29</v>
      </c>
      <c r="W1015" s="19"/>
      <c r="X1015" s="19"/>
      <c r="Y1015" s="20"/>
      <c r="Z1015" s="19"/>
      <c r="AA1015" s="18" t="str">
        <f aca="false">IF(OR(V1015="Aprobada"),R1015,IF(AND(OR(V1015="Aprobada con ajuste",V1015="Rechazada"),W1015&lt;&gt;""),W1015,""))</f>
        <v/>
      </c>
    </row>
    <row r="1016" customFormat="false" ht="32.8" hidden="false" customHeight="false" outlineLevel="0" collapsed="false">
      <c r="A1016" s="18" t="s">
        <v>4509</v>
      </c>
      <c r="B1016" s="18" t="s">
        <v>64</v>
      </c>
      <c r="C1016" s="18" t="s">
        <v>65</v>
      </c>
      <c r="D1016" s="18" t="s">
        <v>4506</v>
      </c>
      <c r="E1016" s="18" t="n">
        <v>0</v>
      </c>
      <c r="F1016" s="18" t="s">
        <v>4510</v>
      </c>
      <c r="G1016" s="18" t="s">
        <v>4374</v>
      </c>
      <c r="H1016" s="18" t="s">
        <v>109</v>
      </c>
      <c r="I1016" s="18"/>
      <c r="J1016" s="18"/>
      <c r="K1016" s="18"/>
      <c r="L1016" s="18" t="s">
        <v>109</v>
      </c>
      <c r="M1016" s="18" t="s">
        <v>109</v>
      </c>
      <c r="N1016" s="18"/>
      <c r="O1016" s="18"/>
      <c r="P1016" s="18" t="s">
        <v>4511</v>
      </c>
      <c r="Q1016" s="18" t="s">
        <v>134</v>
      </c>
      <c r="R1016" s="18" t="s">
        <v>4512</v>
      </c>
      <c r="S1016" s="18" t="s">
        <v>112</v>
      </c>
      <c r="T1016" s="18" t="s">
        <v>4377</v>
      </c>
      <c r="U1016" s="18" t="s">
        <v>4513</v>
      </c>
      <c r="V1016" s="19" t="s">
        <v>29</v>
      </c>
      <c r="W1016" s="19"/>
      <c r="X1016" s="19"/>
      <c r="Y1016" s="20"/>
      <c r="Z1016" s="19"/>
      <c r="AA1016" s="18" t="str">
        <f aca="false">IF(OR(V1016="Aprobada"),R1016,IF(AND(OR(V1016="Aprobada con ajuste",V1016="Rechazada"),W1016&lt;&gt;""),W1016,""))</f>
        <v/>
      </c>
    </row>
    <row r="1017" customFormat="false" ht="32.8" hidden="false" customHeight="false" outlineLevel="0" collapsed="false">
      <c r="A1017" s="18" t="s">
        <v>4514</v>
      </c>
      <c r="B1017" s="18" t="s">
        <v>64</v>
      </c>
      <c r="C1017" s="18" t="s">
        <v>65</v>
      </c>
      <c r="D1017" s="18" t="s">
        <v>4506</v>
      </c>
      <c r="E1017" s="18" t="n">
        <v>0</v>
      </c>
      <c r="F1017" s="18" t="s">
        <v>988</v>
      </c>
      <c r="G1017" s="18" t="s">
        <v>139</v>
      </c>
      <c r="H1017" s="18" t="s">
        <v>109</v>
      </c>
      <c r="I1017" s="18" t="s">
        <v>140</v>
      </c>
      <c r="J1017" s="18"/>
      <c r="K1017" s="18"/>
      <c r="L1017" s="18" t="s">
        <v>109</v>
      </c>
      <c r="M1017" s="18" t="s">
        <v>109</v>
      </c>
      <c r="N1017" s="18"/>
      <c r="O1017" s="18"/>
      <c r="P1017" s="18" t="s">
        <v>4515</v>
      </c>
      <c r="Q1017" s="18" t="s">
        <v>110</v>
      </c>
      <c r="R1017" s="18" t="s">
        <v>776</v>
      </c>
      <c r="S1017" s="18" t="s">
        <v>112</v>
      </c>
      <c r="T1017" s="18" t="s">
        <v>113</v>
      </c>
      <c r="U1017" s="18"/>
      <c r="V1017" s="19" t="s">
        <v>29</v>
      </c>
      <c r="W1017" s="19"/>
      <c r="X1017" s="19"/>
      <c r="Y1017" s="20"/>
      <c r="Z1017" s="19"/>
      <c r="AA1017" s="18" t="str">
        <f aca="false">IF(OR(V1017="Aprobada"),R1017,IF(AND(OR(V1017="Aprobada con ajuste",V1017="Rechazada"),W1017&lt;&gt;""),W1017,""))</f>
        <v/>
      </c>
    </row>
    <row r="1018" customFormat="false" ht="32.8" hidden="false" customHeight="false" outlineLevel="0" collapsed="false">
      <c r="A1018" s="18" t="s">
        <v>4516</v>
      </c>
      <c r="B1018" s="18" t="s">
        <v>64</v>
      </c>
      <c r="C1018" s="18" t="s">
        <v>65</v>
      </c>
      <c r="D1018" s="18" t="s">
        <v>4506</v>
      </c>
      <c r="E1018" s="18" t="n">
        <v>0</v>
      </c>
      <c r="F1018" s="18" t="s">
        <v>991</v>
      </c>
      <c r="G1018" s="18" t="s">
        <v>218</v>
      </c>
      <c r="H1018" s="18" t="s">
        <v>109</v>
      </c>
      <c r="I1018" s="18"/>
      <c r="J1018" s="18"/>
      <c r="K1018" s="18"/>
      <c r="L1018" s="18" t="s">
        <v>109</v>
      </c>
      <c r="M1018" s="18" t="s">
        <v>109</v>
      </c>
      <c r="N1018" s="18"/>
      <c r="O1018" s="18"/>
      <c r="P1018" s="18" t="s">
        <v>4517</v>
      </c>
      <c r="Q1018" s="18" t="s">
        <v>134</v>
      </c>
      <c r="R1018" s="18" t="s">
        <v>4518</v>
      </c>
      <c r="S1018" s="18" t="s">
        <v>125</v>
      </c>
      <c r="T1018" s="18" t="s">
        <v>220</v>
      </c>
      <c r="U1018" s="18"/>
      <c r="V1018" s="19" t="s">
        <v>29</v>
      </c>
      <c r="W1018" s="19"/>
      <c r="X1018" s="19"/>
      <c r="Y1018" s="20"/>
      <c r="Z1018" s="19"/>
      <c r="AA1018" s="18" t="str">
        <f aca="false">IF(OR(V1018="Aprobada"),R1018,IF(AND(OR(V1018="Aprobada con ajuste",V1018="Rechazada"),W1018&lt;&gt;""),W1018,""))</f>
        <v/>
      </c>
    </row>
    <row r="1019" customFormat="false" ht="32.8" hidden="false" customHeight="false" outlineLevel="0" collapsed="false">
      <c r="A1019" s="18" t="s">
        <v>4519</v>
      </c>
      <c r="B1019" s="18" t="s">
        <v>64</v>
      </c>
      <c r="C1019" s="18" t="s">
        <v>65</v>
      </c>
      <c r="D1019" s="18" t="s">
        <v>4506</v>
      </c>
      <c r="E1019" s="18" t="n">
        <v>0</v>
      </c>
      <c r="F1019" s="18" t="s">
        <v>4520</v>
      </c>
      <c r="G1019" s="18" t="s">
        <v>249</v>
      </c>
      <c r="H1019" s="18" t="s">
        <v>109</v>
      </c>
      <c r="I1019" s="18"/>
      <c r="J1019" s="18"/>
      <c r="K1019" s="18"/>
      <c r="L1019" s="18" t="s">
        <v>109</v>
      </c>
      <c r="M1019" s="18" t="s">
        <v>109</v>
      </c>
      <c r="N1019" s="18"/>
      <c r="O1019" s="18"/>
      <c r="P1019" s="18" t="s">
        <v>4521</v>
      </c>
      <c r="Q1019" s="18" t="s">
        <v>134</v>
      </c>
      <c r="R1019" s="18" t="s">
        <v>4522</v>
      </c>
      <c r="S1019" s="18" t="s">
        <v>112</v>
      </c>
      <c r="T1019" s="18" t="s">
        <v>4303</v>
      </c>
      <c r="U1019" s="18" t="s">
        <v>4465</v>
      </c>
      <c r="V1019" s="19" t="s">
        <v>29</v>
      </c>
      <c r="W1019" s="19"/>
      <c r="X1019" s="19"/>
      <c r="Y1019" s="20"/>
      <c r="Z1019" s="19"/>
      <c r="AA1019" s="18" t="str">
        <f aca="false">IF(OR(V1019="Aprobada"),R1019,IF(AND(OR(V1019="Aprobada con ajuste",V1019="Rechazada"),W1019&lt;&gt;""),W1019,""))</f>
        <v/>
      </c>
    </row>
    <row r="1020" customFormat="false" ht="43.25" hidden="false" customHeight="false" outlineLevel="0" collapsed="false">
      <c r="A1020" s="18" t="s">
        <v>4523</v>
      </c>
      <c r="B1020" s="18" t="s">
        <v>64</v>
      </c>
      <c r="C1020" s="18" t="s">
        <v>65</v>
      </c>
      <c r="D1020" s="18" t="s">
        <v>4506</v>
      </c>
      <c r="E1020" s="18" t="n">
        <v>0</v>
      </c>
      <c r="F1020" s="18" t="s">
        <v>4524</v>
      </c>
      <c r="G1020" s="18" t="s">
        <v>151</v>
      </c>
      <c r="H1020" s="18" t="s">
        <v>117</v>
      </c>
      <c r="I1020" s="18" t="s">
        <v>140</v>
      </c>
      <c r="J1020" s="18" t="s">
        <v>4525</v>
      </c>
      <c r="K1020" s="18"/>
      <c r="L1020" s="18" t="s">
        <v>117</v>
      </c>
      <c r="M1020" s="18" t="s">
        <v>109</v>
      </c>
      <c r="N1020" s="18"/>
      <c r="O1020" s="18"/>
      <c r="P1020" s="18" t="s">
        <v>4526</v>
      </c>
      <c r="Q1020" s="18" t="s">
        <v>123</v>
      </c>
      <c r="R1020" s="18" t="s">
        <v>4527</v>
      </c>
      <c r="S1020" s="18" t="s">
        <v>112</v>
      </c>
      <c r="T1020" s="18" t="s">
        <v>4528</v>
      </c>
      <c r="U1020" s="18" t="s">
        <v>4529</v>
      </c>
      <c r="V1020" s="19" t="s">
        <v>29</v>
      </c>
      <c r="W1020" s="19"/>
      <c r="X1020" s="19"/>
      <c r="Y1020" s="20"/>
      <c r="Z1020" s="19"/>
      <c r="AA1020" s="18" t="str">
        <f aca="false">IF(OR(V1020="Aprobada"),R1020,IF(AND(OR(V1020="Aprobada con ajuste",V1020="Rechazada"),W1020&lt;&gt;""),W1020,""))</f>
        <v/>
      </c>
    </row>
    <row r="1021" customFormat="false" ht="32.8" hidden="false" customHeight="false" outlineLevel="0" collapsed="false">
      <c r="A1021" s="18" t="s">
        <v>4530</v>
      </c>
      <c r="B1021" s="18" t="s">
        <v>64</v>
      </c>
      <c r="C1021" s="18" t="s">
        <v>65</v>
      </c>
      <c r="D1021" s="18" t="s">
        <v>4506</v>
      </c>
      <c r="E1021" s="18" t="n">
        <v>0</v>
      </c>
      <c r="F1021" s="18" t="s">
        <v>4531</v>
      </c>
      <c r="G1021" s="18" t="s">
        <v>116</v>
      </c>
      <c r="H1021" s="18" t="s">
        <v>117</v>
      </c>
      <c r="I1021" s="18" t="s">
        <v>140</v>
      </c>
      <c r="J1021" s="18"/>
      <c r="K1021" s="18"/>
      <c r="L1021" s="18" t="s">
        <v>109</v>
      </c>
      <c r="M1021" s="18" t="s">
        <v>109</v>
      </c>
      <c r="N1021" s="18"/>
      <c r="O1021" s="18"/>
      <c r="P1021" s="18" t="s">
        <v>4532</v>
      </c>
      <c r="Q1021" s="18" t="s">
        <v>123</v>
      </c>
      <c r="R1021" s="18" t="s">
        <v>4533</v>
      </c>
      <c r="S1021" s="18" t="s">
        <v>125</v>
      </c>
      <c r="T1021" s="18" t="s">
        <v>4534</v>
      </c>
      <c r="U1021" s="18"/>
      <c r="V1021" s="19" t="s">
        <v>29</v>
      </c>
      <c r="W1021" s="19"/>
      <c r="X1021" s="19"/>
      <c r="Y1021" s="20"/>
      <c r="Z1021" s="19"/>
      <c r="AA1021" s="18" t="str">
        <f aca="false">IF(OR(V1021="Aprobada"),R1021,IF(AND(OR(V1021="Aprobada con ajuste",V1021="Rechazada"),W1021&lt;&gt;""),W1021,""))</f>
        <v/>
      </c>
    </row>
    <row r="1022" customFormat="false" ht="32.8" hidden="false" customHeight="false" outlineLevel="0" collapsed="false">
      <c r="A1022" s="18" t="s">
        <v>4535</v>
      </c>
      <c r="B1022" s="18" t="s">
        <v>64</v>
      </c>
      <c r="C1022" s="18" t="s">
        <v>65</v>
      </c>
      <c r="D1022" s="18" t="s">
        <v>4506</v>
      </c>
      <c r="E1022" s="18" t="n">
        <v>0</v>
      </c>
      <c r="F1022" s="18" t="s">
        <v>3458</v>
      </c>
      <c r="G1022" s="18" t="s">
        <v>249</v>
      </c>
      <c r="H1022" s="18" t="s">
        <v>117</v>
      </c>
      <c r="I1022" s="18"/>
      <c r="J1022" s="18"/>
      <c r="K1022" s="18"/>
      <c r="L1022" s="18" t="s">
        <v>109</v>
      </c>
      <c r="M1022" s="18" t="s">
        <v>109</v>
      </c>
      <c r="N1022" s="18"/>
      <c r="O1022" s="18"/>
      <c r="P1022" s="18" t="s">
        <v>4536</v>
      </c>
      <c r="Q1022" s="18" t="s">
        <v>123</v>
      </c>
      <c r="R1022" s="18" t="s">
        <v>4537</v>
      </c>
      <c r="S1022" s="18" t="s">
        <v>125</v>
      </c>
      <c r="T1022" s="18" t="s">
        <v>4538</v>
      </c>
      <c r="U1022" s="18"/>
      <c r="V1022" s="19" t="s">
        <v>29</v>
      </c>
      <c r="W1022" s="19"/>
      <c r="X1022" s="19"/>
      <c r="Y1022" s="20"/>
      <c r="Z1022" s="19"/>
      <c r="AA1022" s="18" t="str">
        <f aca="false">IF(OR(V1022="Aprobada"),R1022,IF(AND(OR(V1022="Aprobada con ajuste",V1022="Rechazada"),W1022&lt;&gt;""),W1022,""))</f>
        <v/>
      </c>
    </row>
    <row r="1023" customFormat="false" ht="32.8" hidden="false" customHeight="false" outlineLevel="0" collapsed="false">
      <c r="A1023" s="18" t="s">
        <v>4539</v>
      </c>
      <c r="B1023" s="18" t="s">
        <v>64</v>
      </c>
      <c r="C1023" s="18" t="s">
        <v>65</v>
      </c>
      <c r="D1023" s="18" t="s">
        <v>4506</v>
      </c>
      <c r="E1023" s="18" t="n">
        <v>0</v>
      </c>
      <c r="F1023" s="18" t="s">
        <v>297</v>
      </c>
      <c r="G1023" s="18" t="s">
        <v>184</v>
      </c>
      <c r="H1023" s="18" t="s">
        <v>117</v>
      </c>
      <c r="I1023" s="18" t="s">
        <v>140</v>
      </c>
      <c r="J1023" s="18"/>
      <c r="K1023" s="18"/>
      <c r="L1023" s="18" t="s">
        <v>109</v>
      </c>
      <c r="M1023" s="18" t="s">
        <v>109</v>
      </c>
      <c r="N1023" s="18"/>
      <c r="O1023" s="18"/>
      <c r="P1023" s="18" t="s">
        <v>4540</v>
      </c>
      <c r="Q1023" s="18" t="s">
        <v>123</v>
      </c>
      <c r="R1023" s="18" t="s">
        <v>4541</v>
      </c>
      <c r="S1023" s="18" t="s">
        <v>125</v>
      </c>
      <c r="T1023" s="18" t="s">
        <v>4542</v>
      </c>
      <c r="U1023" s="18"/>
      <c r="V1023" s="19" t="s">
        <v>29</v>
      </c>
      <c r="W1023" s="19"/>
      <c r="X1023" s="19"/>
      <c r="Y1023" s="20"/>
      <c r="Z1023" s="19"/>
      <c r="AA1023" s="18" t="str">
        <f aca="false">IF(OR(V1023="Aprobada"),R1023,IF(AND(OR(V1023="Aprobada con ajuste",V1023="Rechazada"),W1023&lt;&gt;""),W1023,""))</f>
        <v/>
      </c>
    </row>
    <row r="1024" customFormat="false" ht="85.05" hidden="false" customHeight="false" outlineLevel="0" collapsed="false">
      <c r="A1024" s="18" t="s">
        <v>4543</v>
      </c>
      <c r="B1024" s="18" t="s">
        <v>64</v>
      </c>
      <c r="C1024" s="18" t="s">
        <v>65</v>
      </c>
      <c r="D1024" s="18" t="s">
        <v>4544</v>
      </c>
      <c r="E1024" s="18" t="n">
        <v>0</v>
      </c>
      <c r="F1024" s="18" t="s">
        <v>4545</v>
      </c>
      <c r="G1024" s="18" t="s">
        <v>324</v>
      </c>
      <c r="H1024" s="18" t="s">
        <v>109</v>
      </c>
      <c r="I1024" s="18"/>
      <c r="J1024" s="18"/>
      <c r="K1024" s="18"/>
      <c r="L1024" s="18" t="s">
        <v>109</v>
      </c>
      <c r="M1024" s="18" t="s">
        <v>109</v>
      </c>
      <c r="N1024" s="18"/>
      <c r="O1024" s="18"/>
      <c r="P1024" s="18" t="s">
        <v>4546</v>
      </c>
      <c r="Q1024" s="18" t="s">
        <v>134</v>
      </c>
      <c r="R1024" s="18" t="s">
        <v>4547</v>
      </c>
      <c r="S1024" s="18" t="s">
        <v>112</v>
      </c>
      <c r="T1024" s="18" t="s">
        <v>4548</v>
      </c>
      <c r="U1024" s="18" t="s">
        <v>4549</v>
      </c>
      <c r="V1024" s="19" t="s">
        <v>29</v>
      </c>
      <c r="W1024" s="19"/>
      <c r="X1024" s="19"/>
      <c r="Y1024" s="20"/>
      <c r="Z1024" s="19"/>
      <c r="AA1024" s="18" t="str">
        <f aca="false">IF(OR(V1024="Aprobada"),R1024,IF(AND(OR(V1024="Aprobada con ajuste",V1024="Rechazada"),W1024&lt;&gt;""),W1024,""))</f>
        <v/>
      </c>
    </row>
    <row r="1025" customFormat="false" ht="43.25" hidden="false" customHeight="false" outlineLevel="0" collapsed="false">
      <c r="A1025" s="18" t="s">
        <v>4550</v>
      </c>
      <c r="B1025" s="18" t="s">
        <v>64</v>
      </c>
      <c r="C1025" s="18" t="s">
        <v>65</v>
      </c>
      <c r="D1025" s="18" t="s">
        <v>4544</v>
      </c>
      <c r="E1025" s="18" t="n">
        <v>0</v>
      </c>
      <c r="F1025" s="18" t="s">
        <v>4551</v>
      </c>
      <c r="G1025" s="18" t="s">
        <v>324</v>
      </c>
      <c r="H1025" s="18" t="s">
        <v>109</v>
      </c>
      <c r="I1025" s="18"/>
      <c r="J1025" s="18"/>
      <c r="K1025" s="18"/>
      <c r="L1025" s="18" t="s">
        <v>109</v>
      </c>
      <c r="M1025" s="18" t="s">
        <v>109</v>
      </c>
      <c r="N1025" s="18"/>
      <c r="O1025" s="18"/>
      <c r="P1025" s="18" t="s">
        <v>4552</v>
      </c>
      <c r="Q1025" s="18" t="s">
        <v>134</v>
      </c>
      <c r="R1025" s="18" t="s">
        <v>4553</v>
      </c>
      <c r="S1025" s="18" t="s">
        <v>112</v>
      </c>
      <c r="T1025" s="18" t="s">
        <v>4554</v>
      </c>
      <c r="U1025" s="18" t="s">
        <v>4555</v>
      </c>
      <c r="V1025" s="19" t="s">
        <v>29</v>
      </c>
      <c r="W1025" s="19"/>
      <c r="X1025" s="19"/>
      <c r="Y1025" s="20"/>
      <c r="Z1025" s="19"/>
      <c r="AA1025" s="18" t="str">
        <f aca="false">IF(OR(V1025="Aprobada"),R1025,IF(AND(OR(V1025="Aprobada con ajuste",V1025="Rechazada"),W1025&lt;&gt;""),W1025,""))</f>
        <v/>
      </c>
    </row>
    <row r="1026" customFormat="false" ht="43.25" hidden="false" customHeight="false" outlineLevel="0" collapsed="false">
      <c r="A1026" s="18" t="s">
        <v>4556</v>
      </c>
      <c r="B1026" s="18" t="s">
        <v>64</v>
      </c>
      <c r="C1026" s="18" t="s">
        <v>65</v>
      </c>
      <c r="D1026" s="18" t="s">
        <v>4544</v>
      </c>
      <c r="E1026" s="18" t="n">
        <v>0</v>
      </c>
      <c r="F1026" s="18" t="s">
        <v>4557</v>
      </c>
      <c r="G1026" s="18" t="s">
        <v>184</v>
      </c>
      <c r="H1026" s="18" t="s">
        <v>109</v>
      </c>
      <c r="I1026" s="18"/>
      <c r="J1026" s="18"/>
      <c r="K1026" s="18"/>
      <c r="L1026" s="18" t="s">
        <v>109</v>
      </c>
      <c r="M1026" s="18" t="s">
        <v>109</v>
      </c>
      <c r="N1026" s="18"/>
      <c r="O1026" s="18"/>
      <c r="P1026" s="18" t="s">
        <v>4558</v>
      </c>
      <c r="Q1026" s="18" t="s">
        <v>110</v>
      </c>
      <c r="R1026" s="18" t="s">
        <v>4559</v>
      </c>
      <c r="S1026" s="18" t="s">
        <v>112</v>
      </c>
      <c r="T1026" s="18" t="s">
        <v>113</v>
      </c>
      <c r="U1026" s="18"/>
      <c r="V1026" s="19" t="s">
        <v>29</v>
      </c>
      <c r="W1026" s="19"/>
      <c r="X1026" s="19"/>
      <c r="Y1026" s="20"/>
      <c r="Z1026" s="19"/>
      <c r="AA1026" s="18" t="str">
        <f aca="false">IF(OR(V1026="Aprobada"),R1026,IF(AND(OR(V1026="Aprobada con ajuste",V1026="Rechazada"),W1026&lt;&gt;""),W1026,""))</f>
        <v/>
      </c>
    </row>
    <row r="1027" customFormat="false" ht="43.25" hidden="false" customHeight="false" outlineLevel="0" collapsed="false">
      <c r="A1027" s="18" t="s">
        <v>4560</v>
      </c>
      <c r="B1027" s="18" t="s">
        <v>64</v>
      </c>
      <c r="C1027" s="18" t="s">
        <v>65</v>
      </c>
      <c r="D1027" s="18" t="s">
        <v>4544</v>
      </c>
      <c r="E1027" s="18" t="n">
        <v>0</v>
      </c>
      <c r="F1027" s="18" t="s">
        <v>2445</v>
      </c>
      <c r="G1027" s="18" t="s">
        <v>139</v>
      </c>
      <c r="H1027" s="18" t="s">
        <v>109</v>
      </c>
      <c r="I1027" s="18" t="s">
        <v>140</v>
      </c>
      <c r="J1027" s="18"/>
      <c r="K1027" s="18"/>
      <c r="L1027" s="18" t="s">
        <v>109</v>
      </c>
      <c r="M1027" s="18" t="s">
        <v>109</v>
      </c>
      <c r="N1027" s="18"/>
      <c r="O1027" s="18"/>
      <c r="P1027" s="18" t="s">
        <v>4561</v>
      </c>
      <c r="Q1027" s="18" t="s">
        <v>110</v>
      </c>
      <c r="R1027" s="18" t="s">
        <v>4290</v>
      </c>
      <c r="S1027" s="18" t="s">
        <v>112</v>
      </c>
      <c r="T1027" s="18" t="s">
        <v>113</v>
      </c>
      <c r="U1027" s="18"/>
      <c r="V1027" s="19" t="s">
        <v>29</v>
      </c>
      <c r="W1027" s="19"/>
      <c r="X1027" s="19"/>
      <c r="Y1027" s="20"/>
      <c r="Z1027" s="19"/>
      <c r="AA1027" s="18" t="str">
        <f aca="false">IF(OR(V1027="Aprobada"),R1027,IF(AND(OR(V1027="Aprobada con ajuste",V1027="Rechazada"),W1027&lt;&gt;""),W1027,""))</f>
        <v/>
      </c>
    </row>
    <row r="1028" customFormat="false" ht="32.8" hidden="false" customHeight="false" outlineLevel="0" collapsed="false">
      <c r="A1028" s="18" t="s">
        <v>4562</v>
      </c>
      <c r="B1028" s="18" t="s">
        <v>64</v>
      </c>
      <c r="C1028" s="18" t="s">
        <v>65</v>
      </c>
      <c r="D1028" s="18" t="s">
        <v>4544</v>
      </c>
      <c r="E1028" s="18" t="n">
        <v>0</v>
      </c>
      <c r="F1028" s="18" t="s">
        <v>4563</v>
      </c>
      <c r="G1028" s="18" t="s">
        <v>4256</v>
      </c>
      <c r="H1028" s="18" t="s">
        <v>109</v>
      </c>
      <c r="I1028" s="18"/>
      <c r="J1028" s="18"/>
      <c r="K1028" s="18"/>
      <c r="L1028" s="18" t="s">
        <v>109</v>
      </c>
      <c r="M1028" s="18" t="s">
        <v>109</v>
      </c>
      <c r="N1028" s="18"/>
      <c r="O1028" s="18"/>
      <c r="P1028" s="18" t="s">
        <v>4564</v>
      </c>
      <c r="Q1028" s="18" t="s">
        <v>134</v>
      </c>
      <c r="R1028" s="18" t="s">
        <v>4565</v>
      </c>
      <c r="S1028" s="18" t="s">
        <v>112</v>
      </c>
      <c r="T1028" s="18" t="s">
        <v>4566</v>
      </c>
      <c r="U1028" s="18" t="s">
        <v>4567</v>
      </c>
      <c r="V1028" s="19" t="s">
        <v>29</v>
      </c>
      <c r="W1028" s="19"/>
      <c r="X1028" s="19"/>
      <c r="Y1028" s="20"/>
      <c r="Z1028" s="19"/>
      <c r="AA1028" s="18" t="str">
        <f aca="false">IF(OR(V1028="Aprobada"),R1028,IF(AND(OR(V1028="Aprobada con ajuste",V1028="Rechazada"),W1028&lt;&gt;""),W1028,""))</f>
        <v/>
      </c>
    </row>
    <row r="1029" customFormat="false" ht="32.8" hidden="false" customHeight="false" outlineLevel="0" collapsed="false">
      <c r="A1029" s="18" t="s">
        <v>4568</v>
      </c>
      <c r="B1029" s="18" t="s">
        <v>64</v>
      </c>
      <c r="C1029" s="18" t="s">
        <v>65</v>
      </c>
      <c r="D1029" s="18" t="s">
        <v>4544</v>
      </c>
      <c r="E1029" s="18" t="n">
        <v>0</v>
      </c>
      <c r="F1029" s="18" t="s">
        <v>3160</v>
      </c>
      <c r="G1029" s="18" t="s">
        <v>184</v>
      </c>
      <c r="H1029" s="18" t="s">
        <v>109</v>
      </c>
      <c r="I1029" s="18" t="s">
        <v>140</v>
      </c>
      <c r="J1029" s="18"/>
      <c r="K1029" s="18"/>
      <c r="L1029" s="18" t="s">
        <v>109</v>
      </c>
      <c r="M1029" s="18" t="s">
        <v>109</v>
      </c>
      <c r="N1029" s="18"/>
      <c r="O1029" s="18" t="s">
        <v>4569</v>
      </c>
      <c r="P1029" s="18" t="s">
        <v>4570</v>
      </c>
      <c r="Q1029" s="18" t="s">
        <v>110</v>
      </c>
      <c r="R1029" s="18" t="s">
        <v>3162</v>
      </c>
      <c r="S1029" s="18" t="s">
        <v>112</v>
      </c>
      <c r="T1029" s="18" t="s">
        <v>113</v>
      </c>
      <c r="U1029" s="18"/>
      <c r="V1029" s="19" t="s">
        <v>29</v>
      </c>
      <c r="W1029" s="19"/>
      <c r="X1029" s="19"/>
      <c r="Y1029" s="20"/>
      <c r="Z1029" s="19"/>
      <c r="AA1029" s="18" t="str">
        <f aca="false">IF(OR(V1029="Aprobada"),R1029,IF(AND(OR(V1029="Aprobada con ajuste",V1029="Rechazada"),W1029&lt;&gt;""),W1029,""))</f>
        <v/>
      </c>
    </row>
    <row r="1030" customFormat="false" ht="43.25" hidden="false" customHeight="false" outlineLevel="0" collapsed="false">
      <c r="A1030" s="18" t="s">
        <v>4571</v>
      </c>
      <c r="B1030" s="18" t="s">
        <v>64</v>
      </c>
      <c r="C1030" s="18" t="s">
        <v>65</v>
      </c>
      <c r="D1030" s="18" t="s">
        <v>4544</v>
      </c>
      <c r="E1030" s="18" t="n">
        <v>0</v>
      </c>
      <c r="F1030" s="18" t="s">
        <v>4572</v>
      </c>
      <c r="G1030" s="18" t="s">
        <v>249</v>
      </c>
      <c r="H1030" s="18" t="s">
        <v>117</v>
      </c>
      <c r="I1030" s="18" t="s">
        <v>140</v>
      </c>
      <c r="J1030" s="18"/>
      <c r="K1030" s="18"/>
      <c r="L1030" s="18" t="s">
        <v>109</v>
      </c>
      <c r="M1030" s="18" t="s">
        <v>109</v>
      </c>
      <c r="N1030" s="18"/>
      <c r="O1030" s="18"/>
      <c r="P1030" s="18" t="s">
        <v>4573</v>
      </c>
      <c r="Q1030" s="18" t="s">
        <v>134</v>
      </c>
      <c r="R1030" s="18" t="s">
        <v>4574</v>
      </c>
      <c r="S1030" s="18" t="s">
        <v>112</v>
      </c>
      <c r="T1030" s="18" t="s">
        <v>4575</v>
      </c>
      <c r="U1030" s="18" t="s">
        <v>4465</v>
      </c>
      <c r="V1030" s="19" t="s">
        <v>29</v>
      </c>
      <c r="W1030" s="19"/>
      <c r="X1030" s="19"/>
      <c r="Y1030" s="20"/>
      <c r="Z1030" s="19"/>
      <c r="AA1030" s="18" t="str">
        <f aca="false">IF(OR(V1030="Aprobada"),R1030,IF(AND(OR(V1030="Aprobada con ajuste",V1030="Rechazada"),W1030&lt;&gt;""),W1030,""))</f>
        <v/>
      </c>
    </row>
    <row r="1031" customFormat="false" ht="43.25" hidden="false" customHeight="false" outlineLevel="0" collapsed="false">
      <c r="A1031" s="18" t="s">
        <v>4576</v>
      </c>
      <c r="B1031" s="18" t="s">
        <v>64</v>
      </c>
      <c r="C1031" s="18" t="s">
        <v>65</v>
      </c>
      <c r="D1031" s="18" t="s">
        <v>4544</v>
      </c>
      <c r="E1031" s="18" t="n">
        <v>0</v>
      </c>
      <c r="F1031" s="18" t="s">
        <v>4577</v>
      </c>
      <c r="G1031" s="18" t="s">
        <v>184</v>
      </c>
      <c r="H1031" s="18" t="s">
        <v>117</v>
      </c>
      <c r="I1031" s="18"/>
      <c r="J1031" s="18"/>
      <c r="K1031" s="18"/>
      <c r="L1031" s="18" t="s">
        <v>109</v>
      </c>
      <c r="M1031" s="18" t="s">
        <v>109</v>
      </c>
      <c r="N1031" s="18"/>
      <c r="O1031" s="18"/>
      <c r="P1031" s="18" t="s">
        <v>4578</v>
      </c>
      <c r="Q1031" s="18" t="s">
        <v>134</v>
      </c>
      <c r="R1031" s="18" t="s">
        <v>4579</v>
      </c>
      <c r="S1031" s="18" t="s">
        <v>125</v>
      </c>
      <c r="T1031" s="18" t="s">
        <v>4580</v>
      </c>
      <c r="U1031" s="18"/>
      <c r="V1031" s="19" t="s">
        <v>29</v>
      </c>
      <c r="W1031" s="19"/>
      <c r="X1031" s="19"/>
      <c r="Y1031" s="20"/>
      <c r="Z1031" s="19"/>
      <c r="AA1031" s="18" t="str">
        <f aca="false">IF(OR(V1031="Aprobada"),R1031,IF(AND(OR(V1031="Aprobada con ajuste",V1031="Rechazada"),W1031&lt;&gt;""),W1031,""))</f>
        <v/>
      </c>
    </row>
    <row r="1032" customFormat="false" ht="43.25" hidden="false" customHeight="false" outlineLevel="0" collapsed="false">
      <c r="A1032" s="18" t="s">
        <v>4581</v>
      </c>
      <c r="B1032" s="18" t="s">
        <v>64</v>
      </c>
      <c r="C1032" s="18" t="s">
        <v>65</v>
      </c>
      <c r="D1032" s="18" t="s">
        <v>4544</v>
      </c>
      <c r="E1032" s="18" t="n">
        <v>0</v>
      </c>
      <c r="F1032" s="18" t="s">
        <v>4582</v>
      </c>
      <c r="G1032" s="18" t="s">
        <v>184</v>
      </c>
      <c r="H1032" s="18" t="s">
        <v>117</v>
      </c>
      <c r="I1032" s="18"/>
      <c r="J1032" s="18"/>
      <c r="K1032" s="18"/>
      <c r="L1032" s="18" t="s">
        <v>109</v>
      </c>
      <c r="M1032" s="18" t="s">
        <v>109</v>
      </c>
      <c r="N1032" s="18"/>
      <c r="O1032" s="18"/>
      <c r="P1032" s="18" t="s">
        <v>4583</v>
      </c>
      <c r="Q1032" s="18" t="s">
        <v>134</v>
      </c>
      <c r="R1032" s="18" t="s">
        <v>4584</v>
      </c>
      <c r="S1032" s="18" t="s">
        <v>125</v>
      </c>
      <c r="T1032" s="18" t="s">
        <v>4585</v>
      </c>
      <c r="U1032" s="18"/>
      <c r="V1032" s="19" t="s">
        <v>29</v>
      </c>
      <c r="W1032" s="19"/>
      <c r="X1032" s="19"/>
      <c r="Y1032" s="20"/>
      <c r="Z1032" s="19"/>
      <c r="AA1032" s="18" t="str">
        <f aca="false">IF(OR(V1032="Aprobada"),R1032,IF(AND(OR(V1032="Aprobada con ajuste",V1032="Rechazada"),W1032&lt;&gt;""),W1032,""))</f>
        <v/>
      </c>
    </row>
    <row r="1033" customFormat="false" ht="53.7" hidden="false" customHeight="false" outlineLevel="0" collapsed="false">
      <c r="A1033" s="18" t="s">
        <v>4586</v>
      </c>
      <c r="B1033" s="18" t="s">
        <v>64</v>
      </c>
      <c r="C1033" s="18" t="s">
        <v>65</v>
      </c>
      <c r="D1033" s="18" t="s">
        <v>4544</v>
      </c>
      <c r="E1033" s="18" t="n">
        <v>0</v>
      </c>
      <c r="F1033" s="18" t="s">
        <v>4587</v>
      </c>
      <c r="G1033" s="18" t="s">
        <v>184</v>
      </c>
      <c r="H1033" s="18" t="s">
        <v>117</v>
      </c>
      <c r="I1033" s="18" t="s">
        <v>140</v>
      </c>
      <c r="J1033" s="18"/>
      <c r="K1033" s="18"/>
      <c r="L1033" s="18" t="s">
        <v>109</v>
      </c>
      <c r="M1033" s="18" t="s">
        <v>109</v>
      </c>
      <c r="N1033" s="18"/>
      <c r="O1033" s="18"/>
      <c r="P1033" s="18" t="s">
        <v>4588</v>
      </c>
      <c r="Q1033" s="18" t="s">
        <v>123</v>
      </c>
      <c r="R1033" s="18" t="s">
        <v>4589</v>
      </c>
      <c r="S1033" s="18" t="s">
        <v>112</v>
      </c>
      <c r="T1033" s="18" t="s">
        <v>4590</v>
      </c>
      <c r="U1033" s="18"/>
      <c r="V1033" s="19" t="s">
        <v>29</v>
      </c>
      <c r="W1033" s="19"/>
      <c r="X1033" s="19"/>
      <c r="Y1033" s="20"/>
      <c r="Z1033" s="19"/>
      <c r="AA1033" s="18" t="str">
        <f aca="false">IF(OR(V1033="Aprobada"),R1033,IF(AND(OR(V1033="Aprobada con ajuste",V1033="Rechazada"),W1033&lt;&gt;""),W1033,""))</f>
        <v/>
      </c>
    </row>
    <row r="1034" customFormat="false" ht="32.8" hidden="false" customHeight="false" outlineLevel="0" collapsed="false">
      <c r="A1034" s="18" t="s">
        <v>4591</v>
      </c>
      <c r="B1034" s="18" t="s">
        <v>64</v>
      </c>
      <c r="C1034" s="18" t="s">
        <v>65</v>
      </c>
      <c r="D1034" s="18" t="s">
        <v>4544</v>
      </c>
      <c r="E1034" s="18" t="n">
        <v>0</v>
      </c>
      <c r="F1034" s="18" t="s">
        <v>4592</v>
      </c>
      <c r="G1034" s="18" t="s">
        <v>249</v>
      </c>
      <c r="H1034" s="18" t="s">
        <v>117</v>
      </c>
      <c r="I1034" s="18"/>
      <c r="J1034" s="18"/>
      <c r="K1034" s="18"/>
      <c r="L1034" s="18" t="s">
        <v>109</v>
      </c>
      <c r="M1034" s="18" t="s">
        <v>109</v>
      </c>
      <c r="N1034" s="18"/>
      <c r="O1034" s="18"/>
      <c r="P1034" s="18" t="s">
        <v>4593</v>
      </c>
      <c r="Q1034" s="18" t="s">
        <v>123</v>
      </c>
      <c r="R1034" s="18" t="s">
        <v>4594</v>
      </c>
      <c r="S1034" s="18" t="s">
        <v>125</v>
      </c>
      <c r="T1034" s="18" t="s">
        <v>4595</v>
      </c>
      <c r="U1034" s="18"/>
      <c r="V1034" s="19" t="s">
        <v>29</v>
      </c>
      <c r="W1034" s="19"/>
      <c r="X1034" s="19"/>
      <c r="Y1034" s="20"/>
      <c r="Z1034" s="19"/>
      <c r="AA1034" s="18" t="str">
        <f aca="false">IF(OR(V1034="Aprobada"),R1034,IF(AND(OR(V1034="Aprobada con ajuste",V1034="Rechazada"),W1034&lt;&gt;""),W1034,""))</f>
        <v/>
      </c>
    </row>
    <row r="1035" customFormat="false" ht="32.8" hidden="false" customHeight="false" outlineLevel="0" collapsed="false">
      <c r="A1035" s="18" t="s">
        <v>4596</v>
      </c>
      <c r="B1035" s="18" t="s">
        <v>64</v>
      </c>
      <c r="C1035" s="18" t="s">
        <v>65</v>
      </c>
      <c r="D1035" s="18" t="s">
        <v>4544</v>
      </c>
      <c r="E1035" s="18" t="n">
        <v>0</v>
      </c>
      <c r="F1035" s="18" t="s">
        <v>4597</v>
      </c>
      <c r="G1035" s="18" t="s">
        <v>249</v>
      </c>
      <c r="H1035" s="18" t="s">
        <v>117</v>
      </c>
      <c r="I1035" s="18" t="s">
        <v>140</v>
      </c>
      <c r="J1035" s="18"/>
      <c r="K1035" s="18"/>
      <c r="L1035" s="18" t="s">
        <v>109</v>
      </c>
      <c r="M1035" s="18" t="s">
        <v>109</v>
      </c>
      <c r="N1035" s="18"/>
      <c r="O1035" s="18"/>
      <c r="P1035" s="18" t="s">
        <v>4598</v>
      </c>
      <c r="Q1035" s="18" t="s">
        <v>123</v>
      </c>
      <c r="R1035" s="18" t="s">
        <v>4599</v>
      </c>
      <c r="S1035" s="18" t="s">
        <v>125</v>
      </c>
      <c r="T1035" s="18" t="s">
        <v>4600</v>
      </c>
      <c r="U1035" s="18"/>
      <c r="V1035" s="19" t="s">
        <v>29</v>
      </c>
      <c r="W1035" s="19"/>
      <c r="X1035" s="19"/>
      <c r="Y1035" s="20"/>
      <c r="Z1035" s="19"/>
      <c r="AA1035" s="18" t="str">
        <f aca="false">IF(OR(V1035="Aprobada"),R1035,IF(AND(OR(V1035="Aprobada con ajuste",V1035="Rechazada"),W1035&lt;&gt;""),W1035,""))</f>
        <v/>
      </c>
    </row>
    <row r="1036" customFormat="false" ht="32.8" hidden="false" customHeight="false" outlineLevel="0" collapsed="false">
      <c r="A1036" s="18" t="s">
        <v>4601</v>
      </c>
      <c r="B1036" s="18" t="s">
        <v>64</v>
      </c>
      <c r="C1036" s="18" t="s">
        <v>65</v>
      </c>
      <c r="D1036" s="18" t="s">
        <v>4544</v>
      </c>
      <c r="E1036" s="18" t="n">
        <v>0</v>
      </c>
      <c r="F1036" s="18" t="s">
        <v>4602</v>
      </c>
      <c r="G1036" s="18" t="s">
        <v>116</v>
      </c>
      <c r="H1036" s="18" t="s">
        <v>117</v>
      </c>
      <c r="I1036" s="18" t="s">
        <v>140</v>
      </c>
      <c r="J1036" s="18"/>
      <c r="K1036" s="18"/>
      <c r="L1036" s="18" t="s">
        <v>109</v>
      </c>
      <c r="M1036" s="18" t="s">
        <v>109</v>
      </c>
      <c r="N1036" s="18"/>
      <c r="O1036" s="18"/>
      <c r="P1036" s="18" t="s">
        <v>4603</v>
      </c>
      <c r="Q1036" s="18" t="s">
        <v>123</v>
      </c>
      <c r="R1036" s="18" t="s">
        <v>4604</v>
      </c>
      <c r="S1036" s="18" t="s">
        <v>125</v>
      </c>
      <c r="T1036" s="18" t="s">
        <v>4605</v>
      </c>
      <c r="U1036" s="18"/>
      <c r="V1036" s="19" t="s">
        <v>29</v>
      </c>
      <c r="W1036" s="19"/>
      <c r="X1036" s="19"/>
      <c r="Y1036" s="20"/>
      <c r="Z1036" s="19"/>
      <c r="AA1036" s="18" t="str">
        <f aca="false">IF(OR(V1036="Aprobada"),R1036,IF(AND(OR(V1036="Aprobada con ajuste",V1036="Rechazada"),W1036&lt;&gt;""),W1036,""))</f>
        <v/>
      </c>
    </row>
    <row r="1037" customFormat="false" ht="32.8" hidden="false" customHeight="false" outlineLevel="0" collapsed="false">
      <c r="A1037" s="18" t="s">
        <v>4606</v>
      </c>
      <c r="B1037" s="18" t="s">
        <v>64</v>
      </c>
      <c r="C1037" s="18" t="s">
        <v>65</v>
      </c>
      <c r="D1037" s="18" t="s">
        <v>4544</v>
      </c>
      <c r="E1037" s="18" t="n">
        <v>0</v>
      </c>
      <c r="F1037" s="18" t="s">
        <v>4607</v>
      </c>
      <c r="G1037" s="18" t="s">
        <v>139</v>
      </c>
      <c r="H1037" s="18" t="s">
        <v>109</v>
      </c>
      <c r="I1037" s="18" t="s">
        <v>140</v>
      </c>
      <c r="J1037" s="18"/>
      <c r="K1037" s="18"/>
      <c r="L1037" s="18" t="s">
        <v>109</v>
      </c>
      <c r="M1037" s="18" t="s">
        <v>109</v>
      </c>
      <c r="N1037" s="18"/>
      <c r="O1037" s="18"/>
      <c r="P1037" s="18" t="s">
        <v>4608</v>
      </c>
      <c r="Q1037" s="18" t="s">
        <v>123</v>
      </c>
      <c r="R1037" s="18" t="s">
        <v>4609</v>
      </c>
      <c r="S1037" s="18" t="s">
        <v>125</v>
      </c>
      <c r="T1037" s="18" t="s">
        <v>4610</v>
      </c>
      <c r="U1037" s="18"/>
      <c r="V1037" s="19" t="s">
        <v>29</v>
      </c>
      <c r="W1037" s="19"/>
      <c r="X1037" s="19"/>
      <c r="Y1037" s="20"/>
      <c r="Z1037" s="19"/>
      <c r="AA1037" s="18" t="str">
        <f aca="false">IF(OR(V1037="Aprobada"),R1037,IF(AND(OR(V1037="Aprobada con ajuste",V1037="Rechazada"),W1037&lt;&gt;""),W1037,""))</f>
        <v/>
      </c>
    </row>
    <row r="1038" customFormat="false" ht="32.8" hidden="false" customHeight="false" outlineLevel="0" collapsed="false">
      <c r="A1038" s="18" t="s">
        <v>4611</v>
      </c>
      <c r="B1038" s="18" t="s">
        <v>64</v>
      </c>
      <c r="C1038" s="18" t="s">
        <v>65</v>
      </c>
      <c r="D1038" s="18" t="s">
        <v>4544</v>
      </c>
      <c r="E1038" s="18" t="n">
        <v>0</v>
      </c>
      <c r="F1038" s="18" t="s">
        <v>4612</v>
      </c>
      <c r="G1038" s="18" t="s">
        <v>184</v>
      </c>
      <c r="H1038" s="18" t="s">
        <v>117</v>
      </c>
      <c r="I1038" s="18"/>
      <c r="J1038" s="18"/>
      <c r="K1038" s="18"/>
      <c r="L1038" s="18" t="s">
        <v>109</v>
      </c>
      <c r="M1038" s="18" t="s">
        <v>109</v>
      </c>
      <c r="N1038" s="18"/>
      <c r="O1038" s="18"/>
      <c r="P1038" s="18" t="s">
        <v>4613</v>
      </c>
      <c r="Q1038" s="18" t="s">
        <v>123</v>
      </c>
      <c r="R1038" s="18" t="s">
        <v>4614</v>
      </c>
      <c r="S1038" s="18" t="s">
        <v>125</v>
      </c>
      <c r="T1038" s="18" t="s">
        <v>4615</v>
      </c>
      <c r="U1038" s="18"/>
      <c r="V1038" s="19" t="s">
        <v>29</v>
      </c>
      <c r="W1038" s="19"/>
      <c r="X1038" s="19"/>
      <c r="Y1038" s="20"/>
      <c r="Z1038" s="19"/>
      <c r="AA1038" s="18" t="str">
        <f aca="false">IF(OR(V1038="Aprobada"),R1038,IF(AND(OR(V1038="Aprobada con ajuste",V1038="Rechazada"),W1038&lt;&gt;""),W1038,""))</f>
        <v/>
      </c>
    </row>
    <row r="1039" customFormat="false" ht="32.8" hidden="false" customHeight="false" outlineLevel="0" collapsed="false">
      <c r="A1039" s="18" t="s">
        <v>4616</v>
      </c>
      <c r="B1039" s="18" t="s">
        <v>64</v>
      </c>
      <c r="C1039" s="18" t="s">
        <v>65</v>
      </c>
      <c r="D1039" s="18" t="s">
        <v>4544</v>
      </c>
      <c r="E1039" s="18" t="n">
        <v>0</v>
      </c>
      <c r="F1039" s="18" t="s">
        <v>4617</v>
      </c>
      <c r="G1039" s="18" t="s">
        <v>249</v>
      </c>
      <c r="H1039" s="18" t="s">
        <v>117</v>
      </c>
      <c r="I1039" s="18"/>
      <c r="J1039" s="18"/>
      <c r="K1039" s="18"/>
      <c r="L1039" s="18" t="s">
        <v>109</v>
      </c>
      <c r="M1039" s="18" t="s">
        <v>109</v>
      </c>
      <c r="N1039" s="18"/>
      <c r="O1039" s="18"/>
      <c r="P1039" s="18" t="s">
        <v>4618</v>
      </c>
      <c r="Q1039" s="18" t="s">
        <v>123</v>
      </c>
      <c r="R1039" s="18" t="s">
        <v>4619</v>
      </c>
      <c r="S1039" s="18" t="s">
        <v>125</v>
      </c>
      <c r="T1039" s="18" t="s">
        <v>4620</v>
      </c>
      <c r="U1039" s="18"/>
      <c r="V1039" s="19" t="s">
        <v>29</v>
      </c>
      <c r="W1039" s="19"/>
      <c r="X1039" s="19"/>
      <c r="Y1039" s="20"/>
      <c r="Z1039" s="19"/>
      <c r="AA1039" s="18" t="str">
        <f aca="false">IF(OR(V1039="Aprobada"),R1039,IF(AND(OR(V1039="Aprobada con ajuste",V1039="Rechazada"),W1039&lt;&gt;""),W1039,""))</f>
        <v/>
      </c>
    </row>
    <row r="1040" customFormat="false" ht="32.8" hidden="false" customHeight="false" outlineLevel="0" collapsed="false">
      <c r="A1040" s="18" t="s">
        <v>4621</v>
      </c>
      <c r="B1040" s="18" t="s">
        <v>64</v>
      </c>
      <c r="C1040" s="18" t="s">
        <v>65</v>
      </c>
      <c r="D1040" s="18" t="s">
        <v>4544</v>
      </c>
      <c r="E1040" s="18" t="n">
        <v>0</v>
      </c>
      <c r="F1040" s="18" t="s">
        <v>4622</v>
      </c>
      <c r="G1040" s="18" t="s">
        <v>414</v>
      </c>
      <c r="H1040" s="18" t="s">
        <v>117</v>
      </c>
      <c r="I1040" s="18" t="s">
        <v>140</v>
      </c>
      <c r="J1040" s="18"/>
      <c r="K1040" s="18"/>
      <c r="L1040" s="18" t="s">
        <v>109</v>
      </c>
      <c r="M1040" s="18" t="s">
        <v>109</v>
      </c>
      <c r="N1040" s="18"/>
      <c r="O1040" s="18"/>
      <c r="P1040" s="18" t="s">
        <v>4623</v>
      </c>
      <c r="Q1040" s="18" t="s">
        <v>123</v>
      </c>
      <c r="R1040" s="18" t="s">
        <v>4624</v>
      </c>
      <c r="S1040" s="18" t="s">
        <v>125</v>
      </c>
      <c r="T1040" s="18" t="s">
        <v>4625</v>
      </c>
      <c r="U1040" s="18"/>
      <c r="V1040" s="19" t="s">
        <v>29</v>
      </c>
      <c r="W1040" s="19"/>
      <c r="X1040" s="19"/>
      <c r="Y1040" s="20"/>
      <c r="Z1040" s="19"/>
      <c r="AA1040" s="18" t="str">
        <f aca="false">IF(OR(V1040="Aprobada"),R1040,IF(AND(OR(V1040="Aprobada con ajuste",V1040="Rechazada"),W1040&lt;&gt;""),W1040,""))</f>
        <v/>
      </c>
    </row>
    <row r="1041" customFormat="false" ht="32.8" hidden="false" customHeight="false" outlineLevel="0" collapsed="false">
      <c r="A1041" s="18" t="s">
        <v>4626</v>
      </c>
      <c r="B1041" s="18" t="s">
        <v>64</v>
      </c>
      <c r="C1041" s="18" t="s">
        <v>65</v>
      </c>
      <c r="D1041" s="18" t="s">
        <v>4544</v>
      </c>
      <c r="E1041" s="18" t="n">
        <v>0</v>
      </c>
      <c r="F1041" s="18" t="s">
        <v>4627</v>
      </c>
      <c r="G1041" s="18" t="s">
        <v>394</v>
      </c>
      <c r="H1041" s="18" t="s">
        <v>117</v>
      </c>
      <c r="I1041" s="18" t="s">
        <v>140</v>
      </c>
      <c r="J1041" s="18"/>
      <c r="K1041" s="18"/>
      <c r="L1041" s="18" t="s">
        <v>109</v>
      </c>
      <c r="M1041" s="18" t="s">
        <v>109</v>
      </c>
      <c r="N1041" s="18"/>
      <c r="O1041" s="18"/>
      <c r="P1041" s="18" t="s">
        <v>4628</v>
      </c>
      <c r="Q1041" s="18" t="s">
        <v>123</v>
      </c>
      <c r="R1041" s="18" t="s">
        <v>4629</v>
      </c>
      <c r="S1041" s="18" t="s">
        <v>125</v>
      </c>
      <c r="T1041" s="18" t="s">
        <v>4630</v>
      </c>
      <c r="U1041" s="18"/>
      <c r="V1041" s="19" t="s">
        <v>29</v>
      </c>
      <c r="W1041" s="19"/>
      <c r="X1041" s="19"/>
      <c r="Y1041" s="20"/>
      <c r="Z1041" s="19"/>
      <c r="AA1041" s="18" t="str">
        <f aca="false">IF(OR(V1041="Aprobada"),R1041,IF(AND(OR(V1041="Aprobada con ajuste",V1041="Rechazada"),W1041&lt;&gt;""),W1041,""))</f>
        <v/>
      </c>
    </row>
    <row r="1042" customFormat="false" ht="32.8" hidden="false" customHeight="false" outlineLevel="0" collapsed="false">
      <c r="A1042" s="18" t="s">
        <v>4631</v>
      </c>
      <c r="B1042" s="18" t="s">
        <v>64</v>
      </c>
      <c r="C1042" s="18" t="s">
        <v>65</v>
      </c>
      <c r="D1042" s="18" t="s">
        <v>4544</v>
      </c>
      <c r="E1042" s="18" t="n">
        <v>0</v>
      </c>
      <c r="F1042" s="18" t="s">
        <v>4632</v>
      </c>
      <c r="G1042" s="18" t="s">
        <v>249</v>
      </c>
      <c r="H1042" s="18" t="s">
        <v>117</v>
      </c>
      <c r="I1042" s="18"/>
      <c r="J1042" s="18"/>
      <c r="K1042" s="18"/>
      <c r="L1042" s="18" t="s">
        <v>109</v>
      </c>
      <c r="M1042" s="18" t="s">
        <v>109</v>
      </c>
      <c r="N1042" s="18"/>
      <c r="O1042" s="18"/>
      <c r="P1042" s="18" t="s">
        <v>4633</v>
      </c>
      <c r="Q1042" s="18" t="s">
        <v>123</v>
      </c>
      <c r="R1042" s="18" t="s">
        <v>4634</v>
      </c>
      <c r="S1042" s="18" t="s">
        <v>125</v>
      </c>
      <c r="T1042" s="18" t="s">
        <v>4635</v>
      </c>
      <c r="U1042" s="18"/>
      <c r="V1042" s="19" t="s">
        <v>29</v>
      </c>
      <c r="W1042" s="19"/>
      <c r="X1042" s="19"/>
      <c r="Y1042" s="20"/>
      <c r="Z1042" s="19"/>
      <c r="AA1042" s="18" t="str">
        <f aca="false">IF(OR(V1042="Aprobada"),R1042,IF(AND(OR(V1042="Aprobada con ajuste",V1042="Rechazada"),W1042&lt;&gt;""),W1042,""))</f>
        <v/>
      </c>
    </row>
    <row r="1043" customFormat="false" ht="64.15" hidden="false" customHeight="false" outlineLevel="0" collapsed="false">
      <c r="A1043" s="18" t="s">
        <v>4636</v>
      </c>
      <c r="B1043" s="18" t="s">
        <v>64</v>
      </c>
      <c r="C1043" s="18" t="s">
        <v>65</v>
      </c>
      <c r="D1043" s="18" t="s">
        <v>4544</v>
      </c>
      <c r="E1043" s="18" t="n">
        <v>0</v>
      </c>
      <c r="F1043" s="18" t="s">
        <v>1968</v>
      </c>
      <c r="G1043" s="18" t="s">
        <v>3982</v>
      </c>
      <c r="H1043" s="18" t="s">
        <v>117</v>
      </c>
      <c r="I1043" s="18"/>
      <c r="J1043" s="18"/>
      <c r="K1043" s="18"/>
      <c r="L1043" s="18" t="s">
        <v>109</v>
      </c>
      <c r="M1043" s="18" t="s">
        <v>109</v>
      </c>
      <c r="N1043" s="18"/>
      <c r="O1043" s="18"/>
      <c r="P1043" s="18" t="s">
        <v>4637</v>
      </c>
      <c r="Q1043" s="18" t="s">
        <v>123</v>
      </c>
      <c r="R1043" s="18" t="s">
        <v>4638</v>
      </c>
      <c r="S1043" s="18" t="s">
        <v>112</v>
      </c>
      <c r="T1043" s="18" t="s">
        <v>4639</v>
      </c>
      <c r="U1043" s="18" t="s">
        <v>4640</v>
      </c>
      <c r="V1043" s="19" t="s">
        <v>29</v>
      </c>
      <c r="W1043" s="19"/>
      <c r="X1043" s="19"/>
      <c r="Y1043" s="20"/>
      <c r="Z1043" s="19"/>
      <c r="AA1043" s="18" t="str">
        <f aca="false">IF(OR(V1043="Aprobada"),R1043,IF(AND(OR(V1043="Aprobada con ajuste",V1043="Rechazada"),W1043&lt;&gt;""),W1043,""))</f>
        <v/>
      </c>
    </row>
    <row r="1044" customFormat="false" ht="32.8" hidden="false" customHeight="false" outlineLevel="0" collapsed="false">
      <c r="A1044" s="18" t="s">
        <v>4641</v>
      </c>
      <c r="B1044" s="18" t="s">
        <v>64</v>
      </c>
      <c r="C1044" s="18" t="s">
        <v>65</v>
      </c>
      <c r="D1044" s="18" t="s">
        <v>4544</v>
      </c>
      <c r="E1044" s="18" t="n">
        <v>0</v>
      </c>
      <c r="F1044" s="18" t="s">
        <v>4642</v>
      </c>
      <c r="G1044" s="18" t="s">
        <v>3982</v>
      </c>
      <c r="H1044" s="18" t="s">
        <v>117</v>
      </c>
      <c r="I1044" s="18" t="s">
        <v>140</v>
      </c>
      <c r="J1044" s="18"/>
      <c r="K1044" s="18"/>
      <c r="L1044" s="18" t="s">
        <v>109</v>
      </c>
      <c r="M1044" s="18" t="s">
        <v>109</v>
      </c>
      <c r="N1044" s="18"/>
      <c r="O1044" s="18"/>
      <c r="P1044" s="18" t="s">
        <v>4643</v>
      </c>
      <c r="Q1044" s="18" t="s">
        <v>123</v>
      </c>
      <c r="R1044" s="18" t="s">
        <v>4644</v>
      </c>
      <c r="S1044" s="18" t="s">
        <v>112</v>
      </c>
      <c r="T1044" s="18" t="s">
        <v>4645</v>
      </c>
      <c r="U1044" s="18" t="s">
        <v>4646</v>
      </c>
      <c r="V1044" s="19" t="s">
        <v>29</v>
      </c>
      <c r="W1044" s="19"/>
      <c r="X1044" s="19"/>
      <c r="Y1044" s="20"/>
      <c r="Z1044" s="19"/>
      <c r="AA1044" s="18" t="str">
        <f aca="false">IF(OR(V1044="Aprobada"),R1044,IF(AND(OR(V1044="Aprobada con ajuste",V1044="Rechazada"),W1044&lt;&gt;""),W1044,""))</f>
        <v/>
      </c>
    </row>
    <row r="1045" customFormat="false" ht="32.8" hidden="false" customHeight="false" outlineLevel="0" collapsed="false">
      <c r="A1045" s="18" t="s">
        <v>4647</v>
      </c>
      <c r="B1045" s="18" t="s">
        <v>64</v>
      </c>
      <c r="C1045" s="18" t="s">
        <v>65</v>
      </c>
      <c r="D1045" s="18" t="s">
        <v>4544</v>
      </c>
      <c r="E1045" s="18" t="n">
        <v>0</v>
      </c>
      <c r="F1045" s="18" t="s">
        <v>4648</v>
      </c>
      <c r="G1045" s="18" t="s">
        <v>3400</v>
      </c>
      <c r="H1045" s="18" t="s">
        <v>117</v>
      </c>
      <c r="I1045" s="18" t="s">
        <v>140</v>
      </c>
      <c r="J1045" s="18"/>
      <c r="K1045" s="18"/>
      <c r="L1045" s="18" t="s">
        <v>109</v>
      </c>
      <c r="M1045" s="18" t="s">
        <v>109</v>
      </c>
      <c r="N1045" s="18"/>
      <c r="O1045" s="18"/>
      <c r="P1045" s="18" t="s">
        <v>4649</v>
      </c>
      <c r="Q1045" s="18" t="s">
        <v>123</v>
      </c>
      <c r="R1045" s="18" t="s">
        <v>4650</v>
      </c>
      <c r="S1045" s="18" t="s">
        <v>112</v>
      </c>
      <c r="T1045" s="18" t="s">
        <v>4651</v>
      </c>
      <c r="U1045" s="18" t="s">
        <v>4652</v>
      </c>
      <c r="V1045" s="19" t="s">
        <v>29</v>
      </c>
      <c r="W1045" s="19"/>
      <c r="X1045" s="19"/>
      <c r="Y1045" s="20"/>
      <c r="Z1045" s="19"/>
      <c r="AA1045" s="18" t="str">
        <f aca="false">IF(OR(V1045="Aprobada"),R1045,IF(AND(OR(V1045="Aprobada con ajuste",V1045="Rechazada"),W1045&lt;&gt;""),W1045,""))</f>
        <v/>
      </c>
    </row>
    <row r="1046" customFormat="false" ht="32.8" hidden="false" customHeight="false" outlineLevel="0" collapsed="false">
      <c r="A1046" s="18" t="s">
        <v>4653</v>
      </c>
      <c r="B1046" s="18" t="s">
        <v>64</v>
      </c>
      <c r="C1046" s="18" t="s">
        <v>65</v>
      </c>
      <c r="D1046" s="18" t="s">
        <v>4544</v>
      </c>
      <c r="E1046" s="18" t="n">
        <v>0</v>
      </c>
      <c r="F1046" s="18" t="s">
        <v>4037</v>
      </c>
      <c r="G1046" s="18" t="s">
        <v>116</v>
      </c>
      <c r="H1046" s="18" t="s">
        <v>117</v>
      </c>
      <c r="I1046" s="18"/>
      <c r="J1046" s="18"/>
      <c r="K1046" s="18"/>
      <c r="L1046" s="18" t="s">
        <v>109</v>
      </c>
      <c r="M1046" s="18" t="s">
        <v>109</v>
      </c>
      <c r="N1046" s="18"/>
      <c r="O1046" s="18"/>
      <c r="P1046" s="18" t="s">
        <v>4654</v>
      </c>
      <c r="Q1046" s="18" t="s">
        <v>123</v>
      </c>
      <c r="R1046" s="18" t="s">
        <v>4655</v>
      </c>
      <c r="S1046" s="18" t="s">
        <v>125</v>
      </c>
      <c r="T1046" s="18" t="s">
        <v>4656</v>
      </c>
      <c r="U1046" s="18"/>
      <c r="V1046" s="19" t="s">
        <v>29</v>
      </c>
      <c r="W1046" s="19"/>
      <c r="X1046" s="19"/>
      <c r="Y1046" s="20"/>
      <c r="Z1046" s="19"/>
      <c r="AA1046" s="18" t="str">
        <f aca="false">IF(OR(V1046="Aprobada"),R1046,IF(AND(OR(V1046="Aprobada con ajuste",V1046="Rechazada"),W1046&lt;&gt;""),W1046,""))</f>
        <v/>
      </c>
    </row>
    <row r="1047" customFormat="false" ht="32.8" hidden="false" customHeight="false" outlineLevel="0" collapsed="false">
      <c r="A1047" s="18" t="s">
        <v>4657</v>
      </c>
      <c r="B1047" s="18" t="s">
        <v>64</v>
      </c>
      <c r="C1047" s="18" t="s">
        <v>65</v>
      </c>
      <c r="D1047" s="18" t="s">
        <v>4544</v>
      </c>
      <c r="E1047" s="18" t="n">
        <v>0</v>
      </c>
      <c r="F1047" s="18" t="s">
        <v>4658</v>
      </c>
      <c r="G1047" s="18" t="s">
        <v>249</v>
      </c>
      <c r="H1047" s="18" t="s">
        <v>117</v>
      </c>
      <c r="I1047" s="18" t="s">
        <v>140</v>
      </c>
      <c r="J1047" s="18"/>
      <c r="K1047" s="18"/>
      <c r="L1047" s="18" t="s">
        <v>109</v>
      </c>
      <c r="M1047" s="18" t="s">
        <v>109</v>
      </c>
      <c r="N1047" s="18"/>
      <c r="O1047" s="18"/>
      <c r="P1047" s="18" t="s">
        <v>4659</v>
      </c>
      <c r="Q1047" s="18" t="s">
        <v>123</v>
      </c>
      <c r="R1047" s="18" t="s">
        <v>4660</v>
      </c>
      <c r="S1047" s="18" t="s">
        <v>125</v>
      </c>
      <c r="T1047" s="18" t="s">
        <v>4661</v>
      </c>
      <c r="U1047" s="18"/>
      <c r="V1047" s="19" t="s">
        <v>29</v>
      </c>
      <c r="W1047" s="19"/>
      <c r="X1047" s="19"/>
      <c r="Y1047" s="20"/>
      <c r="Z1047" s="19"/>
      <c r="AA1047" s="18" t="str">
        <f aca="false">IF(OR(V1047="Aprobada"),R1047,IF(AND(OR(V1047="Aprobada con ajuste",V1047="Rechazada"),W1047&lt;&gt;""),W1047,""))</f>
        <v/>
      </c>
    </row>
    <row r="1048" customFormat="false" ht="32.8" hidden="false" customHeight="false" outlineLevel="0" collapsed="false">
      <c r="A1048" s="18" t="s">
        <v>4662</v>
      </c>
      <c r="B1048" s="18" t="s">
        <v>64</v>
      </c>
      <c r="C1048" s="18" t="s">
        <v>65</v>
      </c>
      <c r="D1048" s="18" t="s">
        <v>4544</v>
      </c>
      <c r="E1048" s="18" t="n">
        <v>0</v>
      </c>
      <c r="F1048" s="18" t="s">
        <v>4663</v>
      </c>
      <c r="G1048" s="18" t="s">
        <v>459</v>
      </c>
      <c r="H1048" s="18" t="s">
        <v>117</v>
      </c>
      <c r="I1048" s="18" t="s">
        <v>140</v>
      </c>
      <c r="J1048" s="18"/>
      <c r="K1048" s="18"/>
      <c r="L1048" s="18" t="s">
        <v>109</v>
      </c>
      <c r="M1048" s="18" t="s">
        <v>109</v>
      </c>
      <c r="N1048" s="18"/>
      <c r="O1048" s="18"/>
      <c r="P1048" s="18" t="s">
        <v>4664</v>
      </c>
      <c r="Q1048" s="18" t="s">
        <v>123</v>
      </c>
      <c r="R1048" s="18" t="s">
        <v>4665</v>
      </c>
      <c r="S1048" s="18" t="s">
        <v>112</v>
      </c>
      <c r="T1048" s="18" t="s">
        <v>4666</v>
      </c>
      <c r="U1048" s="18" t="s">
        <v>4667</v>
      </c>
      <c r="V1048" s="19" t="s">
        <v>29</v>
      </c>
      <c r="W1048" s="19"/>
      <c r="X1048" s="19"/>
      <c r="Y1048" s="20"/>
      <c r="Z1048" s="19"/>
      <c r="AA1048" s="18" t="str">
        <f aca="false">IF(OR(V1048="Aprobada"),R1048,IF(AND(OR(V1048="Aprobada con ajuste",V1048="Rechazada"),W1048&lt;&gt;""),W1048,""))</f>
        <v/>
      </c>
    </row>
    <row r="1049" customFormat="false" ht="32.8" hidden="false" customHeight="false" outlineLevel="0" collapsed="false">
      <c r="A1049" s="18" t="s">
        <v>4668</v>
      </c>
      <c r="B1049" s="18" t="s">
        <v>64</v>
      </c>
      <c r="C1049" s="18" t="s">
        <v>65</v>
      </c>
      <c r="D1049" s="18" t="s">
        <v>4544</v>
      </c>
      <c r="E1049" s="18" t="n">
        <v>0</v>
      </c>
      <c r="F1049" s="18" t="s">
        <v>4669</v>
      </c>
      <c r="G1049" s="18" t="s">
        <v>184</v>
      </c>
      <c r="H1049" s="18" t="s">
        <v>117</v>
      </c>
      <c r="I1049" s="18" t="s">
        <v>140</v>
      </c>
      <c r="J1049" s="18"/>
      <c r="K1049" s="18"/>
      <c r="L1049" s="18" t="s">
        <v>109</v>
      </c>
      <c r="M1049" s="18" t="s">
        <v>109</v>
      </c>
      <c r="N1049" s="18"/>
      <c r="O1049" s="18"/>
      <c r="P1049" s="18" t="s">
        <v>4670</v>
      </c>
      <c r="Q1049" s="18" t="s">
        <v>123</v>
      </c>
      <c r="R1049" s="18" t="s">
        <v>4671</v>
      </c>
      <c r="S1049" s="18" t="s">
        <v>112</v>
      </c>
      <c r="T1049" s="18" t="s">
        <v>4672</v>
      </c>
      <c r="U1049" s="18" t="s">
        <v>4673</v>
      </c>
      <c r="V1049" s="19" t="s">
        <v>29</v>
      </c>
      <c r="W1049" s="19"/>
      <c r="X1049" s="19"/>
      <c r="Y1049" s="20"/>
      <c r="Z1049" s="19"/>
      <c r="AA1049" s="18" t="str">
        <f aca="false">IF(OR(V1049="Aprobada"),R1049,IF(AND(OR(V1049="Aprobada con ajuste",V1049="Rechazada"),W1049&lt;&gt;""),W1049,""))</f>
        <v/>
      </c>
    </row>
    <row r="1050" customFormat="false" ht="32.8" hidden="false" customHeight="false" outlineLevel="0" collapsed="false">
      <c r="A1050" s="18" t="s">
        <v>4674</v>
      </c>
      <c r="B1050" s="18" t="s">
        <v>64</v>
      </c>
      <c r="C1050" s="18" t="s">
        <v>65</v>
      </c>
      <c r="D1050" s="18" t="s">
        <v>4544</v>
      </c>
      <c r="E1050" s="18" t="n">
        <v>0</v>
      </c>
      <c r="F1050" s="18" t="s">
        <v>4675</v>
      </c>
      <c r="G1050" s="18" t="s">
        <v>249</v>
      </c>
      <c r="H1050" s="18" t="s">
        <v>117</v>
      </c>
      <c r="I1050" s="18" t="s">
        <v>140</v>
      </c>
      <c r="J1050" s="18"/>
      <c r="K1050" s="18"/>
      <c r="L1050" s="18" t="s">
        <v>109</v>
      </c>
      <c r="M1050" s="18" t="s">
        <v>109</v>
      </c>
      <c r="N1050" s="18"/>
      <c r="O1050" s="18"/>
      <c r="P1050" s="18" t="s">
        <v>4676</v>
      </c>
      <c r="Q1050" s="18" t="s">
        <v>123</v>
      </c>
      <c r="R1050" s="18" t="s">
        <v>4677</v>
      </c>
      <c r="S1050" s="18" t="s">
        <v>125</v>
      </c>
      <c r="T1050" s="18" t="s">
        <v>4678</v>
      </c>
      <c r="U1050" s="18"/>
      <c r="V1050" s="19" t="s">
        <v>29</v>
      </c>
      <c r="W1050" s="19"/>
      <c r="X1050" s="19"/>
      <c r="Y1050" s="20"/>
      <c r="Z1050" s="19"/>
      <c r="AA1050" s="18" t="str">
        <f aca="false">IF(OR(V1050="Aprobada"),R1050,IF(AND(OR(V1050="Aprobada con ajuste",V1050="Rechazada"),W1050&lt;&gt;""),W1050,""))</f>
        <v/>
      </c>
    </row>
    <row r="1051" customFormat="false" ht="43.25" hidden="false" customHeight="false" outlineLevel="0" collapsed="false">
      <c r="A1051" s="18" t="s">
        <v>4679</v>
      </c>
      <c r="B1051" s="18" t="s">
        <v>64</v>
      </c>
      <c r="C1051" s="18" t="s">
        <v>65</v>
      </c>
      <c r="D1051" s="18" t="s">
        <v>4680</v>
      </c>
      <c r="E1051" s="18" t="n">
        <v>5</v>
      </c>
      <c r="F1051" s="18" t="s">
        <v>4215</v>
      </c>
      <c r="G1051" s="18" t="s">
        <v>324</v>
      </c>
      <c r="H1051" s="18" t="s">
        <v>109</v>
      </c>
      <c r="I1051" s="18" t="s">
        <v>409</v>
      </c>
      <c r="J1051" s="18"/>
      <c r="K1051" s="18"/>
      <c r="L1051" s="18" t="s">
        <v>109</v>
      </c>
      <c r="M1051" s="18" t="s">
        <v>109</v>
      </c>
      <c r="N1051" s="18"/>
      <c r="O1051" s="18" t="s">
        <v>4681</v>
      </c>
      <c r="P1051" s="18" t="s">
        <v>4682</v>
      </c>
      <c r="Q1051" s="18" t="s">
        <v>134</v>
      </c>
      <c r="R1051" s="18" t="s">
        <v>4683</v>
      </c>
      <c r="S1051" s="18" t="s">
        <v>125</v>
      </c>
      <c r="T1051" s="18" t="s">
        <v>4684</v>
      </c>
      <c r="U1051" s="18"/>
      <c r="V1051" s="19" t="s">
        <v>29</v>
      </c>
      <c r="W1051" s="19"/>
      <c r="X1051" s="19"/>
      <c r="Y1051" s="20"/>
      <c r="Z1051" s="19"/>
      <c r="AA1051" s="18" t="str">
        <f aca="false">IF(OR(V1051="Aprobada"),R1051,IF(AND(OR(V1051="Aprobada con ajuste",V1051="Rechazada"),W1051&lt;&gt;""),W1051,""))</f>
        <v/>
      </c>
    </row>
    <row r="1052" customFormat="false" ht="32.8" hidden="false" customHeight="false" outlineLevel="0" collapsed="false">
      <c r="A1052" s="18" t="s">
        <v>4685</v>
      </c>
      <c r="B1052" s="18" t="s">
        <v>64</v>
      </c>
      <c r="C1052" s="18" t="s">
        <v>65</v>
      </c>
      <c r="D1052" s="18" t="s">
        <v>4680</v>
      </c>
      <c r="E1052" s="18" t="n">
        <v>5</v>
      </c>
      <c r="F1052" s="18" t="s">
        <v>1102</v>
      </c>
      <c r="G1052" s="18" t="s">
        <v>934</v>
      </c>
      <c r="H1052" s="18" t="s">
        <v>109</v>
      </c>
      <c r="I1052" s="18"/>
      <c r="J1052" s="18"/>
      <c r="K1052" s="18"/>
      <c r="L1052" s="18" t="s">
        <v>109</v>
      </c>
      <c r="M1052" s="18" t="s">
        <v>109</v>
      </c>
      <c r="N1052" s="18"/>
      <c r="O1052" s="18"/>
      <c r="P1052" s="18" t="s">
        <v>4686</v>
      </c>
      <c r="Q1052" s="18" t="s">
        <v>134</v>
      </c>
      <c r="R1052" s="18" t="s">
        <v>4687</v>
      </c>
      <c r="S1052" s="18" t="s">
        <v>112</v>
      </c>
      <c r="T1052" s="18" t="s">
        <v>4688</v>
      </c>
      <c r="U1052" s="18" t="s">
        <v>4689</v>
      </c>
      <c r="V1052" s="19" t="s">
        <v>29</v>
      </c>
      <c r="W1052" s="19"/>
      <c r="X1052" s="19"/>
      <c r="Y1052" s="20"/>
      <c r="Z1052" s="19"/>
      <c r="AA1052" s="18" t="str">
        <f aca="false">IF(OR(V1052="Aprobada"),R1052,IF(AND(OR(V1052="Aprobada con ajuste",V1052="Rechazada"),W1052&lt;&gt;""),W1052,""))</f>
        <v/>
      </c>
    </row>
    <row r="1053" customFormat="false" ht="32.8" hidden="false" customHeight="false" outlineLevel="0" collapsed="false">
      <c r="A1053" s="18" t="s">
        <v>4690</v>
      </c>
      <c r="B1053" s="18" t="s">
        <v>64</v>
      </c>
      <c r="C1053" s="18" t="s">
        <v>65</v>
      </c>
      <c r="D1053" s="18" t="s">
        <v>4680</v>
      </c>
      <c r="E1053" s="18" t="n">
        <v>5</v>
      </c>
      <c r="F1053" s="18" t="s">
        <v>150</v>
      </c>
      <c r="G1053" s="18" t="s">
        <v>151</v>
      </c>
      <c r="H1053" s="18" t="s">
        <v>109</v>
      </c>
      <c r="I1053" s="18"/>
      <c r="J1053" s="18"/>
      <c r="K1053" s="18"/>
      <c r="L1053" s="18" t="s">
        <v>109</v>
      </c>
      <c r="M1053" s="18" t="s">
        <v>109</v>
      </c>
      <c r="N1053" s="18"/>
      <c r="O1053" s="18"/>
      <c r="P1053" s="18" t="s">
        <v>4691</v>
      </c>
      <c r="Q1053" s="18" t="s">
        <v>110</v>
      </c>
      <c r="R1053" s="18" t="s">
        <v>4692</v>
      </c>
      <c r="S1053" s="18" t="s">
        <v>112</v>
      </c>
      <c r="T1053" s="18" t="s">
        <v>113</v>
      </c>
      <c r="U1053" s="18"/>
      <c r="V1053" s="19" t="s">
        <v>29</v>
      </c>
      <c r="W1053" s="19"/>
      <c r="X1053" s="19"/>
      <c r="Y1053" s="20"/>
      <c r="Z1053" s="19"/>
      <c r="AA1053" s="18" t="str">
        <f aca="false">IF(OR(V1053="Aprobada"),R1053,IF(AND(OR(V1053="Aprobada con ajuste",V1053="Rechazada"),W1053&lt;&gt;""),W1053,""))</f>
        <v/>
      </c>
    </row>
    <row r="1054" customFormat="false" ht="43.25" hidden="false" customHeight="false" outlineLevel="0" collapsed="false">
      <c r="A1054" s="18" t="s">
        <v>4693</v>
      </c>
      <c r="B1054" s="18" t="s">
        <v>64</v>
      </c>
      <c r="C1054" s="18" t="s">
        <v>65</v>
      </c>
      <c r="D1054" s="18" t="s">
        <v>4680</v>
      </c>
      <c r="E1054" s="18" t="n">
        <v>5</v>
      </c>
      <c r="F1054" s="18" t="s">
        <v>1018</v>
      </c>
      <c r="G1054" s="18" t="s">
        <v>934</v>
      </c>
      <c r="H1054" s="18" t="s">
        <v>117</v>
      </c>
      <c r="I1054" s="18"/>
      <c r="J1054" s="18"/>
      <c r="K1054" s="18"/>
      <c r="L1054" s="18" t="s">
        <v>109</v>
      </c>
      <c r="M1054" s="18" t="s">
        <v>109</v>
      </c>
      <c r="N1054" s="18"/>
      <c r="O1054" s="18"/>
      <c r="P1054" s="18" t="s">
        <v>4694</v>
      </c>
      <c r="Q1054" s="18" t="s">
        <v>110</v>
      </c>
      <c r="R1054" s="18" t="s">
        <v>4695</v>
      </c>
      <c r="S1054" s="18" t="s">
        <v>112</v>
      </c>
      <c r="T1054" s="18" t="s">
        <v>113</v>
      </c>
      <c r="U1054" s="18"/>
      <c r="V1054" s="19" t="s">
        <v>29</v>
      </c>
      <c r="W1054" s="19"/>
      <c r="X1054" s="19"/>
      <c r="Y1054" s="20"/>
      <c r="Z1054" s="19"/>
      <c r="AA1054" s="18" t="str">
        <f aca="false">IF(OR(V1054="Aprobada"),R1054,IF(AND(OR(V1054="Aprobada con ajuste",V1054="Rechazada"),W1054&lt;&gt;""),W1054,""))</f>
        <v/>
      </c>
    </row>
    <row r="1055" customFormat="false" ht="22.35" hidden="false" customHeight="false" outlineLevel="0" collapsed="false">
      <c r="A1055" s="18" t="s">
        <v>4696</v>
      </c>
      <c r="B1055" s="18" t="s">
        <v>64</v>
      </c>
      <c r="C1055" s="18" t="s">
        <v>65</v>
      </c>
      <c r="D1055" s="18" t="s">
        <v>4697</v>
      </c>
      <c r="E1055" s="18" t="n">
        <v>1</v>
      </c>
      <c r="F1055" s="18" t="s">
        <v>1102</v>
      </c>
      <c r="G1055" s="18" t="s">
        <v>934</v>
      </c>
      <c r="H1055" s="18" t="s">
        <v>109</v>
      </c>
      <c r="I1055" s="18"/>
      <c r="J1055" s="18"/>
      <c r="K1055" s="18"/>
      <c r="L1055" s="18" t="s">
        <v>117</v>
      </c>
      <c r="M1055" s="18" t="s">
        <v>109</v>
      </c>
      <c r="N1055" s="18"/>
      <c r="O1055" s="18"/>
      <c r="P1055" s="18"/>
      <c r="Q1055" s="18" t="s">
        <v>134</v>
      </c>
      <c r="R1055" s="18" t="s">
        <v>4698</v>
      </c>
      <c r="S1055" s="18" t="s">
        <v>112</v>
      </c>
      <c r="T1055" s="18" t="s">
        <v>4699</v>
      </c>
      <c r="U1055" s="18" t="s">
        <v>4689</v>
      </c>
      <c r="V1055" s="19" t="s">
        <v>29</v>
      </c>
      <c r="W1055" s="19"/>
      <c r="X1055" s="19"/>
      <c r="Y1055" s="20"/>
      <c r="Z1055" s="19"/>
      <c r="AA1055" s="18" t="str">
        <f aca="false">IF(OR(V1055="Aprobada"),R1055,IF(AND(OR(V1055="Aprobada con ajuste",V1055="Rechazada"),W1055&lt;&gt;""),W1055,""))</f>
        <v/>
      </c>
    </row>
    <row r="1056" customFormat="false" ht="22.35" hidden="false" customHeight="false" outlineLevel="0" collapsed="false">
      <c r="A1056" s="18" t="s">
        <v>4700</v>
      </c>
      <c r="B1056" s="18" t="s">
        <v>64</v>
      </c>
      <c r="C1056" s="18" t="s">
        <v>65</v>
      </c>
      <c r="D1056" s="18" t="s">
        <v>4697</v>
      </c>
      <c r="E1056" s="18" t="n">
        <v>1</v>
      </c>
      <c r="F1056" s="18" t="s">
        <v>150</v>
      </c>
      <c r="G1056" s="18" t="s">
        <v>324</v>
      </c>
      <c r="H1056" s="18" t="s">
        <v>109</v>
      </c>
      <c r="I1056" s="18"/>
      <c r="J1056" s="18"/>
      <c r="K1056" s="18"/>
      <c r="L1056" s="18" t="s">
        <v>117</v>
      </c>
      <c r="M1056" s="18" t="s">
        <v>109</v>
      </c>
      <c r="N1056" s="18"/>
      <c r="O1056" s="18"/>
      <c r="P1056" s="18"/>
      <c r="Q1056" s="18" t="s">
        <v>110</v>
      </c>
      <c r="R1056" s="18" t="s">
        <v>4701</v>
      </c>
      <c r="S1056" s="18" t="s">
        <v>112</v>
      </c>
      <c r="T1056" s="18" t="s">
        <v>113</v>
      </c>
      <c r="U1056" s="18"/>
      <c r="V1056" s="19" t="s">
        <v>29</v>
      </c>
      <c r="W1056" s="19"/>
      <c r="X1056" s="19"/>
      <c r="Y1056" s="20"/>
      <c r="Z1056" s="19"/>
      <c r="AA1056" s="18" t="str">
        <f aca="false">IF(OR(V1056="Aprobada"),R1056,IF(AND(OR(V1056="Aprobada con ajuste",V1056="Rechazada"),W1056&lt;&gt;""),W1056,""))</f>
        <v/>
      </c>
    </row>
    <row r="1057" customFormat="false" ht="22.35" hidden="false" customHeight="false" outlineLevel="0" collapsed="false">
      <c r="A1057" s="18" t="s">
        <v>4702</v>
      </c>
      <c r="B1057" s="18" t="s">
        <v>64</v>
      </c>
      <c r="C1057" s="18" t="s">
        <v>65</v>
      </c>
      <c r="D1057" s="18" t="s">
        <v>4697</v>
      </c>
      <c r="E1057" s="18" t="n">
        <v>1</v>
      </c>
      <c r="F1057" s="18" t="s">
        <v>1018</v>
      </c>
      <c r="G1057" s="18" t="s">
        <v>116</v>
      </c>
      <c r="H1057" s="18" t="s">
        <v>117</v>
      </c>
      <c r="I1057" s="18"/>
      <c r="J1057" s="18"/>
      <c r="K1057" s="18"/>
      <c r="L1057" s="18" t="s">
        <v>117</v>
      </c>
      <c r="M1057" s="18" t="s">
        <v>109</v>
      </c>
      <c r="N1057" s="18"/>
      <c r="O1057" s="18"/>
      <c r="P1057" s="18"/>
      <c r="Q1057" s="18" t="s">
        <v>110</v>
      </c>
      <c r="R1057" s="18" t="s">
        <v>4703</v>
      </c>
      <c r="S1057" s="18" t="s">
        <v>112</v>
      </c>
      <c r="T1057" s="18" t="s">
        <v>113</v>
      </c>
      <c r="U1057" s="18"/>
      <c r="V1057" s="19" t="s">
        <v>29</v>
      </c>
      <c r="W1057" s="19"/>
      <c r="X1057" s="19"/>
      <c r="Y1057" s="20"/>
      <c r="Z1057" s="19"/>
      <c r="AA1057" s="18" t="str">
        <f aca="false">IF(OR(V1057="Aprobada"),R1057,IF(AND(OR(V1057="Aprobada con ajuste",V1057="Rechazada"),W1057&lt;&gt;""),W1057,""))</f>
        <v/>
      </c>
    </row>
    <row r="1058" customFormat="false" ht="22.35" hidden="false" customHeight="false" outlineLevel="0" collapsed="false">
      <c r="A1058" s="18" t="s">
        <v>4704</v>
      </c>
      <c r="B1058" s="18" t="s">
        <v>64</v>
      </c>
      <c r="C1058" s="18" t="s">
        <v>65</v>
      </c>
      <c r="D1058" s="18" t="s">
        <v>4697</v>
      </c>
      <c r="E1058" s="18" t="n">
        <v>1</v>
      </c>
      <c r="F1058" s="18" t="s">
        <v>4705</v>
      </c>
      <c r="G1058" s="18" t="s">
        <v>145</v>
      </c>
      <c r="H1058" s="18" t="s">
        <v>117</v>
      </c>
      <c r="I1058" s="18"/>
      <c r="J1058" s="18"/>
      <c r="K1058" s="18"/>
      <c r="L1058" s="18" t="s">
        <v>117</v>
      </c>
      <c r="M1058" s="18" t="s">
        <v>109</v>
      </c>
      <c r="N1058" s="18"/>
      <c r="O1058" s="18"/>
      <c r="P1058" s="18"/>
      <c r="Q1058" s="18" t="s">
        <v>110</v>
      </c>
      <c r="R1058" s="18" t="s">
        <v>4706</v>
      </c>
      <c r="S1058" s="18" t="s">
        <v>112</v>
      </c>
      <c r="T1058" s="18" t="s">
        <v>113</v>
      </c>
      <c r="U1058" s="18"/>
      <c r="V1058" s="19" t="s">
        <v>29</v>
      </c>
      <c r="W1058" s="19"/>
      <c r="X1058" s="19"/>
      <c r="Y1058" s="20"/>
      <c r="Z1058" s="19"/>
      <c r="AA1058" s="18" t="str">
        <f aca="false">IF(OR(V1058="Aprobada"),R1058,IF(AND(OR(V1058="Aprobada con ajuste",V1058="Rechazada"),W1058&lt;&gt;""),W1058,""))</f>
        <v/>
      </c>
    </row>
    <row r="1059" customFormat="false" ht="22.35" hidden="false" customHeight="false" outlineLevel="0" collapsed="false">
      <c r="A1059" s="18" t="s">
        <v>4707</v>
      </c>
      <c r="B1059" s="18" t="s">
        <v>64</v>
      </c>
      <c r="C1059" s="18" t="s">
        <v>65</v>
      </c>
      <c r="D1059" s="18" t="s">
        <v>4708</v>
      </c>
      <c r="E1059" s="18" t="n">
        <v>0</v>
      </c>
      <c r="F1059" s="18" t="s">
        <v>2932</v>
      </c>
      <c r="G1059" s="18" t="s">
        <v>249</v>
      </c>
      <c r="H1059" s="18" t="s">
        <v>109</v>
      </c>
      <c r="I1059" s="18"/>
      <c r="J1059" s="18"/>
      <c r="K1059" s="18"/>
      <c r="L1059" s="18" t="s">
        <v>109</v>
      </c>
      <c r="M1059" s="18" t="s">
        <v>109</v>
      </c>
      <c r="N1059" s="18"/>
      <c r="O1059" s="18"/>
      <c r="P1059" s="18"/>
      <c r="Q1059" s="18" t="s">
        <v>134</v>
      </c>
      <c r="R1059" s="18" t="s">
        <v>4709</v>
      </c>
      <c r="S1059" s="18" t="s">
        <v>112</v>
      </c>
      <c r="T1059" s="18" t="s">
        <v>4710</v>
      </c>
      <c r="U1059" s="18" t="s">
        <v>4465</v>
      </c>
      <c r="V1059" s="19" t="s">
        <v>29</v>
      </c>
      <c r="W1059" s="19"/>
      <c r="X1059" s="19"/>
      <c r="Y1059" s="20"/>
      <c r="Z1059" s="19"/>
      <c r="AA1059" s="18" t="str">
        <f aca="false">IF(OR(V1059="Aprobada"),R1059,IF(AND(OR(V1059="Aprobada con ajuste",V1059="Rechazada"),W1059&lt;&gt;""),W1059,""))</f>
        <v/>
      </c>
    </row>
    <row r="1060" customFormat="false" ht="43.25" hidden="false" customHeight="false" outlineLevel="0" collapsed="false">
      <c r="A1060" s="18" t="s">
        <v>4711</v>
      </c>
      <c r="B1060" s="18" t="s">
        <v>64</v>
      </c>
      <c r="C1060" s="18" t="s">
        <v>65</v>
      </c>
      <c r="D1060" s="18" t="s">
        <v>4708</v>
      </c>
      <c r="E1060" s="18" t="n">
        <v>0</v>
      </c>
      <c r="F1060" s="18" t="s">
        <v>271</v>
      </c>
      <c r="G1060" s="18" t="s">
        <v>108</v>
      </c>
      <c r="H1060" s="18" t="s">
        <v>109</v>
      </c>
      <c r="I1060" s="18" t="s">
        <v>140</v>
      </c>
      <c r="J1060" s="18" t="s">
        <v>4712</v>
      </c>
      <c r="K1060" s="18"/>
      <c r="L1060" s="18" t="s">
        <v>117</v>
      </c>
      <c r="M1060" s="18" t="s">
        <v>109</v>
      </c>
      <c r="N1060" s="18"/>
      <c r="O1060" s="18"/>
      <c r="P1060" s="18"/>
      <c r="Q1060" s="18" t="s">
        <v>134</v>
      </c>
      <c r="R1060" s="18" t="s">
        <v>4713</v>
      </c>
      <c r="S1060" s="18" t="s">
        <v>125</v>
      </c>
      <c r="T1060" s="18" t="s">
        <v>4121</v>
      </c>
      <c r="U1060" s="18"/>
      <c r="V1060" s="19" t="s">
        <v>29</v>
      </c>
      <c r="W1060" s="19"/>
      <c r="X1060" s="19"/>
      <c r="Y1060" s="20"/>
      <c r="Z1060" s="19"/>
      <c r="AA1060" s="18" t="str">
        <f aca="false">IF(OR(V1060="Aprobada"),R1060,IF(AND(OR(V1060="Aprobada con ajuste",V1060="Rechazada"),W1060&lt;&gt;""),W1060,""))</f>
        <v/>
      </c>
    </row>
    <row r="1061" customFormat="false" ht="22.35" hidden="false" customHeight="false" outlineLevel="0" collapsed="false">
      <c r="A1061" s="18" t="s">
        <v>4714</v>
      </c>
      <c r="B1061" s="18" t="s">
        <v>64</v>
      </c>
      <c r="C1061" s="18" t="s">
        <v>65</v>
      </c>
      <c r="D1061" s="18" t="s">
        <v>4708</v>
      </c>
      <c r="E1061" s="18" t="n">
        <v>0</v>
      </c>
      <c r="F1061" s="18" t="s">
        <v>3709</v>
      </c>
      <c r="G1061" s="18" t="s">
        <v>212</v>
      </c>
      <c r="H1061" s="18" t="s">
        <v>109</v>
      </c>
      <c r="I1061" s="18"/>
      <c r="J1061" s="18"/>
      <c r="K1061" s="18"/>
      <c r="L1061" s="18" t="s">
        <v>109</v>
      </c>
      <c r="M1061" s="18" t="s">
        <v>109</v>
      </c>
      <c r="N1061" s="18"/>
      <c r="O1061" s="18"/>
      <c r="P1061" s="18"/>
      <c r="Q1061" s="18" t="s">
        <v>134</v>
      </c>
      <c r="R1061" s="18" t="s">
        <v>4715</v>
      </c>
      <c r="S1061" s="18" t="s">
        <v>169</v>
      </c>
      <c r="T1061" s="18" t="s">
        <v>4716</v>
      </c>
      <c r="U1061" s="18" t="s">
        <v>4501</v>
      </c>
      <c r="V1061" s="19" t="s">
        <v>29</v>
      </c>
      <c r="W1061" s="19"/>
      <c r="X1061" s="19"/>
      <c r="Y1061" s="20"/>
      <c r="Z1061" s="19"/>
      <c r="AA1061" s="18" t="str">
        <f aca="false">IF(OR(V1061="Aprobada"),R1061,IF(AND(OR(V1061="Aprobada con ajuste",V1061="Rechazada"),W1061&lt;&gt;""),W1061,""))</f>
        <v/>
      </c>
    </row>
    <row r="1062" customFormat="false" ht="22.35" hidden="false" customHeight="false" outlineLevel="0" collapsed="false">
      <c r="A1062" s="18" t="s">
        <v>4717</v>
      </c>
      <c r="B1062" s="18" t="s">
        <v>64</v>
      </c>
      <c r="C1062" s="18" t="s">
        <v>65</v>
      </c>
      <c r="D1062" s="18" t="s">
        <v>4718</v>
      </c>
      <c r="E1062" s="18" t="n">
        <v>0</v>
      </c>
      <c r="F1062" s="18" t="s">
        <v>4719</v>
      </c>
      <c r="G1062" s="18" t="s">
        <v>249</v>
      </c>
      <c r="H1062" s="18" t="s">
        <v>109</v>
      </c>
      <c r="I1062" s="18"/>
      <c r="J1062" s="18"/>
      <c r="K1062" s="18"/>
      <c r="L1062" s="18" t="s">
        <v>109</v>
      </c>
      <c r="M1062" s="18" t="s">
        <v>109</v>
      </c>
      <c r="N1062" s="18"/>
      <c r="O1062" s="18"/>
      <c r="P1062" s="18"/>
      <c r="Q1062" s="18" t="s">
        <v>134</v>
      </c>
      <c r="R1062" s="18" t="s">
        <v>4720</v>
      </c>
      <c r="S1062" s="18" t="s">
        <v>112</v>
      </c>
      <c r="T1062" s="18" t="s">
        <v>4303</v>
      </c>
      <c r="U1062" s="18" t="s">
        <v>4465</v>
      </c>
      <c r="V1062" s="19" t="s">
        <v>29</v>
      </c>
      <c r="W1062" s="19"/>
      <c r="X1062" s="19"/>
      <c r="Y1062" s="20"/>
      <c r="Z1062" s="19"/>
      <c r="AA1062" s="18" t="str">
        <f aca="false">IF(OR(V1062="Aprobada"),R1062,IF(AND(OR(V1062="Aprobada con ajuste",V1062="Rechazada"),W1062&lt;&gt;""),W1062,""))</f>
        <v/>
      </c>
    </row>
    <row r="1063" customFormat="false" ht="22.35" hidden="false" customHeight="false" outlineLevel="0" collapsed="false">
      <c r="A1063" s="18" t="s">
        <v>4721</v>
      </c>
      <c r="B1063" s="18" t="s">
        <v>64</v>
      </c>
      <c r="C1063" s="18" t="s">
        <v>65</v>
      </c>
      <c r="D1063" s="18" t="s">
        <v>4718</v>
      </c>
      <c r="E1063" s="18" t="n">
        <v>0</v>
      </c>
      <c r="F1063" s="18" t="s">
        <v>996</v>
      </c>
      <c r="G1063" s="18" t="s">
        <v>212</v>
      </c>
      <c r="H1063" s="18" t="s">
        <v>109</v>
      </c>
      <c r="I1063" s="18"/>
      <c r="J1063" s="18"/>
      <c r="K1063" s="18"/>
      <c r="L1063" s="18" t="s">
        <v>109</v>
      </c>
      <c r="M1063" s="18" t="s">
        <v>109</v>
      </c>
      <c r="N1063" s="18"/>
      <c r="O1063" s="18"/>
      <c r="P1063" s="18"/>
      <c r="Q1063" s="18" t="s">
        <v>134</v>
      </c>
      <c r="R1063" s="18" t="s">
        <v>4722</v>
      </c>
      <c r="S1063" s="18" t="s">
        <v>112</v>
      </c>
      <c r="T1063" s="18" t="s">
        <v>4723</v>
      </c>
      <c r="U1063" s="18" t="s">
        <v>4724</v>
      </c>
      <c r="V1063" s="19" t="s">
        <v>29</v>
      </c>
      <c r="W1063" s="19"/>
      <c r="X1063" s="19"/>
      <c r="Y1063" s="20"/>
      <c r="Z1063" s="19"/>
      <c r="AA1063" s="18" t="str">
        <f aca="false">IF(OR(V1063="Aprobada"),R1063,IF(AND(OR(V1063="Aprobada con ajuste",V1063="Rechazada"),W1063&lt;&gt;""),W1063,""))</f>
        <v/>
      </c>
    </row>
    <row r="1064" customFormat="false" ht="22.35" hidden="false" customHeight="false" outlineLevel="0" collapsed="false">
      <c r="A1064" s="18" t="s">
        <v>4725</v>
      </c>
      <c r="B1064" s="18" t="s">
        <v>64</v>
      </c>
      <c r="C1064" s="18" t="s">
        <v>65</v>
      </c>
      <c r="D1064" s="18" t="s">
        <v>4718</v>
      </c>
      <c r="E1064" s="18" t="n">
        <v>0</v>
      </c>
      <c r="F1064" s="18" t="s">
        <v>4726</v>
      </c>
      <c r="G1064" s="18" t="s">
        <v>992</v>
      </c>
      <c r="H1064" s="18" t="s">
        <v>109</v>
      </c>
      <c r="I1064" s="18"/>
      <c r="J1064" s="18"/>
      <c r="K1064" s="18"/>
      <c r="L1064" s="18" t="s">
        <v>109</v>
      </c>
      <c r="M1064" s="18" t="s">
        <v>109</v>
      </c>
      <c r="N1064" s="18"/>
      <c r="O1064" s="18"/>
      <c r="P1064" s="18"/>
      <c r="Q1064" s="18" t="s">
        <v>134</v>
      </c>
      <c r="R1064" s="18" t="s">
        <v>4727</v>
      </c>
      <c r="S1064" s="18" t="s">
        <v>125</v>
      </c>
      <c r="T1064" s="18" t="s">
        <v>4728</v>
      </c>
      <c r="U1064" s="18"/>
      <c r="V1064" s="19" t="s">
        <v>29</v>
      </c>
      <c r="W1064" s="19"/>
      <c r="X1064" s="19"/>
      <c r="Y1064" s="20"/>
      <c r="Z1064" s="19"/>
      <c r="AA1064" s="18" t="str">
        <f aca="false">IF(OR(V1064="Aprobada"),R1064,IF(AND(OR(V1064="Aprobada con ajuste",V1064="Rechazada"),W1064&lt;&gt;""),W1064,""))</f>
        <v/>
      </c>
    </row>
    <row r="1065" customFormat="false" ht="22.35" hidden="false" customHeight="false" outlineLevel="0" collapsed="false">
      <c r="A1065" s="18" t="s">
        <v>4729</v>
      </c>
      <c r="B1065" s="18" t="s">
        <v>64</v>
      </c>
      <c r="C1065" s="18" t="s">
        <v>65</v>
      </c>
      <c r="D1065" s="18" t="s">
        <v>4718</v>
      </c>
      <c r="E1065" s="18" t="n">
        <v>0</v>
      </c>
      <c r="F1065" s="18" t="s">
        <v>4730</v>
      </c>
      <c r="G1065" s="18" t="s">
        <v>212</v>
      </c>
      <c r="H1065" s="18" t="s">
        <v>117</v>
      </c>
      <c r="I1065" s="18" t="s">
        <v>140</v>
      </c>
      <c r="J1065" s="18"/>
      <c r="K1065" s="18"/>
      <c r="L1065" s="18" t="s">
        <v>109</v>
      </c>
      <c r="M1065" s="18" t="s">
        <v>109</v>
      </c>
      <c r="N1065" s="18"/>
      <c r="O1065" s="18"/>
      <c r="P1065" s="18"/>
      <c r="Q1065" s="18" t="s">
        <v>134</v>
      </c>
      <c r="R1065" s="18" t="s">
        <v>4731</v>
      </c>
      <c r="S1065" s="18" t="s">
        <v>112</v>
      </c>
      <c r="T1065" s="18" t="s">
        <v>4732</v>
      </c>
      <c r="U1065" s="18" t="s">
        <v>4733</v>
      </c>
      <c r="V1065" s="19" t="s">
        <v>29</v>
      </c>
      <c r="W1065" s="19"/>
      <c r="X1065" s="19"/>
      <c r="Y1065" s="20"/>
      <c r="Z1065" s="19"/>
      <c r="AA1065" s="18" t="str">
        <f aca="false">IF(OR(V1065="Aprobada"),R1065,IF(AND(OR(V1065="Aprobada con ajuste",V1065="Rechazada"),W1065&lt;&gt;""),W1065,""))</f>
        <v/>
      </c>
    </row>
    <row r="1066" customFormat="false" ht="22.35" hidden="false" customHeight="false" outlineLevel="0" collapsed="false">
      <c r="A1066" s="18" t="s">
        <v>4734</v>
      </c>
      <c r="B1066" s="18" t="s">
        <v>64</v>
      </c>
      <c r="C1066" s="18" t="s">
        <v>65</v>
      </c>
      <c r="D1066" s="18" t="s">
        <v>4718</v>
      </c>
      <c r="E1066" s="18" t="n">
        <v>0</v>
      </c>
      <c r="F1066" s="18" t="s">
        <v>253</v>
      </c>
      <c r="G1066" s="18" t="s">
        <v>184</v>
      </c>
      <c r="H1066" s="18" t="s">
        <v>117</v>
      </c>
      <c r="I1066" s="18" t="s">
        <v>140</v>
      </c>
      <c r="J1066" s="18"/>
      <c r="K1066" s="18"/>
      <c r="L1066" s="18" t="s">
        <v>109</v>
      </c>
      <c r="M1066" s="18" t="s">
        <v>109</v>
      </c>
      <c r="N1066" s="18"/>
      <c r="O1066" s="18"/>
      <c r="P1066" s="18"/>
      <c r="Q1066" s="18" t="s">
        <v>110</v>
      </c>
      <c r="R1066" s="18" t="s">
        <v>254</v>
      </c>
      <c r="S1066" s="18" t="s">
        <v>112</v>
      </c>
      <c r="T1066" s="18" t="s">
        <v>113</v>
      </c>
      <c r="U1066" s="18"/>
      <c r="V1066" s="19" t="s">
        <v>29</v>
      </c>
      <c r="W1066" s="19"/>
      <c r="X1066" s="19"/>
      <c r="Y1066" s="20"/>
      <c r="Z1066" s="19"/>
      <c r="AA1066" s="18" t="str">
        <f aca="false">IF(OR(V1066="Aprobada"),R1066,IF(AND(OR(V1066="Aprobada con ajuste",V1066="Rechazada"),W1066&lt;&gt;""),W1066,""))</f>
        <v/>
      </c>
    </row>
    <row r="1067" customFormat="false" ht="22.35" hidden="false" customHeight="false" outlineLevel="0" collapsed="false">
      <c r="A1067" s="18" t="s">
        <v>4735</v>
      </c>
      <c r="B1067" s="18" t="s">
        <v>64</v>
      </c>
      <c r="C1067" s="18" t="s">
        <v>65</v>
      </c>
      <c r="D1067" s="18" t="s">
        <v>4718</v>
      </c>
      <c r="E1067" s="18" t="n">
        <v>0</v>
      </c>
      <c r="F1067" s="18" t="s">
        <v>4736</v>
      </c>
      <c r="G1067" s="18" t="s">
        <v>992</v>
      </c>
      <c r="H1067" s="18" t="s">
        <v>117</v>
      </c>
      <c r="I1067" s="18" t="s">
        <v>140</v>
      </c>
      <c r="J1067" s="18"/>
      <c r="K1067" s="18"/>
      <c r="L1067" s="18" t="s">
        <v>109</v>
      </c>
      <c r="M1067" s="18" t="s">
        <v>109</v>
      </c>
      <c r="N1067" s="18"/>
      <c r="O1067" s="18"/>
      <c r="P1067" s="18"/>
      <c r="Q1067" s="18" t="s">
        <v>134</v>
      </c>
      <c r="R1067" s="18" t="s">
        <v>4737</v>
      </c>
      <c r="S1067" s="18" t="s">
        <v>125</v>
      </c>
      <c r="T1067" s="18" t="s">
        <v>4738</v>
      </c>
      <c r="U1067" s="18"/>
      <c r="V1067" s="19" t="s">
        <v>29</v>
      </c>
      <c r="W1067" s="19"/>
      <c r="X1067" s="19"/>
      <c r="Y1067" s="20"/>
      <c r="Z1067" s="19"/>
      <c r="AA1067" s="18" t="str">
        <f aca="false">IF(OR(V1067="Aprobada"),R1067,IF(AND(OR(V1067="Aprobada con ajuste",V1067="Rechazada"),W1067&lt;&gt;""),W1067,""))</f>
        <v/>
      </c>
    </row>
    <row r="1068" customFormat="false" ht="22.35" hidden="false" customHeight="false" outlineLevel="0" collapsed="false">
      <c r="A1068" s="18" t="s">
        <v>4739</v>
      </c>
      <c r="B1068" s="18" t="s">
        <v>64</v>
      </c>
      <c r="C1068" s="18" t="s">
        <v>65</v>
      </c>
      <c r="D1068" s="18" t="s">
        <v>4740</v>
      </c>
      <c r="E1068" s="18" t="n">
        <v>0</v>
      </c>
      <c r="F1068" s="18" t="s">
        <v>107</v>
      </c>
      <c r="G1068" s="18" t="s">
        <v>151</v>
      </c>
      <c r="H1068" s="18" t="s">
        <v>109</v>
      </c>
      <c r="I1068" s="18" t="s">
        <v>140</v>
      </c>
      <c r="J1068" s="18" t="s">
        <v>4741</v>
      </c>
      <c r="K1068" s="18"/>
      <c r="L1068" s="18" t="s">
        <v>117</v>
      </c>
      <c r="M1068" s="18" t="s">
        <v>109</v>
      </c>
      <c r="N1068" s="18"/>
      <c r="O1068" s="18" t="s">
        <v>4742</v>
      </c>
      <c r="P1068" s="18" t="s">
        <v>4743</v>
      </c>
      <c r="Q1068" s="18" t="s">
        <v>110</v>
      </c>
      <c r="R1068" s="18" t="s">
        <v>4744</v>
      </c>
      <c r="S1068" s="18" t="s">
        <v>112</v>
      </c>
      <c r="T1068" s="18" t="s">
        <v>113</v>
      </c>
      <c r="U1068" s="18"/>
      <c r="V1068" s="19" t="s">
        <v>29</v>
      </c>
      <c r="W1068" s="19"/>
      <c r="X1068" s="19"/>
      <c r="Y1068" s="20"/>
      <c r="Z1068" s="19"/>
      <c r="AA1068" s="18" t="str">
        <f aca="false">IF(OR(V1068="Aprobada"),R1068,IF(AND(OR(V1068="Aprobada con ajuste",V1068="Rechazada"),W1068&lt;&gt;""),W1068,""))</f>
        <v/>
      </c>
    </row>
    <row r="1069" customFormat="false" ht="53.7" hidden="false" customHeight="false" outlineLevel="0" collapsed="false">
      <c r="A1069" s="18" t="s">
        <v>4745</v>
      </c>
      <c r="B1069" s="18" t="s">
        <v>64</v>
      </c>
      <c r="C1069" s="18" t="s">
        <v>65</v>
      </c>
      <c r="D1069" s="18" t="s">
        <v>4740</v>
      </c>
      <c r="E1069" s="18" t="n">
        <v>0</v>
      </c>
      <c r="F1069" s="18" t="s">
        <v>1968</v>
      </c>
      <c r="G1069" s="18" t="s">
        <v>3982</v>
      </c>
      <c r="H1069" s="18" t="s">
        <v>109</v>
      </c>
      <c r="I1069" s="18"/>
      <c r="J1069" s="18"/>
      <c r="K1069" s="18"/>
      <c r="L1069" s="18" t="s">
        <v>109</v>
      </c>
      <c r="M1069" s="18" t="s">
        <v>109</v>
      </c>
      <c r="N1069" s="18"/>
      <c r="O1069" s="18"/>
      <c r="P1069" s="18" t="s">
        <v>4746</v>
      </c>
      <c r="Q1069" s="18" t="s">
        <v>134</v>
      </c>
      <c r="R1069" s="18" t="s">
        <v>4747</v>
      </c>
      <c r="S1069" s="18" t="s">
        <v>112</v>
      </c>
      <c r="T1069" s="18" t="s">
        <v>4748</v>
      </c>
      <c r="U1069" s="18" t="s">
        <v>4749</v>
      </c>
      <c r="V1069" s="19" t="s">
        <v>29</v>
      </c>
      <c r="W1069" s="19"/>
      <c r="X1069" s="19"/>
      <c r="Y1069" s="20"/>
      <c r="Z1069" s="19"/>
      <c r="AA1069" s="18" t="str">
        <f aca="false">IF(OR(V1069="Aprobada"),R1069,IF(AND(OR(V1069="Aprobada con ajuste",V1069="Rechazada"),W1069&lt;&gt;""),W1069,""))</f>
        <v/>
      </c>
    </row>
    <row r="1070" customFormat="false" ht="32.8" hidden="false" customHeight="false" outlineLevel="0" collapsed="false">
      <c r="A1070" s="18" t="s">
        <v>4750</v>
      </c>
      <c r="B1070" s="18" t="s">
        <v>64</v>
      </c>
      <c r="C1070" s="18" t="s">
        <v>65</v>
      </c>
      <c r="D1070" s="18" t="s">
        <v>4740</v>
      </c>
      <c r="E1070" s="18" t="n">
        <v>0</v>
      </c>
      <c r="F1070" s="18" t="s">
        <v>4751</v>
      </c>
      <c r="G1070" s="18" t="s">
        <v>3400</v>
      </c>
      <c r="H1070" s="18" t="s">
        <v>117</v>
      </c>
      <c r="I1070" s="18"/>
      <c r="J1070" s="18"/>
      <c r="K1070" s="18"/>
      <c r="L1070" s="18" t="s">
        <v>109</v>
      </c>
      <c r="M1070" s="18" t="s">
        <v>109</v>
      </c>
      <c r="N1070" s="18"/>
      <c r="O1070" s="18"/>
      <c r="P1070" s="18" t="s">
        <v>4752</v>
      </c>
      <c r="Q1070" s="18" t="s">
        <v>134</v>
      </c>
      <c r="R1070" s="18" t="s">
        <v>4753</v>
      </c>
      <c r="S1070" s="18" t="s">
        <v>112</v>
      </c>
      <c r="T1070" s="18" t="s">
        <v>4754</v>
      </c>
      <c r="U1070" s="18" t="s">
        <v>4755</v>
      </c>
      <c r="V1070" s="19" t="s">
        <v>29</v>
      </c>
      <c r="W1070" s="19"/>
      <c r="X1070" s="19"/>
      <c r="Y1070" s="20"/>
      <c r="Z1070" s="19"/>
      <c r="AA1070" s="18" t="str">
        <f aca="false">IF(OR(V1070="Aprobada"),R1070,IF(AND(OR(V1070="Aprobada con ajuste",V1070="Rechazada"),W1070&lt;&gt;""),W1070,""))</f>
        <v/>
      </c>
    </row>
    <row r="1071" customFormat="false" ht="22.35" hidden="false" customHeight="false" outlineLevel="0" collapsed="false">
      <c r="A1071" s="18" t="s">
        <v>4756</v>
      </c>
      <c r="B1071" s="18" t="s">
        <v>64</v>
      </c>
      <c r="C1071" s="18" t="s">
        <v>65</v>
      </c>
      <c r="D1071" s="18" t="s">
        <v>4740</v>
      </c>
      <c r="E1071" s="18" t="n">
        <v>0</v>
      </c>
      <c r="F1071" s="18" t="s">
        <v>4757</v>
      </c>
      <c r="G1071" s="18" t="s">
        <v>3400</v>
      </c>
      <c r="H1071" s="18" t="s">
        <v>117</v>
      </c>
      <c r="I1071" s="18"/>
      <c r="J1071" s="18"/>
      <c r="K1071" s="18"/>
      <c r="L1071" s="18" t="s">
        <v>109</v>
      </c>
      <c r="M1071" s="18" t="s">
        <v>109</v>
      </c>
      <c r="N1071" s="18"/>
      <c r="O1071" s="18"/>
      <c r="P1071" s="18" t="s">
        <v>4758</v>
      </c>
      <c r="Q1071" s="18" t="s">
        <v>134</v>
      </c>
      <c r="R1071" s="18" t="s">
        <v>4759</v>
      </c>
      <c r="S1071" s="18" t="s">
        <v>112</v>
      </c>
      <c r="T1071" s="18" t="s">
        <v>4760</v>
      </c>
      <c r="U1071" s="18" t="s">
        <v>4755</v>
      </c>
      <c r="V1071" s="19" t="s">
        <v>29</v>
      </c>
      <c r="W1071" s="19"/>
      <c r="X1071" s="19"/>
      <c r="Y1071" s="20"/>
      <c r="Z1071" s="19"/>
      <c r="AA1071" s="18" t="str">
        <f aca="false">IF(OR(V1071="Aprobada"),R1071,IF(AND(OR(V1071="Aprobada con ajuste",V1071="Rechazada"),W1071&lt;&gt;""),W1071,""))</f>
        <v/>
      </c>
    </row>
    <row r="1072" customFormat="false" ht="53.7" hidden="false" customHeight="false" outlineLevel="0" collapsed="false">
      <c r="A1072" s="18" t="s">
        <v>4761</v>
      </c>
      <c r="B1072" s="18" t="s">
        <v>64</v>
      </c>
      <c r="C1072" s="18" t="s">
        <v>65</v>
      </c>
      <c r="D1072" s="18" t="s">
        <v>4740</v>
      </c>
      <c r="E1072" s="18" t="n">
        <v>0</v>
      </c>
      <c r="F1072" s="18" t="s">
        <v>4762</v>
      </c>
      <c r="G1072" s="18" t="s">
        <v>3982</v>
      </c>
      <c r="H1072" s="18" t="s">
        <v>117</v>
      </c>
      <c r="I1072" s="18" t="s">
        <v>140</v>
      </c>
      <c r="J1072" s="18"/>
      <c r="K1072" s="18"/>
      <c r="L1072" s="18" t="s">
        <v>109</v>
      </c>
      <c r="M1072" s="18" t="s">
        <v>109</v>
      </c>
      <c r="N1072" s="18"/>
      <c r="O1072" s="18"/>
      <c r="P1072" s="18" t="s">
        <v>4763</v>
      </c>
      <c r="Q1072" s="18" t="s">
        <v>134</v>
      </c>
      <c r="R1072" s="18" t="s">
        <v>4764</v>
      </c>
      <c r="S1072" s="18" t="s">
        <v>112</v>
      </c>
      <c r="T1072" s="18" t="s">
        <v>4765</v>
      </c>
      <c r="U1072" s="18" t="s">
        <v>4766</v>
      </c>
      <c r="V1072" s="19" t="s">
        <v>29</v>
      </c>
      <c r="W1072" s="19"/>
      <c r="X1072" s="19"/>
      <c r="Y1072" s="20"/>
      <c r="Z1072" s="19"/>
      <c r="AA1072" s="18" t="str">
        <f aca="false">IF(OR(V1072="Aprobada"),R1072,IF(AND(OR(V1072="Aprobada con ajuste",V1072="Rechazada"),W1072&lt;&gt;""),W1072,""))</f>
        <v/>
      </c>
    </row>
    <row r="1073" customFormat="false" ht="53.7" hidden="false" customHeight="false" outlineLevel="0" collapsed="false">
      <c r="A1073" s="18" t="s">
        <v>4767</v>
      </c>
      <c r="B1073" s="18" t="s">
        <v>64</v>
      </c>
      <c r="C1073" s="18" t="s">
        <v>65</v>
      </c>
      <c r="D1073" s="18" t="s">
        <v>4740</v>
      </c>
      <c r="E1073" s="18" t="n">
        <v>0</v>
      </c>
      <c r="F1073" s="18" t="s">
        <v>4768</v>
      </c>
      <c r="G1073" s="18" t="s">
        <v>394</v>
      </c>
      <c r="H1073" s="18" t="s">
        <v>117</v>
      </c>
      <c r="I1073" s="18"/>
      <c r="J1073" s="18"/>
      <c r="K1073" s="18"/>
      <c r="L1073" s="18" t="s">
        <v>109</v>
      </c>
      <c r="M1073" s="18" t="s">
        <v>109</v>
      </c>
      <c r="N1073" s="18"/>
      <c r="O1073" s="18"/>
      <c r="P1073" s="18" t="s">
        <v>4769</v>
      </c>
      <c r="Q1073" s="18" t="s">
        <v>110</v>
      </c>
      <c r="R1073" s="18" t="s">
        <v>4770</v>
      </c>
      <c r="S1073" s="18" t="s">
        <v>112</v>
      </c>
      <c r="T1073" s="18" t="s">
        <v>113</v>
      </c>
      <c r="U1073" s="18"/>
      <c r="V1073" s="19" t="s">
        <v>29</v>
      </c>
      <c r="W1073" s="19"/>
      <c r="X1073" s="19"/>
      <c r="Y1073" s="20"/>
      <c r="Z1073" s="19"/>
      <c r="AA1073" s="18" t="str">
        <f aca="false">IF(OR(V1073="Aprobada"),R1073,IF(AND(OR(V1073="Aprobada con ajuste",V1073="Rechazada"),W1073&lt;&gt;""),W1073,""))</f>
        <v/>
      </c>
    </row>
    <row r="1074" customFormat="false" ht="53.7" hidden="false" customHeight="false" outlineLevel="0" collapsed="false">
      <c r="A1074" s="18" t="s">
        <v>4771</v>
      </c>
      <c r="B1074" s="18" t="s">
        <v>64</v>
      </c>
      <c r="C1074" s="18" t="s">
        <v>65</v>
      </c>
      <c r="D1074" s="18" t="s">
        <v>4740</v>
      </c>
      <c r="E1074" s="18" t="n">
        <v>0</v>
      </c>
      <c r="F1074" s="18" t="s">
        <v>115</v>
      </c>
      <c r="G1074" s="18" t="s">
        <v>116</v>
      </c>
      <c r="H1074" s="18" t="s">
        <v>117</v>
      </c>
      <c r="I1074" s="18"/>
      <c r="J1074" s="18"/>
      <c r="K1074" s="18"/>
      <c r="L1074" s="18" t="s">
        <v>109</v>
      </c>
      <c r="M1074" s="18" t="s">
        <v>109</v>
      </c>
      <c r="N1074" s="18"/>
      <c r="O1074" s="18"/>
      <c r="P1074" s="18" t="s">
        <v>4772</v>
      </c>
      <c r="Q1074" s="18" t="s">
        <v>110</v>
      </c>
      <c r="R1074" s="18" t="s">
        <v>118</v>
      </c>
      <c r="S1074" s="18" t="s">
        <v>112</v>
      </c>
      <c r="T1074" s="18" t="s">
        <v>113</v>
      </c>
      <c r="U1074" s="18"/>
      <c r="V1074" s="19" t="s">
        <v>29</v>
      </c>
      <c r="W1074" s="19"/>
      <c r="X1074" s="19"/>
      <c r="Y1074" s="20"/>
      <c r="Z1074" s="19"/>
      <c r="AA1074" s="18" t="str">
        <f aca="false">IF(OR(V1074="Aprobada"),R1074,IF(AND(OR(V1074="Aprobada con ajuste",V1074="Rechazada"),W1074&lt;&gt;""),W1074,""))</f>
        <v/>
      </c>
    </row>
    <row r="1075" customFormat="false" ht="22.35" hidden="false" customHeight="false" outlineLevel="0" collapsed="false">
      <c r="A1075" s="18" t="s">
        <v>4773</v>
      </c>
      <c r="B1075" s="18" t="s">
        <v>64</v>
      </c>
      <c r="C1075" s="18" t="s">
        <v>65</v>
      </c>
      <c r="D1075" s="18" t="s">
        <v>4740</v>
      </c>
      <c r="E1075" s="18" t="n">
        <v>0</v>
      </c>
      <c r="F1075" s="18" t="s">
        <v>3510</v>
      </c>
      <c r="G1075" s="18" t="s">
        <v>249</v>
      </c>
      <c r="H1075" s="18" t="s">
        <v>117</v>
      </c>
      <c r="I1075" s="18"/>
      <c r="J1075" s="18"/>
      <c r="K1075" s="18"/>
      <c r="L1075" s="18" t="s">
        <v>109</v>
      </c>
      <c r="M1075" s="18" t="s">
        <v>109</v>
      </c>
      <c r="N1075" s="18"/>
      <c r="O1075" s="18"/>
      <c r="P1075" s="18" t="s">
        <v>4774</v>
      </c>
      <c r="Q1075" s="18" t="s">
        <v>134</v>
      </c>
      <c r="R1075" s="18" t="s">
        <v>4775</v>
      </c>
      <c r="S1075" s="18" t="s">
        <v>112</v>
      </c>
      <c r="T1075" s="18" t="s">
        <v>4776</v>
      </c>
      <c r="U1075" s="18" t="s">
        <v>4465</v>
      </c>
      <c r="V1075" s="19" t="s">
        <v>29</v>
      </c>
      <c r="W1075" s="19"/>
      <c r="X1075" s="19"/>
      <c r="Y1075" s="20"/>
      <c r="Z1075" s="19"/>
      <c r="AA1075" s="18" t="str">
        <f aca="false">IF(OR(V1075="Aprobada"),R1075,IF(AND(OR(V1075="Aprobada con ajuste",V1075="Rechazada"),W1075&lt;&gt;""),W1075,""))</f>
        <v/>
      </c>
    </row>
    <row r="1076" customFormat="false" ht="32.8" hidden="false" customHeight="false" outlineLevel="0" collapsed="false">
      <c r="A1076" s="18" t="s">
        <v>4777</v>
      </c>
      <c r="B1076" s="18" t="s">
        <v>64</v>
      </c>
      <c r="C1076" s="18" t="s">
        <v>65</v>
      </c>
      <c r="D1076" s="18" t="s">
        <v>4778</v>
      </c>
      <c r="E1076" s="18" t="n">
        <v>4</v>
      </c>
      <c r="F1076" s="18" t="s">
        <v>4779</v>
      </c>
      <c r="G1076" s="18" t="s">
        <v>414</v>
      </c>
      <c r="H1076" s="18" t="s">
        <v>109</v>
      </c>
      <c r="I1076" s="18"/>
      <c r="J1076" s="18"/>
      <c r="K1076" s="18"/>
      <c r="L1076" s="18" t="s">
        <v>117</v>
      </c>
      <c r="M1076" s="18" t="s">
        <v>109</v>
      </c>
      <c r="N1076" s="18"/>
      <c r="O1076" s="18" t="s">
        <v>4780</v>
      </c>
      <c r="P1076" s="18" t="s">
        <v>4781</v>
      </c>
      <c r="Q1076" s="18" t="s">
        <v>134</v>
      </c>
      <c r="R1076" s="18" t="s">
        <v>4782</v>
      </c>
      <c r="S1076" s="18" t="s">
        <v>125</v>
      </c>
      <c r="T1076" s="18" t="s">
        <v>4783</v>
      </c>
      <c r="U1076" s="18"/>
      <c r="V1076" s="19" t="s">
        <v>29</v>
      </c>
      <c r="W1076" s="19"/>
      <c r="X1076" s="19"/>
      <c r="Y1076" s="20"/>
      <c r="Z1076" s="19"/>
      <c r="AA1076" s="18" t="str">
        <f aca="false">IF(OR(V1076="Aprobada"),R1076,IF(AND(OR(V1076="Aprobada con ajuste",V1076="Rechazada"),W1076&lt;&gt;""),W1076,""))</f>
        <v/>
      </c>
    </row>
    <row r="1077" customFormat="false" ht="32.8" hidden="false" customHeight="false" outlineLevel="0" collapsed="false">
      <c r="A1077" s="18" t="s">
        <v>4784</v>
      </c>
      <c r="B1077" s="18" t="s">
        <v>64</v>
      </c>
      <c r="C1077" s="18" t="s">
        <v>65</v>
      </c>
      <c r="D1077" s="18" t="s">
        <v>4778</v>
      </c>
      <c r="E1077" s="18" t="n">
        <v>4</v>
      </c>
      <c r="F1077" s="18" t="s">
        <v>4785</v>
      </c>
      <c r="G1077" s="18" t="s">
        <v>414</v>
      </c>
      <c r="H1077" s="18" t="s">
        <v>109</v>
      </c>
      <c r="I1077" s="18"/>
      <c r="J1077" s="18"/>
      <c r="K1077" s="18"/>
      <c r="L1077" s="18" t="s">
        <v>117</v>
      </c>
      <c r="M1077" s="18" t="s">
        <v>109</v>
      </c>
      <c r="N1077" s="18"/>
      <c r="O1077" s="18" t="s">
        <v>4780</v>
      </c>
      <c r="P1077" s="18" t="s">
        <v>4786</v>
      </c>
      <c r="Q1077" s="18" t="s">
        <v>134</v>
      </c>
      <c r="R1077" s="18" t="s">
        <v>4787</v>
      </c>
      <c r="S1077" s="18" t="s">
        <v>125</v>
      </c>
      <c r="T1077" s="18" t="s">
        <v>4788</v>
      </c>
      <c r="U1077" s="18"/>
      <c r="V1077" s="19" t="s">
        <v>29</v>
      </c>
      <c r="W1077" s="19"/>
      <c r="X1077" s="19"/>
      <c r="Y1077" s="20"/>
      <c r="Z1077" s="19"/>
      <c r="AA1077" s="18" t="str">
        <f aca="false">IF(OR(V1077="Aprobada"),R1077,IF(AND(OR(V1077="Aprobada con ajuste",V1077="Rechazada"),W1077&lt;&gt;""),W1077,""))</f>
        <v/>
      </c>
    </row>
    <row r="1078" customFormat="false" ht="43.25" hidden="false" customHeight="false" outlineLevel="0" collapsed="false">
      <c r="A1078" s="18" t="s">
        <v>4789</v>
      </c>
      <c r="B1078" s="18" t="s">
        <v>64</v>
      </c>
      <c r="C1078" s="18" t="s">
        <v>65</v>
      </c>
      <c r="D1078" s="18" t="s">
        <v>4778</v>
      </c>
      <c r="E1078" s="18" t="n">
        <v>4</v>
      </c>
      <c r="F1078" s="18" t="s">
        <v>4790</v>
      </c>
      <c r="G1078" s="18" t="s">
        <v>934</v>
      </c>
      <c r="H1078" s="18" t="s">
        <v>117</v>
      </c>
      <c r="I1078" s="18"/>
      <c r="J1078" s="18"/>
      <c r="K1078" s="18"/>
      <c r="L1078" s="18" t="s">
        <v>117</v>
      </c>
      <c r="M1078" s="18" t="s">
        <v>109</v>
      </c>
      <c r="N1078" s="18"/>
      <c r="O1078" s="18"/>
      <c r="P1078" s="18" t="s">
        <v>4791</v>
      </c>
      <c r="Q1078" s="18" t="s">
        <v>134</v>
      </c>
      <c r="R1078" s="18" t="s">
        <v>4792</v>
      </c>
      <c r="S1078" s="18" t="s">
        <v>112</v>
      </c>
      <c r="T1078" s="18" t="s">
        <v>129</v>
      </c>
      <c r="U1078" s="18" t="s">
        <v>4793</v>
      </c>
      <c r="V1078" s="19" t="s">
        <v>29</v>
      </c>
      <c r="W1078" s="19"/>
      <c r="X1078" s="19"/>
      <c r="Y1078" s="20"/>
      <c r="Z1078" s="19"/>
      <c r="AA1078" s="18" t="str">
        <f aca="false">IF(OR(V1078="Aprobada"),R1078,IF(AND(OR(V1078="Aprobada con ajuste",V1078="Rechazada"),W1078&lt;&gt;""),W1078,""))</f>
        <v/>
      </c>
    </row>
    <row r="1079" customFormat="false" ht="32.8" hidden="false" customHeight="false" outlineLevel="0" collapsed="false">
      <c r="A1079" s="18" t="s">
        <v>4794</v>
      </c>
      <c r="B1079" s="18" t="s">
        <v>64</v>
      </c>
      <c r="C1079" s="18" t="s">
        <v>65</v>
      </c>
      <c r="D1079" s="18" t="s">
        <v>4778</v>
      </c>
      <c r="E1079" s="18" t="n">
        <v>4</v>
      </c>
      <c r="F1079" s="18" t="s">
        <v>857</v>
      </c>
      <c r="G1079" s="18" t="s">
        <v>145</v>
      </c>
      <c r="H1079" s="18" t="s">
        <v>109</v>
      </c>
      <c r="I1079" s="18"/>
      <c r="J1079" s="18"/>
      <c r="K1079" s="18"/>
      <c r="L1079" s="18" t="s">
        <v>117</v>
      </c>
      <c r="M1079" s="18" t="s">
        <v>109</v>
      </c>
      <c r="N1079" s="18"/>
      <c r="O1079" s="18" t="s">
        <v>4795</v>
      </c>
      <c r="P1079" s="18" t="s">
        <v>4796</v>
      </c>
      <c r="Q1079" s="18" t="s">
        <v>110</v>
      </c>
      <c r="R1079" s="18" t="s">
        <v>859</v>
      </c>
      <c r="S1079" s="18" t="s">
        <v>112</v>
      </c>
      <c r="T1079" s="18" t="s">
        <v>113</v>
      </c>
      <c r="U1079" s="18"/>
      <c r="V1079" s="19" t="s">
        <v>29</v>
      </c>
      <c r="W1079" s="19"/>
      <c r="X1079" s="19"/>
      <c r="Y1079" s="20"/>
      <c r="Z1079" s="19"/>
      <c r="AA1079" s="18" t="str">
        <f aca="false">IF(OR(V1079="Aprobada"),R1079,IF(AND(OR(V1079="Aprobada con ajuste",V1079="Rechazada"),W1079&lt;&gt;""),W1079,""))</f>
        <v/>
      </c>
    </row>
    <row r="1080" customFormat="false" ht="32.8" hidden="false" customHeight="false" outlineLevel="0" collapsed="false">
      <c r="A1080" s="18" t="s">
        <v>4797</v>
      </c>
      <c r="B1080" s="18" t="s">
        <v>64</v>
      </c>
      <c r="C1080" s="18" t="s">
        <v>65</v>
      </c>
      <c r="D1080" s="18" t="s">
        <v>4798</v>
      </c>
      <c r="E1080" s="18" t="n">
        <v>0</v>
      </c>
      <c r="F1080" s="18" t="s">
        <v>4799</v>
      </c>
      <c r="G1080" s="18" t="s">
        <v>414</v>
      </c>
      <c r="H1080" s="18" t="s">
        <v>109</v>
      </c>
      <c r="I1080" s="18" t="s">
        <v>409</v>
      </c>
      <c r="J1080" s="18"/>
      <c r="K1080" s="18"/>
      <c r="L1080" s="18" t="s">
        <v>109</v>
      </c>
      <c r="M1080" s="18" t="s">
        <v>109</v>
      </c>
      <c r="N1080" s="18"/>
      <c r="O1080" s="18" t="s">
        <v>4800</v>
      </c>
      <c r="P1080" s="18" t="s">
        <v>4801</v>
      </c>
      <c r="Q1080" s="18" t="s">
        <v>134</v>
      </c>
      <c r="R1080" s="18" t="s">
        <v>4802</v>
      </c>
      <c r="S1080" s="18" t="s">
        <v>112</v>
      </c>
      <c r="T1080" s="18" t="s">
        <v>4803</v>
      </c>
      <c r="U1080" s="18" t="s">
        <v>4804</v>
      </c>
      <c r="V1080" s="19" t="s">
        <v>29</v>
      </c>
      <c r="W1080" s="19"/>
      <c r="X1080" s="19"/>
      <c r="Y1080" s="20"/>
      <c r="Z1080" s="19"/>
      <c r="AA1080" s="18" t="str">
        <f aca="false">IF(OR(V1080="Aprobada"),R1080,IF(AND(OR(V1080="Aprobada con ajuste",V1080="Rechazada"),W1080&lt;&gt;""),W1080,""))</f>
        <v/>
      </c>
    </row>
    <row r="1081" customFormat="false" ht="32.8" hidden="false" customHeight="false" outlineLevel="0" collapsed="false">
      <c r="A1081" s="18" t="s">
        <v>4805</v>
      </c>
      <c r="B1081" s="18" t="s">
        <v>64</v>
      </c>
      <c r="C1081" s="18" t="s">
        <v>65</v>
      </c>
      <c r="D1081" s="18" t="s">
        <v>4798</v>
      </c>
      <c r="E1081" s="18" t="n">
        <v>0</v>
      </c>
      <c r="F1081" s="18" t="s">
        <v>4806</v>
      </c>
      <c r="G1081" s="18" t="s">
        <v>486</v>
      </c>
      <c r="H1081" s="18" t="s">
        <v>109</v>
      </c>
      <c r="I1081" s="18"/>
      <c r="J1081" s="18"/>
      <c r="K1081" s="18"/>
      <c r="L1081" s="18" t="s">
        <v>109</v>
      </c>
      <c r="M1081" s="18" t="s">
        <v>109</v>
      </c>
      <c r="N1081" s="18"/>
      <c r="O1081" s="18"/>
      <c r="P1081" s="18" t="s">
        <v>4807</v>
      </c>
      <c r="Q1081" s="18" t="s">
        <v>134</v>
      </c>
      <c r="R1081" s="18" t="s">
        <v>4808</v>
      </c>
      <c r="S1081" s="18" t="s">
        <v>125</v>
      </c>
      <c r="T1081" s="18" t="s">
        <v>129</v>
      </c>
      <c r="U1081" s="18"/>
      <c r="V1081" s="19" t="s">
        <v>29</v>
      </c>
      <c r="W1081" s="19"/>
      <c r="X1081" s="19"/>
      <c r="Y1081" s="20"/>
      <c r="Z1081" s="19"/>
      <c r="AA1081" s="18" t="str">
        <f aca="false">IF(OR(V1081="Aprobada"),R1081,IF(AND(OR(V1081="Aprobada con ajuste",V1081="Rechazada"),W1081&lt;&gt;""),W1081,""))</f>
        <v/>
      </c>
    </row>
    <row r="1082" customFormat="false" ht="32.8" hidden="false" customHeight="false" outlineLevel="0" collapsed="false">
      <c r="A1082" s="18" t="s">
        <v>4809</v>
      </c>
      <c r="B1082" s="18" t="s">
        <v>64</v>
      </c>
      <c r="C1082" s="18" t="s">
        <v>65</v>
      </c>
      <c r="D1082" s="18" t="s">
        <v>4798</v>
      </c>
      <c r="E1082" s="18" t="n">
        <v>0</v>
      </c>
      <c r="F1082" s="18" t="s">
        <v>4810</v>
      </c>
      <c r="G1082" s="18" t="s">
        <v>4397</v>
      </c>
      <c r="H1082" s="18" t="s">
        <v>109</v>
      </c>
      <c r="I1082" s="18" t="s">
        <v>140</v>
      </c>
      <c r="J1082" s="18"/>
      <c r="K1082" s="18"/>
      <c r="L1082" s="18" t="s">
        <v>109</v>
      </c>
      <c r="M1082" s="18" t="s">
        <v>109</v>
      </c>
      <c r="N1082" s="18"/>
      <c r="O1082" s="18"/>
      <c r="P1082" s="18" t="s">
        <v>4811</v>
      </c>
      <c r="Q1082" s="18" t="s">
        <v>134</v>
      </c>
      <c r="R1082" s="18" t="s">
        <v>4812</v>
      </c>
      <c r="S1082" s="18" t="s">
        <v>112</v>
      </c>
      <c r="T1082" s="18" t="s">
        <v>4813</v>
      </c>
      <c r="U1082" s="18" t="s">
        <v>4814</v>
      </c>
      <c r="V1082" s="19" t="s">
        <v>29</v>
      </c>
      <c r="W1082" s="19"/>
      <c r="X1082" s="19"/>
      <c r="Y1082" s="20"/>
      <c r="Z1082" s="19"/>
      <c r="AA1082" s="18" t="str">
        <f aca="false">IF(OR(V1082="Aprobada"),R1082,IF(AND(OR(V1082="Aprobada con ajuste",V1082="Rechazada"),W1082&lt;&gt;""),W1082,""))</f>
        <v/>
      </c>
    </row>
    <row r="1083" customFormat="false" ht="22.35" hidden="false" customHeight="false" outlineLevel="0" collapsed="false">
      <c r="A1083" s="18" t="s">
        <v>4815</v>
      </c>
      <c r="B1083" s="18" t="s">
        <v>64</v>
      </c>
      <c r="C1083" s="18" t="s">
        <v>65</v>
      </c>
      <c r="D1083" s="18" t="s">
        <v>4798</v>
      </c>
      <c r="E1083" s="18" t="n">
        <v>0</v>
      </c>
      <c r="F1083" s="18" t="s">
        <v>4816</v>
      </c>
      <c r="G1083" s="18" t="s">
        <v>4397</v>
      </c>
      <c r="H1083" s="18" t="s">
        <v>109</v>
      </c>
      <c r="I1083" s="18" t="s">
        <v>140</v>
      </c>
      <c r="J1083" s="18"/>
      <c r="K1083" s="18"/>
      <c r="L1083" s="18" t="s">
        <v>109</v>
      </c>
      <c r="M1083" s="18" t="s">
        <v>109</v>
      </c>
      <c r="N1083" s="18"/>
      <c r="O1083" s="18"/>
      <c r="P1083" s="18" t="s">
        <v>4817</v>
      </c>
      <c r="Q1083" s="18" t="s">
        <v>134</v>
      </c>
      <c r="R1083" s="18" t="s">
        <v>4818</v>
      </c>
      <c r="S1083" s="18" t="s">
        <v>112</v>
      </c>
      <c r="T1083" s="18" t="s">
        <v>4819</v>
      </c>
      <c r="U1083" s="18" t="s">
        <v>4820</v>
      </c>
      <c r="V1083" s="19" t="s">
        <v>29</v>
      </c>
      <c r="W1083" s="19"/>
      <c r="X1083" s="19"/>
      <c r="Y1083" s="20"/>
      <c r="Z1083" s="19"/>
      <c r="AA1083" s="18" t="str">
        <f aca="false">IF(OR(V1083="Aprobada"),R1083,IF(AND(OR(V1083="Aprobada con ajuste",V1083="Rechazada"),W1083&lt;&gt;""),W1083,""))</f>
        <v/>
      </c>
    </row>
    <row r="1084" customFormat="false" ht="22.35" hidden="false" customHeight="false" outlineLevel="0" collapsed="false">
      <c r="A1084" s="18" t="s">
        <v>4821</v>
      </c>
      <c r="B1084" s="18" t="s">
        <v>64</v>
      </c>
      <c r="C1084" s="18" t="s">
        <v>65</v>
      </c>
      <c r="D1084" s="18" t="s">
        <v>4798</v>
      </c>
      <c r="E1084" s="18" t="n">
        <v>0</v>
      </c>
      <c r="F1084" s="18" t="s">
        <v>4822</v>
      </c>
      <c r="G1084" s="18" t="s">
        <v>4397</v>
      </c>
      <c r="H1084" s="18" t="s">
        <v>109</v>
      </c>
      <c r="I1084" s="18"/>
      <c r="J1084" s="18"/>
      <c r="K1084" s="18"/>
      <c r="L1084" s="18" t="s">
        <v>109</v>
      </c>
      <c r="M1084" s="18" t="s">
        <v>109</v>
      </c>
      <c r="N1084" s="18"/>
      <c r="O1084" s="18"/>
      <c r="P1084" s="18" t="s">
        <v>4823</v>
      </c>
      <c r="Q1084" s="18" t="s">
        <v>134</v>
      </c>
      <c r="R1084" s="18" t="s">
        <v>4824</v>
      </c>
      <c r="S1084" s="18" t="s">
        <v>112</v>
      </c>
      <c r="T1084" s="18" t="s">
        <v>4825</v>
      </c>
      <c r="U1084" s="18" t="s">
        <v>4826</v>
      </c>
      <c r="V1084" s="19" t="s">
        <v>29</v>
      </c>
      <c r="W1084" s="19"/>
      <c r="X1084" s="19"/>
      <c r="Y1084" s="20"/>
      <c r="Z1084" s="19"/>
      <c r="AA1084" s="18" t="str">
        <f aca="false">IF(OR(V1084="Aprobada"),R1084,IF(AND(OR(V1084="Aprobada con ajuste",V1084="Rechazada"),W1084&lt;&gt;""),W1084,""))</f>
        <v/>
      </c>
    </row>
    <row r="1085" customFormat="false" ht="43.25" hidden="false" customHeight="false" outlineLevel="0" collapsed="false">
      <c r="A1085" s="18" t="s">
        <v>4827</v>
      </c>
      <c r="B1085" s="18" t="s">
        <v>64</v>
      </c>
      <c r="C1085" s="18" t="s">
        <v>65</v>
      </c>
      <c r="D1085" s="18" t="s">
        <v>4798</v>
      </c>
      <c r="E1085" s="18" t="n">
        <v>0</v>
      </c>
      <c r="F1085" s="18" t="s">
        <v>4828</v>
      </c>
      <c r="G1085" s="18" t="s">
        <v>2640</v>
      </c>
      <c r="H1085" s="18" t="s">
        <v>109</v>
      </c>
      <c r="I1085" s="18" t="s">
        <v>140</v>
      </c>
      <c r="J1085" s="18"/>
      <c r="K1085" s="18"/>
      <c r="L1085" s="18" t="s">
        <v>109</v>
      </c>
      <c r="M1085" s="18" t="s">
        <v>109</v>
      </c>
      <c r="N1085" s="18"/>
      <c r="O1085" s="18"/>
      <c r="P1085" s="18" t="s">
        <v>4829</v>
      </c>
      <c r="Q1085" s="18" t="s">
        <v>134</v>
      </c>
      <c r="R1085" s="18" t="s">
        <v>4830</v>
      </c>
      <c r="S1085" s="18" t="s">
        <v>169</v>
      </c>
      <c r="T1085" s="18" t="s">
        <v>4831</v>
      </c>
      <c r="U1085" s="18" t="s">
        <v>4832</v>
      </c>
      <c r="V1085" s="19" t="s">
        <v>29</v>
      </c>
      <c r="W1085" s="19"/>
      <c r="X1085" s="19"/>
      <c r="Y1085" s="20"/>
      <c r="Z1085" s="19"/>
      <c r="AA1085" s="18" t="str">
        <f aca="false">IF(OR(V1085="Aprobada"),R1085,IF(AND(OR(V1085="Aprobada con ajuste",V1085="Rechazada"),W1085&lt;&gt;""),W1085,""))</f>
        <v/>
      </c>
    </row>
    <row r="1086" customFormat="false" ht="32.8" hidden="false" customHeight="false" outlineLevel="0" collapsed="false">
      <c r="A1086" s="18" t="s">
        <v>4833</v>
      </c>
      <c r="B1086" s="18" t="s">
        <v>64</v>
      </c>
      <c r="C1086" s="18" t="s">
        <v>65</v>
      </c>
      <c r="D1086" s="18" t="s">
        <v>4798</v>
      </c>
      <c r="E1086" s="18" t="n">
        <v>0</v>
      </c>
      <c r="F1086" s="18" t="s">
        <v>857</v>
      </c>
      <c r="G1086" s="18" t="s">
        <v>145</v>
      </c>
      <c r="H1086" s="18" t="s">
        <v>109</v>
      </c>
      <c r="I1086" s="18"/>
      <c r="J1086" s="18"/>
      <c r="K1086" s="18"/>
      <c r="L1086" s="18" t="s">
        <v>109</v>
      </c>
      <c r="M1086" s="18" t="s">
        <v>109</v>
      </c>
      <c r="N1086" s="18"/>
      <c r="O1086" s="18" t="s">
        <v>4834</v>
      </c>
      <c r="P1086" s="18" t="s">
        <v>4835</v>
      </c>
      <c r="Q1086" s="18" t="s">
        <v>110</v>
      </c>
      <c r="R1086" s="18" t="s">
        <v>859</v>
      </c>
      <c r="S1086" s="18" t="s">
        <v>112</v>
      </c>
      <c r="T1086" s="18" t="s">
        <v>113</v>
      </c>
      <c r="U1086" s="18"/>
      <c r="V1086" s="19" t="s">
        <v>29</v>
      </c>
      <c r="W1086" s="19"/>
      <c r="X1086" s="19"/>
      <c r="Y1086" s="20"/>
      <c r="Z1086" s="19"/>
      <c r="AA1086" s="18" t="str">
        <f aca="false">IF(OR(V1086="Aprobada"),R1086,IF(AND(OR(V1086="Aprobada con ajuste",V1086="Rechazada"),W1086&lt;&gt;""),W1086,""))</f>
        <v/>
      </c>
    </row>
    <row r="1087" customFormat="false" ht="43.25" hidden="false" customHeight="false" outlineLevel="0" collapsed="false">
      <c r="A1087" s="18" t="s">
        <v>4836</v>
      </c>
      <c r="B1087" s="18" t="s">
        <v>64</v>
      </c>
      <c r="C1087" s="18" t="s">
        <v>65</v>
      </c>
      <c r="D1087" s="18" t="s">
        <v>4837</v>
      </c>
      <c r="E1087" s="18" t="n">
        <v>3</v>
      </c>
      <c r="F1087" s="18" t="s">
        <v>4838</v>
      </c>
      <c r="G1087" s="18" t="s">
        <v>324</v>
      </c>
      <c r="H1087" s="18" t="s">
        <v>109</v>
      </c>
      <c r="I1087" s="18" t="s">
        <v>409</v>
      </c>
      <c r="J1087" s="18"/>
      <c r="K1087" s="18"/>
      <c r="L1087" s="18" t="s">
        <v>109</v>
      </c>
      <c r="M1087" s="18" t="s">
        <v>109</v>
      </c>
      <c r="N1087" s="18"/>
      <c r="O1087" s="18" t="s">
        <v>4839</v>
      </c>
      <c r="P1087" s="18" t="s">
        <v>4840</v>
      </c>
      <c r="Q1087" s="18" t="s">
        <v>134</v>
      </c>
      <c r="R1087" s="18" t="s">
        <v>4841</v>
      </c>
      <c r="S1087" s="18" t="s">
        <v>125</v>
      </c>
      <c r="T1087" s="18" t="s">
        <v>4162</v>
      </c>
      <c r="U1087" s="18"/>
      <c r="V1087" s="19" t="s">
        <v>29</v>
      </c>
      <c r="W1087" s="19"/>
      <c r="X1087" s="19"/>
      <c r="Y1087" s="20"/>
      <c r="Z1087" s="19"/>
      <c r="AA1087" s="18" t="str">
        <f aca="false">IF(OR(V1087="Aprobada"),R1087,IF(AND(OR(V1087="Aprobada con ajuste",V1087="Rechazada"),W1087&lt;&gt;""),W1087,""))</f>
        <v/>
      </c>
    </row>
    <row r="1088" customFormat="false" ht="32.8" hidden="false" customHeight="false" outlineLevel="0" collapsed="false">
      <c r="A1088" s="18" t="s">
        <v>4842</v>
      </c>
      <c r="B1088" s="18" t="s">
        <v>64</v>
      </c>
      <c r="C1088" s="18" t="s">
        <v>65</v>
      </c>
      <c r="D1088" s="18" t="s">
        <v>4837</v>
      </c>
      <c r="E1088" s="18" t="n">
        <v>3</v>
      </c>
      <c r="F1088" s="18" t="s">
        <v>4785</v>
      </c>
      <c r="G1088" s="18" t="s">
        <v>116</v>
      </c>
      <c r="H1088" s="18" t="s">
        <v>109</v>
      </c>
      <c r="I1088" s="18"/>
      <c r="J1088" s="18"/>
      <c r="K1088" s="18"/>
      <c r="L1088" s="18" t="s">
        <v>109</v>
      </c>
      <c r="M1088" s="18" t="s">
        <v>109</v>
      </c>
      <c r="N1088" s="18"/>
      <c r="O1088" s="18"/>
      <c r="P1088" s="18" t="s">
        <v>4843</v>
      </c>
      <c r="Q1088" s="18" t="s">
        <v>134</v>
      </c>
      <c r="R1088" s="18" t="s">
        <v>4844</v>
      </c>
      <c r="S1088" s="18" t="s">
        <v>125</v>
      </c>
      <c r="T1088" s="18" t="s">
        <v>129</v>
      </c>
      <c r="U1088" s="18"/>
      <c r="V1088" s="19" t="s">
        <v>29</v>
      </c>
      <c r="W1088" s="19"/>
      <c r="X1088" s="19"/>
      <c r="Y1088" s="20"/>
      <c r="Z1088" s="19"/>
      <c r="AA1088" s="18" t="str">
        <f aca="false">IF(OR(V1088="Aprobada"),R1088,IF(AND(OR(V1088="Aprobada con ajuste",V1088="Rechazada"),W1088&lt;&gt;""),W1088,""))</f>
        <v/>
      </c>
    </row>
    <row r="1089" customFormat="false" ht="43.25" hidden="false" customHeight="false" outlineLevel="0" collapsed="false">
      <c r="A1089" s="18" t="s">
        <v>4845</v>
      </c>
      <c r="B1089" s="18" t="s">
        <v>64</v>
      </c>
      <c r="C1089" s="18" t="s">
        <v>65</v>
      </c>
      <c r="D1089" s="18" t="s">
        <v>4837</v>
      </c>
      <c r="E1089" s="18" t="n">
        <v>3</v>
      </c>
      <c r="F1089" s="18" t="s">
        <v>4846</v>
      </c>
      <c r="G1089" s="18" t="s">
        <v>116</v>
      </c>
      <c r="H1089" s="18" t="s">
        <v>109</v>
      </c>
      <c r="I1089" s="18"/>
      <c r="J1089" s="18"/>
      <c r="K1089" s="18"/>
      <c r="L1089" s="18" t="s">
        <v>109</v>
      </c>
      <c r="M1089" s="18" t="s">
        <v>109</v>
      </c>
      <c r="N1089" s="18"/>
      <c r="O1089" s="18"/>
      <c r="P1089" s="18" t="s">
        <v>4847</v>
      </c>
      <c r="Q1089" s="18" t="s">
        <v>134</v>
      </c>
      <c r="R1089" s="18" t="s">
        <v>4848</v>
      </c>
      <c r="S1089" s="18" t="s">
        <v>125</v>
      </c>
      <c r="T1089" s="18" t="s">
        <v>129</v>
      </c>
      <c r="U1089" s="18"/>
      <c r="V1089" s="19" t="s">
        <v>29</v>
      </c>
      <c r="W1089" s="19"/>
      <c r="X1089" s="19"/>
      <c r="Y1089" s="20"/>
      <c r="Z1089" s="19"/>
      <c r="AA1089" s="18" t="str">
        <f aca="false">IF(OR(V1089="Aprobada"),R1089,IF(AND(OR(V1089="Aprobada con ajuste",V1089="Rechazada"),W1089&lt;&gt;""),W1089,""))</f>
        <v/>
      </c>
    </row>
    <row r="1090" customFormat="false" ht="32.8" hidden="false" customHeight="false" outlineLevel="0" collapsed="false">
      <c r="A1090" s="18" t="s">
        <v>4849</v>
      </c>
      <c r="B1090" s="18" t="s">
        <v>64</v>
      </c>
      <c r="C1090" s="18" t="s">
        <v>65</v>
      </c>
      <c r="D1090" s="18" t="s">
        <v>4837</v>
      </c>
      <c r="E1090" s="18" t="n">
        <v>3</v>
      </c>
      <c r="F1090" s="18" t="s">
        <v>417</v>
      </c>
      <c r="G1090" s="18" t="s">
        <v>735</v>
      </c>
      <c r="H1090" s="18" t="s">
        <v>109</v>
      </c>
      <c r="I1090" s="18"/>
      <c r="J1090" s="18"/>
      <c r="K1090" s="18"/>
      <c r="L1090" s="18" t="s">
        <v>109</v>
      </c>
      <c r="M1090" s="18" t="s">
        <v>109</v>
      </c>
      <c r="N1090" s="18"/>
      <c r="O1090" s="18" t="s">
        <v>4850</v>
      </c>
      <c r="P1090" s="18" t="s">
        <v>4851</v>
      </c>
      <c r="Q1090" s="18" t="s">
        <v>110</v>
      </c>
      <c r="R1090" s="18" t="s">
        <v>418</v>
      </c>
      <c r="S1090" s="18" t="s">
        <v>112</v>
      </c>
      <c r="T1090" s="18" t="s">
        <v>113</v>
      </c>
      <c r="U1090" s="18"/>
      <c r="V1090" s="19" t="s">
        <v>29</v>
      </c>
      <c r="W1090" s="19"/>
      <c r="X1090" s="19"/>
      <c r="Y1090" s="20"/>
      <c r="Z1090" s="19"/>
      <c r="AA1090" s="18" t="str">
        <f aca="false">IF(OR(V1090="Aprobada"),R1090,IF(AND(OR(V1090="Aprobada con ajuste",V1090="Rechazada"),W1090&lt;&gt;""),W1090,""))</f>
        <v/>
      </c>
    </row>
    <row r="1091" customFormat="false" ht="32.8" hidden="false" customHeight="false" outlineLevel="0" collapsed="false">
      <c r="A1091" s="18" t="s">
        <v>4852</v>
      </c>
      <c r="B1091" s="18" t="s">
        <v>64</v>
      </c>
      <c r="C1091" s="18" t="s">
        <v>65</v>
      </c>
      <c r="D1091" s="18" t="s">
        <v>4837</v>
      </c>
      <c r="E1091" s="18" t="n">
        <v>3</v>
      </c>
      <c r="F1091" s="18" t="s">
        <v>393</v>
      </c>
      <c r="G1091" s="18" t="s">
        <v>735</v>
      </c>
      <c r="H1091" s="18" t="s">
        <v>109</v>
      </c>
      <c r="I1091" s="18"/>
      <c r="J1091" s="18"/>
      <c r="K1091" s="18"/>
      <c r="L1091" s="18" t="s">
        <v>109</v>
      </c>
      <c r="M1091" s="18" t="s">
        <v>109</v>
      </c>
      <c r="N1091" s="18"/>
      <c r="O1091" s="18" t="s">
        <v>4850</v>
      </c>
      <c r="P1091" s="18" t="s">
        <v>4853</v>
      </c>
      <c r="Q1091" s="18" t="s">
        <v>110</v>
      </c>
      <c r="R1091" s="18" t="s">
        <v>396</v>
      </c>
      <c r="S1091" s="18" t="s">
        <v>112</v>
      </c>
      <c r="T1091" s="18" t="s">
        <v>113</v>
      </c>
      <c r="U1091" s="18"/>
      <c r="V1091" s="19" t="s">
        <v>29</v>
      </c>
      <c r="W1091" s="19"/>
      <c r="X1091" s="19"/>
      <c r="Y1091" s="20"/>
      <c r="Z1091" s="19"/>
      <c r="AA1091" s="18" t="str">
        <f aca="false">IF(OR(V1091="Aprobada"),R1091,IF(AND(OR(V1091="Aprobada con ajuste",V1091="Rechazada"),W1091&lt;&gt;""),W1091,""))</f>
        <v/>
      </c>
    </row>
    <row r="1092" customFormat="false" ht="32.8" hidden="false" customHeight="false" outlineLevel="0" collapsed="false">
      <c r="A1092" s="18" t="s">
        <v>4854</v>
      </c>
      <c r="B1092" s="18" t="s">
        <v>64</v>
      </c>
      <c r="C1092" s="18" t="s">
        <v>65</v>
      </c>
      <c r="D1092" s="18" t="s">
        <v>4837</v>
      </c>
      <c r="E1092" s="18" t="n">
        <v>3</v>
      </c>
      <c r="F1092" s="18" t="s">
        <v>4855</v>
      </c>
      <c r="G1092" s="18" t="s">
        <v>116</v>
      </c>
      <c r="H1092" s="18" t="s">
        <v>109</v>
      </c>
      <c r="I1092" s="18"/>
      <c r="J1092" s="18"/>
      <c r="K1092" s="18"/>
      <c r="L1092" s="18" t="s">
        <v>109</v>
      </c>
      <c r="M1092" s="18" t="s">
        <v>109</v>
      </c>
      <c r="N1092" s="18"/>
      <c r="O1092" s="18"/>
      <c r="P1092" s="18" t="s">
        <v>4856</v>
      </c>
      <c r="Q1092" s="18" t="s">
        <v>134</v>
      </c>
      <c r="R1092" s="18" t="s">
        <v>4857</v>
      </c>
      <c r="S1092" s="18" t="s">
        <v>125</v>
      </c>
      <c r="T1092" s="18" t="s">
        <v>129</v>
      </c>
      <c r="U1092" s="18"/>
      <c r="V1092" s="19" t="s">
        <v>29</v>
      </c>
      <c r="W1092" s="19"/>
      <c r="X1092" s="19"/>
      <c r="Y1092" s="20"/>
      <c r="Z1092" s="19"/>
      <c r="AA1092" s="18" t="str">
        <f aca="false">IF(OR(V1092="Aprobada"),R1092,IF(AND(OR(V1092="Aprobada con ajuste",V1092="Rechazada"),W1092&lt;&gt;""),W1092,""))</f>
        <v/>
      </c>
    </row>
    <row r="1093" customFormat="false" ht="32.8" hidden="false" customHeight="false" outlineLevel="0" collapsed="false">
      <c r="A1093" s="18" t="s">
        <v>4858</v>
      </c>
      <c r="B1093" s="18" t="s">
        <v>64</v>
      </c>
      <c r="C1093" s="18" t="s">
        <v>65</v>
      </c>
      <c r="D1093" s="18" t="s">
        <v>4837</v>
      </c>
      <c r="E1093" s="18" t="n">
        <v>3</v>
      </c>
      <c r="F1093" s="18" t="s">
        <v>3947</v>
      </c>
      <c r="G1093" s="18" t="s">
        <v>195</v>
      </c>
      <c r="H1093" s="18" t="s">
        <v>109</v>
      </c>
      <c r="I1093" s="18" t="s">
        <v>140</v>
      </c>
      <c r="J1093" s="18" t="s">
        <v>4859</v>
      </c>
      <c r="K1093" s="18"/>
      <c r="L1093" s="18" t="s">
        <v>117</v>
      </c>
      <c r="M1093" s="18" t="s">
        <v>109</v>
      </c>
      <c r="N1093" s="18"/>
      <c r="O1093" s="18"/>
      <c r="P1093" s="18" t="s">
        <v>4860</v>
      </c>
      <c r="Q1093" s="18" t="s">
        <v>134</v>
      </c>
      <c r="R1093" s="18" t="s">
        <v>4861</v>
      </c>
      <c r="S1093" s="18" t="s">
        <v>125</v>
      </c>
      <c r="T1093" s="18" t="s">
        <v>4121</v>
      </c>
      <c r="U1093" s="18"/>
      <c r="V1093" s="19" t="s">
        <v>29</v>
      </c>
      <c r="W1093" s="19"/>
      <c r="X1093" s="19"/>
      <c r="Y1093" s="20"/>
      <c r="Z1093" s="19"/>
      <c r="AA1093" s="18" t="str">
        <f aca="false">IF(OR(V1093="Aprobada"),R1093,IF(AND(OR(V1093="Aprobada con ajuste",V1093="Rechazada"),W1093&lt;&gt;""),W1093,""))</f>
        <v/>
      </c>
    </row>
    <row r="1094" customFormat="false" ht="64.15" hidden="false" customHeight="false" outlineLevel="0" collapsed="false">
      <c r="A1094" s="18" t="s">
        <v>4862</v>
      </c>
      <c r="B1094" s="18" t="s">
        <v>64</v>
      </c>
      <c r="C1094" s="18" t="s">
        <v>65</v>
      </c>
      <c r="D1094" s="18" t="s">
        <v>4837</v>
      </c>
      <c r="E1094" s="18" t="n">
        <v>3</v>
      </c>
      <c r="F1094" s="18" t="s">
        <v>4863</v>
      </c>
      <c r="G1094" s="18" t="s">
        <v>116</v>
      </c>
      <c r="H1094" s="18" t="s">
        <v>109</v>
      </c>
      <c r="I1094" s="18"/>
      <c r="J1094" s="18"/>
      <c r="K1094" s="18"/>
      <c r="L1094" s="18" t="s">
        <v>109</v>
      </c>
      <c r="M1094" s="18" t="s">
        <v>109</v>
      </c>
      <c r="N1094" s="18"/>
      <c r="O1094" s="18"/>
      <c r="P1094" s="18" t="s">
        <v>4864</v>
      </c>
      <c r="Q1094" s="18" t="s">
        <v>134</v>
      </c>
      <c r="R1094" s="18" t="s">
        <v>4865</v>
      </c>
      <c r="S1094" s="18" t="s">
        <v>125</v>
      </c>
      <c r="T1094" s="18" t="s">
        <v>129</v>
      </c>
      <c r="U1094" s="18"/>
      <c r="V1094" s="19" t="s">
        <v>29</v>
      </c>
      <c r="W1094" s="19"/>
      <c r="X1094" s="19"/>
      <c r="Y1094" s="20"/>
      <c r="Z1094" s="19"/>
      <c r="AA1094" s="18" t="str">
        <f aca="false">IF(OR(V1094="Aprobada"),R1094,IF(AND(OR(V1094="Aprobada con ajuste",V1094="Rechazada"),W1094&lt;&gt;""),W1094,""))</f>
        <v/>
      </c>
    </row>
    <row r="1095" customFormat="false" ht="32.8" hidden="false" customHeight="false" outlineLevel="0" collapsed="false">
      <c r="A1095" s="18" t="s">
        <v>4866</v>
      </c>
      <c r="B1095" s="18" t="s">
        <v>64</v>
      </c>
      <c r="C1095" s="18" t="s">
        <v>65</v>
      </c>
      <c r="D1095" s="18" t="s">
        <v>4837</v>
      </c>
      <c r="E1095" s="18" t="n">
        <v>3</v>
      </c>
      <c r="F1095" s="18" t="s">
        <v>4867</v>
      </c>
      <c r="G1095" s="18" t="s">
        <v>145</v>
      </c>
      <c r="H1095" s="18" t="s">
        <v>109</v>
      </c>
      <c r="I1095" s="18"/>
      <c r="J1095" s="18"/>
      <c r="K1095" s="18"/>
      <c r="L1095" s="18" t="s">
        <v>109</v>
      </c>
      <c r="M1095" s="18" t="s">
        <v>109</v>
      </c>
      <c r="N1095" s="18"/>
      <c r="O1095" s="18"/>
      <c r="P1095" s="18" t="s">
        <v>4868</v>
      </c>
      <c r="Q1095" s="18" t="s">
        <v>110</v>
      </c>
      <c r="R1095" s="18" t="s">
        <v>4869</v>
      </c>
      <c r="S1095" s="18" t="s">
        <v>112</v>
      </c>
      <c r="T1095" s="18" t="s">
        <v>113</v>
      </c>
      <c r="U1095" s="18"/>
      <c r="V1095" s="19" t="s">
        <v>29</v>
      </c>
      <c r="W1095" s="19"/>
      <c r="X1095" s="19"/>
      <c r="Y1095" s="20"/>
      <c r="Z1095" s="19"/>
      <c r="AA1095" s="18" t="str">
        <f aca="false">IF(OR(V1095="Aprobada"),R1095,IF(AND(OR(V1095="Aprobada con ajuste",V1095="Rechazada"),W1095&lt;&gt;""),W1095,""))</f>
        <v/>
      </c>
    </row>
    <row r="1096" customFormat="false" ht="43.25" hidden="false" customHeight="false" outlineLevel="0" collapsed="false">
      <c r="A1096" s="18" t="s">
        <v>4870</v>
      </c>
      <c r="B1096" s="18" t="s">
        <v>64</v>
      </c>
      <c r="C1096" s="18" t="s">
        <v>65</v>
      </c>
      <c r="D1096" s="18" t="s">
        <v>4837</v>
      </c>
      <c r="E1096" s="18" t="n">
        <v>3</v>
      </c>
      <c r="F1096" s="18" t="s">
        <v>4871</v>
      </c>
      <c r="G1096" s="18" t="s">
        <v>324</v>
      </c>
      <c r="H1096" s="18" t="s">
        <v>109</v>
      </c>
      <c r="I1096" s="18"/>
      <c r="J1096" s="18"/>
      <c r="K1096" s="18"/>
      <c r="L1096" s="18" t="s">
        <v>109</v>
      </c>
      <c r="M1096" s="18" t="s">
        <v>109</v>
      </c>
      <c r="N1096" s="18"/>
      <c r="O1096" s="18" t="s">
        <v>4872</v>
      </c>
      <c r="P1096" s="18" t="s">
        <v>4873</v>
      </c>
      <c r="Q1096" s="18" t="s">
        <v>134</v>
      </c>
      <c r="R1096" s="18" t="s">
        <v>4874</v>
      </c>
      <c r="S1096" s="18" t="s">
        <v>112</v>
      </c>
      <c r="T1096" s="18" t="s">
        <v>4875</v>
      </c>
      <c r="U1096" s="18" t="s">
        <v>4876</v>
      </c>
      <c r="V1096" s="19" t="s">
        <v>29</v>
      </c>
      <c r="W1096" s="19"/>
      <c r="X1096" s="19"/>
      <c r="Y1096" s="20"/>
      <c r="Z1096" s="19"/>
      <c r="AA1096" s="18" t="str">
        <f aca="false">IF(OR(V1096="Aprobada"),R1096,IF(AND(OR(V1096="Aprobada con ajuste",V1096="Rechazada"),W1096&lt;&gt;""),W1096,""))</f>
        <v/>
      </c>
    </row>
    <row r="1097" customFormat="false" ht="32.8" hidden="false" customHeight="false" outlineLevel="0" collapsed="false">
      <c r="A1097" s="18" t="s">
        <v>4877</v>
      </c>
      <c r="B1097" s="18" t="s">
        <v>64</v>
      </c>
      <c r="C1097" s="18" t="s">
        <v>65</v>
      </c>
      <c r="D1097" s="18" t="s">
        <v>4837</v>
      </c>
      <c r="E1097" s="18" t="n">
        <v>3</v>
      </c>
      <c r="F1097" s="18" t="s">
        <v>4878</v>
      </c>
      <c r="G1097" s="18" t="s">
        <v>145</v>
      </c>
      <c r="H1097" s="18" t="s">
        <v>109</v>
      </c>
      <c r="I1097" s="18"/>
      <c r="J1097" s="18"/>
      <c r="K1097" s="18"/>
      <c r="L1097" s="18" t="s">
        <v>109</v>
      </c>
      <c r="M1097" s="18" t="s">
        <v>109</v>
      </c>
      <c r="N1097" s="18"/>
      <c r="O1097" s="18"/>
      <c r="P1097" s="18" t="s">
        <v>4879</v>
      </c>
      <c r="Q1097" s="18" t="s">
        <v>110</v>
      </c>
      <c r="R1097" s="18" t="s">
        <v>4880</v>
      </c>
      <c r="S1097" s="18" t="s">
        <v>112</v>
      </c>
      <c r="T1097" s="18" t="s">
        <v>113</v>
      </c>
      <c r="U1097" s="18"/>
      <c r="V1097" s="19" t="s">
        <v>29</v>
      </c>
      <c r="W1097" s="19"/>
      <c r="X1097" s="19"/>
      <c r="Y1097" s="20"/>
      <c r="Z1097" s="19"/>
      <c r="AA1097" s="18" t="str">
        <f aca="false">IF(OR(V1097="Aprobada"),R1097,IF(AND(OR(V1097="Aprobada con ajuste",V1097="Rechazada"),W1097&lt;&gt;""),W1097,""))</f>
        <v/>
      </c>
    </row>
    <row r="1098" customFormat="false" ht="32.8" hidden="false" customHeight="false" outlineLevel="0" collapsed="false">
      <c r="A1098" s="18" t="s">
        <v>4881</v>
      </c>
      <c r="B1098" s="18" t="s">
        <v>64</v>
      </c>
      <c r="C1098" s="18" t="s">
        <v>65</v>
      </c>
      <c r="D1098" s="18" t="s">
        <v>4837</v>
      </c>
      <c r="E1098" s="18" t="n">
        <v>3</v>
      </c>
      <c r="F1098" s="18" t="s">
        <v>4882</v>
      </c>
      <c r="G1098" s="18" t="s">
        <v>249</v>
      </c>
      <c r="H1098" s="18" t="s">
        <v>109</v>
      </c>
      <c r="I1098" s="18"/>
      <c r="J1098" s="18"/>
      <c r="K1098" s="18"/>
      <c r="L1098" s="18" t="s">
        <v>109</v>
      </c>
      <c r="M1098" s="18" t="s">
        <v>109</v>
      </c>
      <c r="N1098" s="18"/>
      <c r="O1098" s="18"/>
      <c r="P1098" s="18" t="s">
        <v>4883</v>
      </c>
      <c r="Q1098" s="18" t="s">
        <v>134</v>
      </c>
      <c r="R1098" s="18" t="s">
        <v>4884</v>
      </c>
      <c r="S1098" s="18" t="s">
        <v>112</v>
      </c>
      <c r="T1098" s="18" t="s">
        <v>4710</v>
      </c>
      <c r="U1098" s="18" t="s">
        <v>4465</v>
      </c>
      <c r="V1098" s="19" t="s">
        <v>29</v>
      </c>
      <c r="W1098" s="19"/>
      <c r="X1098" s="19"/>
      <c r="Y1098" s="20"/>
      <c r="Z1098" s="19"/>
      <c r="AA1098" s="18" t="str">
        <f aca="false">IF(OR(V1098="Aprobada"),R1098,IF(AND(OR(V1098="Aprobada con ajuste",V1098="Rechazada"),W1098&lt;&gt;""),W1098,""))</f>
        <v/>
      </c>
    </row>
    <row r="1099" customFormat="false" ht="32.8" hidden="false" customHeight="false" outlineLevel="0" collapsed="false">
      <c r="A1099" s="18" t="s">
        <v>4885</v>
      </c>
      <c r="B1099" s="18" t="s">
        <v>64</v>
      </c>
      <c r="C1099" s="18" t="s">
        <v>65</v>
      </c>
      <c r="D1099" s="18" t="s">
        <v>4837</v>
      </c>
      <c r="E1099" s="18" t="n">
        <v>3</v>
      </c>
      <c r="F1099" s="18" t="s">
        <v>4886</v>
      </c>
      <c r="G1099" s="18" t="s">
        <v>4397</v>
      </c>
      <c r="H1099" s="18" t="s">
        <v>109</v>
      </c>
      <c r="I1099" s="18"/>
      <c r="J1099" s="18"/>
      <c r="K1099" s="18"/>
      <c r="L1099" s="18" t="s">
        <v>109</v>
      </c>
      <c r="M1099" s="18" t="s">
        <v>109</v>
      </c>
      <c r="N1099" s="18"/>
      <c r="O1099" s="18"/>
      <c r="P1099" s="18" t="s">
        <v>4887</v>
      </c>
      <c r="Q1099" s="18" t="s">
        <v>134</v>
      </c>
      <c r="R1099" s="18" t="s">
        <v>4888</v>
      </c>
      <c r="S1099" s="18" t="s">
        <v>112</v>
      </c>
      <c r="T1099" s="18" t="s">
        <v>4889</v>
      </c>
      <c r="U1099" s="18" t="s">
        <v>4890</v>
      </c>
      <c r="V1099" s="19" t="s">
        <v>29</v>
      </c>
      <c r="W1099" s="19"/>
      <c r="X1099" s="19"/>
      <c r="Y1099" s="20"/>
      <c r="Z1099" s="19"/>
      <c r="AA1099" s="18" t="str">
        <f aca="false">IF(OR(V1099="Aprobada"),R1099,IF(AND(OR(V1099="Aprobada con ajuste",V1099="Rechazada"),W1099&lt;&gt;""),W1099,""))</f>
        <v/>
      </c>
    </row>
    <row r="1100" customFormat="false" ht="32.8" hidden="false" customHeight="false" outlineLevel="0" collapsed="false">
      <c r="A1100" s="18" t="s">
        <v>4891</v>
      </c>
      <c r="B1100" s="18" t="s">
        <v>64</v>
      </c>
      <c r="C1100" s="18" t="s">
        <v>65</v>
      </c>
      <c r="D1100" s="18" t="s">
        <v>4837</v>
      </c>
      <c r="E1100" s="18" t="n">
        <v>3</v>
      </c>
      <c r="F1100" s="18" t="s">
        <v>4892</v>
      </c>
      <c r="G1100" s="18" t="s">
        <v>4397</v>
      </c>
      <c r="H1100" s="18" t="s">
        <v>109</v>
      </c>
      <c r="I1100" s="18"/>
      <c r="J1100" s="18"/>
      <c r="K1100" s="18"/>
      <c r="L1100" s="18" t="s">
        <v>109</v>
      </c>
      <c r="M1100" s="18" t="s">
        <v>109</v>
      </c>
      <c r="N1100" s="18"/>
      <c r="O1100" s="18"/>
      <c r="P1100" s="18" t="s">
        <v>4893</v>
      </c>
      <c r="Q1100" s="18" t="s">
        <v>134</v>
      </c>
      <c r="R1100" s="18" t="s">
        <v>4894</v>
      </c>
      <c r="S1100" s="18" t="s">
        <v>112</v>
      </c>
      <c r="T1100" s="18" t="s">
        <v>4895</v>
      </c>
      <c r="U1100" s="18" t="s">
        <v>4896</v>
      </c>
      <c r="V1100" s="19" t="s">
        <v>29</v>
      </c>
      <c r="W1100" s="19"/>
      <c r="X1100" s="19"/>
      <c r="Y1100" s="20"/>
      <c r="Z1100" s="19"/>
      <c r="AA1100" s="18" t="str">
        <f aca="false">IF(OR(V1100="Aprobada"),R1100,IF(AND(OR(V1100="Aprobada con ajuste",V1100="Rechazada"),W1100&lt;&gt;""),W1100,""))</f>
        <v/>
      </c>
    </row>
    <row r="1101" customFormat="false" ht="22.35" hidden="false" customHeight="false" outlineLevel="0" collapsed="false">
      <c r="A1101" s="18" t="s">
        <v>4897</v>
      </c>
      <c r="B1101" s="18" t="s">
        <v>64</v>
      </c>
      <c r="C1101" s="18" t="s">
        <v>65</v>
      </c>
      <c r="D1101" s="18" t="s">
        <v>4837</v>
      </c>
      <c r="E1101" s="18" t="n">
        <v>3</v>
      </c>
      <c r="F1101" s="18" t="s">
        <v>3567</v>
      </c>
      <c r="G1101" s="18" t="s">
        <v>145</v>
      </c>
      <c r="H1101" s="18" t="s">
        <v>109</v>
      </c>
      <c r="I1101" s="18"/>
      <c r="J1101" s="18"/>
      <c r="K1101" s="18"/>
      <c r="L1101" s="18" t="s">
        <v>109</v>
      </c>
      <c r="M1101" s="18" t="s">
        <v>109</v>
      </c>
      <c r="N1101" s="18"/>
      <c r="O1101" s="18"/>
      <c r="P1101" s="18" t="s">
        <v>4898</v>
      </c>
      <c r="Q1101" s="18" t="s">
        <v>110</v>
      </c>
      <c r="R1101" s="18" t="s">
        <v>4899</v>
      </c>
      <c r="S1101" s="18" t="s">
        <v>112</v>
      </c>
      <c r="T1101" s="18" t="s">
        <v>113</v>
      </c>
      <c r="U1101" s="18"/>
      <c r="V1101" s="19" t="s">
        <v>29</v>
      </c>
      <c r="W1101" s="19"/>
      <c r="X1101" s="19"/>
      <c r="Y1101" s="20"/>
      <c r="Z1101" s="19"/>
      <c r="AA1101" s="18" t="str">
        <f aca="false">IF(OR(V1101="Aprobada"),R1101,IF(AND(OR(V1101="Aprobada con ajuste",V1101="Rechazada"),W1101&lt;&gt;""),W1101,""))</f>
        <v/>
      </c>
    </row>
    <row r="1102" customFormat="false" ht="53.7" hidden="false" customHeight="false" outlineLevel="0" collapsed="false">
      <c r="A1102" s="18" t="s">
        <v>4900</v>
      </c>
      <c r="B1102" s="18" t="s">
        <v>64</v>
      </c>
      <c r="C1102" s="18" t="s">
        <v>65</v>
      </c>
      <c r="D1102" s="18" t="s">
        <v>4837</v>
      </c>
      <c r="E1102" s="18" t="n">
        <v>3</v>
      </c>
      <c r="F1102" s="18" t="s">
        <v>4901</v>
      </c>
      <c r="G1102" s="18" t="s">
        <v>324</v>
      </c>
      <c r="H1102" s="18" t="s">
        <v>117</v>
      </c>
      <c r="I1102" s="18"/>
      <c r="J1102" s="18"/>
      <c r="K1102" s="18"/>
      <c r="L1102" s="18" t="s">
        <v>109</v>
      </c>
      <c r="M1102" s="18" t="s">
        <v>109</v>
      </c>
      <c r="N1102" s="18"/>
      <c r="O1102" s="18"/>
      <c r="P1102" s="18" t="s">
        <v>4902</v>
      </c>
      <c r="Q1102" s="18" t="s">
        <v>134</v>
      </c>
      <c r="R1102" s="18" t="s">
        <v>4903</v>
      </c>
      <c r="S1102" s="18" t="s">
        <v>169</v>
      </c>
      <c r="T1102" s="18" t="s">
        <v>4904</v>
      </c>
      <c r="U1102" s="18" t="s">
        <v>4905</v>
      </c>
      <c r="V1102" s="19" t="s">
        <v>29</v>
      </c>
      <c r="W1102" s="19"/>
      <c r="X1102" s="19"/>
      <c r="Y1102" s="20"/>
      <c r="Z1102" s="19"/>
      <c r="AA1102" s="18" t="str">
        <f aca="false">IF(OR(V1102="Aprobada"),R1102,IF(AND(OR(V1102="Aprobada con ajuste",V1102="Rechazada"),W1102&lt;&gt;""),W1102,""))</f>
        <v/>
      </c>
    </row>
    <row r="1103" customFormat="false" ht="32.8" hidden="false" customHeight="false" outlineLevel="0" collapsed="false">
      <c r="A1103" s="18" t="s">
        <v>4906</v>
      </c>
      <c r="B1103" s="18" t="s">
        <v>64</v>
      </c>
      <c r="C1103" s="18" t="s">
        <v>65</v>
      </c>
      <c r="D1103" s="18" t="s">
        <v>4837</v>
      </c>
      <c r="E1103" s="18" t="n">
        <v>3</v>
      </c>
      <c r="F1103" s="18" t="s">
        <v>4907</v>
      </c>
      <c r="G1103" s="18" t="s">
        <v>145</v>
      </c>
      <c r="H1103" s="18" t="s">
        <v>109</v>
      </c>
      <c r="I1103" s="18"/>
      <c r="J1103" s="18"/>
      <c r="K1103" s="18"/>
      <c r="L1103" s="18" t="s">
        <v>109</v>
      </c>
      <c r="M1103" s="18" t="s">
        <v>109</v>
      </c>
      <c r="N1103" s="18"/>
      <c r="O1103" s="18"/>
      <c r="P1103" s="18" t="s">
        <v>4908</v>
      </c>
      <c r="Q1103" s="18" t="s">
        <v>110</v>
      </c>
      <c r="R1103" s="18" t="s">
        <v>4909</v>
      </c>
      <c r="S1103" s="18" t="s">
        <v>112</v>
      </c>
      <c r="T1103" s="18" t="s">
        <v>113</v>
      </c>
      <c r="U1103" s="18"/>
      <c r="V1103" s="19" t="s">
        <v>29</v>
      </c>
      <c r="W1103" s="19"/>
      <c r="X1103" s="19"/>
      <c r="Y1103" s="20"/>
      <c r="Z1103" s="19"/>
      <c r="AA1103" s="18" t="str">
        <f aca="false">IF(OR(V1103="Aprobada"),R1103,IF(AND(OR(V1103="Aprobada con ajuste",V1103="Rechazada"),W1103&lt;&gt;""),W1103,""))</f>
        <v/>
      </c>
    </row>
    <row r="1104" customFormat="false" ht="32.8" hidden="false" customHeight="false" outlineLevel="0" collapsed="false">
      <c r="A1104" s="18" t="s">
        <v>4910</v>
      </c>
      <c r="B1104" s="18" t="s">
        <v>64</v>
      </c>
      <c r="C1104" s="18" t="s">
        <v>65</v>
      </c>
      <c r="D1104" s="18" t="s">
        <v>4837</v>
      </c>
      <c r="E1104" s="18" t="n">
        <v>3</v>
      </c>
      <c r="F1104" s="18" t="s">
        <v>4911</v>
      </c>
      <c r="G1104" s="18" t="s">
        <v>989</v>
      </c>
      <c r="H1104" s="18" t="s">
        <v>117</v>
      </c>
      <c r="I1104" s="18"/>
      <c r="J1104" s="18"/>
      <c r="K1104" s="18"/>
      <c r="L1104" s="18" t="s">
        <v>109</v>
      </c>
      <c r="M1104" s="18" t="s">
        <v>109</v>
      </c>
      <c r="N1104" s="18"/>
      <c r="O1104" s="18" t="s">
        <v>4912</v>
      </c>
      <c r="P1104" s="18" t="s">
        <v>4913</v>
      </c>
      <c r="Q1104" s="18" t="s">
        <v>134</v>
      </c>
      <c r="R1104" s="18" t="s">
        <v>4914</v>
      </c>
      <c r="S1104" s="18" t="s">
        <v>112</v>
      </c>
      <c r="T1104" s="18" t="s">
        <v>4915</v>
      </c>
      <c r="U1104" s="18" t="s">
        <v>4916</v>
      </c>
      <c r="V1104" s="19" t="s">
        <v>29</v>
      </c>
      <c r="W1104" s="19"/>
      <c r="X1104" s="19"/>
      <c r="Y1104" s="20"/>
      <c r="Z1104" s="19"/>
      <c r="AA1104" s="18" t="str">
        <f aca="false">IF(OR(V1104="Aprobada"),R1104,IF(AND(OR(V1104="Aprobada con ajuste",V1104="Rechazada"),W1104&lt;&gt;""),W1104,""))</f>
        <v/>
      </c>
    </row>
    <row r="1105" customFormat="false" ht="43.25" hidden="false" customHeight="false" outlineLevel="0" collapsed="false">
      <c r="A1105" s="18" t="s">
        <v>4917</v>
      </c>
      <c r="B1105" s="18" t="s">
        <v>64</v>
      </c>
      <c r="C1105" s="18" t="s">
        <v>65</v>
      </c>
      <c r="D1105" s="18" t="s">
        <v>4837</v>
      </c>
      <c r="E1105" s="18" t="n">
        <v>3</v>
      </c>
      <c r="F1105" s="18" t="s">
        <v>4918</v>
      </c>
      <c r="G1105" s="18" t="s">
        <v>145</v>
      </c>
      <c r="H1105" s="18" t="s">
        <v>109</v>
      </c>
      <c r="I1105" s="18"/>
      <c r="J1105" s="18"/>
      <c r="K1105" s="18"/>
      <c r="L1105" s="18" t="s">
        <v>109</v>
      </c>
      <c r="M1105" s="18" t="s">
        <v>109</v>
      </c>
      <c r="N1105" s="18"/>
      <c r="O1105" s="18" t="s">
        <v>4919</v>
      </c>
      <c r="P1105" s="18" t="s">
        <v>4920</v>
      </c>
      <c r="Q1105" s="18" t="s">
        <v>123</v>
      </c>
      <c r="R1105" s="18" t="s">
        <v>4921</v>
      </c>
      <c r="S1105" s="18" t="s">
        <v>112</v>
      </c>
      <c r="T1105" s="18" t="s">
        <v>4922</v>
      </c>
      <c r="U1105" s="18" t="s">
        <v>4923</v>
      </c>
      <c r="V1105" s="19" t="s">
        <v>29</v>
      </c>
      <c r="W1105" s="19"/>
      <c r="X1105" s="19"/>
      <c r="Y1105" s="20"/>
      <c r="Z1105" s="19"/>
      <c r="AA1105" s="18" t="str">
        <f aca="false">IF(OR(V1105="Aprobada"),R1105,IF(AND(OR(V1105="Aprobada con ajuste",V1105="Rechazada"),W1105&lt;&gt;""),W1105,""))</f>
        <v/>
      </c>
    </row>
    <row r="1106" customFormat="false" ht="32.8" hidden="false" customHeight="false" outlineLevel="0" collapsed="false">
      <c r="A1106" s="18" t="s">
        <v>4924</v>
      </c>
      <c r="B1106" s="18" t="s">
        <v>64</v>
      </c>
      <c r="C1106" s="18" t="s">
        <v>65</v>
      </c>
      <c r="D1106" s="18" t="s">
        <v>4837</v>
      </c>
      <c r="E1106" s="18" t="n">
        <v>3</v>
      </c>
      <c r="F1106" s="18" t="s">
        <v>4925</v>
      </c>
      <c r="G1106" s="18" t="s">
        <v>184</v>
      </c>
      <c r="H1106" s="18" t="s">
        <v>117</v>
      </c>
      <c r="I1106" s="18"/>
      <c r="J1106" s="18"/>
      <c r="K1106" s="18"/>
      <c r="L1106" s="18" t="s">
        <v>109</v>
      </c>
      <c r="M1106" s="18" t="s">
        <v>109</v>
      </c>
      <c r="N1106" s="18"/>
      <c r="O1106" s="18"/>
      <c r="P1106" s="18" t="s">
        <v>4926</v>
      </c>
      <c r="Q1106" s="18" t="s">
        <v>110</v>
      </c>
      <c r="R1106" s="18" t="s">
        <v>4927</v>
      </c>
      <c r="S1106" s="18" t="s">
        <v>112</v>
      </c>
      <c r="T1106" s="18" t="s">
        <v>113</v>
      </c>
      <c r="U1106" s="18"/>
      <c r="V1106" s="19" t="s">
        <v>29</v>
      </c>
      <c r="W1106" s="19"/>
      <c r="X1106" s="19"/>
      <c r="Y1106" s="20"/>
      <c r="Z1106" s="19"/>
      <c r="AA1106" s="18" t="str">
        <f aca="false">IF(OR(V1106="Aprobada"),R1106,IF(AND(OR(V1106="Aprobada con ajuste",V1106="Rechazada"),W1106&lt;&gt;""),W1106,""))</f>
        <v/>
      </c>
    </row>
    <row r="1107" customFormat="false" ht="32.8" hidden="false" customHeight="false" outlineLevel="0" collapsed="false">
      <c r="A1107" s="18" t="s">
        <v>4928</v>
      </c>
      <c r="B1107" s="18" t="s">
        <v>64</v>
      </c>
      <c r="C1107" s="18" t="s">
        <v>65</v>
      </c>
      <c r="D1107" s="18" t="s">
        <v>4837</v>
      </c>
      <c r="E1107" s="18" t="n">
        <v>3</v>
      </c>
      <c r="F1107" s="18" t="s">
        <v>4929</v>
      </c>
      <c r="G1107" s="18" t="s">
        <v>116</v>
      </c>
      <c r="H1107" s="18" t="s">
        <v>117</v>
      </c>
      <c r="I1107" s="18"/>
      <c r="J1107" s="18"/>
      <c r="K1107" s="18"/>
      <c r="L1107" s="18" t="s">
        <v>109</v>
      </c>
      <c r="M1107" s="18" t="s">
        <v>109</v>
      </c>
      <c r="N1107" s="18"/>
      <c r="O1107" s="18"/>
      <c r="P1107" s="18" t="s">
        <v>4930</v>
      </c>
      <c r="Q1107" s="18" t="s">
        <v>134</v>
      </c>
      <c r="R1107" s="18" t="s">
        <v>4931</v>
      </c>
      <c r="S1107" s="18" t="s">
        <v>125</v>
      </c>
      <c r="T1107" s="18" t="s">
        <v>4932</v>
      </c>
      <c r="U1107" s="18"/>
      <c r="V1107" s="19" t="s">
        <v>29</v>
      </c>
      <c r="W1107" s="19"/>
      <c r="X1107" s="19"/>
      <c r="Y1107" s="20"/>
      <c r="Z1107" s="19"/>
      <c r="AA1107" s="18" t="str">
        <f aca="false">IF(OR(V1107="Aprobada"),R1107,IF(AND(OR(V1107="Aprobada con ajuste",V1107="Rechazada"),W1107&lt;&gt;""),W1107,""))</f>
        <v/>
      </c>
    </row>
    <row r="1108" customFormat="false" ht="64.15" hidden="false" customHeight="false" outlineLevel="0" collapsed="false">
      <c r="A1108" s="18" t="s">
        <v>4933</v>
      </c>
      <c r="B1108" s="18" t="s">
        <v>64</v>
      </c>
      <c r="C1108" s="18" t="s">
        <v>65</v>
      </c>
      <c r="D1108" s="18" t="s">
        <v>4837</v>
      </c>
      <c r="E1108" s="18" t="n">
        <v>3</v>
      </c>
      <c r="F1108" s="18" t="s">
        <v>4934</v>
      </c>
      <c r="G1108" s="18" t="s">
        <v>324</v>
      </c>
      <c r="H1108" s="18" t="s">
        <v>117</v>
      </c>
      <c r="I1108" s="18"/>
      <c r="J1108" s="18"/>
      <c r="K1108" s="18"/>
      <c r="L1108" s="18" t="s">
        <v>109</v>
      </c>
      <c r="M1108" s="18" t="s">
        <v>109</v>
      </c>
      <c r="N1108" s="18"/>
      <c r="O1108" s="18" t="s">
        <v>4935</v>
      </c>
      <c r="P1108" s="18" t="s">
        <v>4936</v>
      </c>
      <c r="Q1108" s="18" t="s">
        <v>134</v>
      </c>
      <c r="R1108" s="18" t="s">
        <v>4937</v>
      </c>
      <c r="S1108" s="18" t="s">
        <v>125</v>
      </c>
      <c r="T1108" s="18" t="s">
        <v>4938</v>
      </c>
      <c r="U1108" s="18"/>
      <c r="V1108" s="19" t="s">
        <v>29</v>
      </c>
      <c r="W1108" s="19"/>
      <c r="X1108" s="19"/>
      <c r="Y1108" s="20"/>
      <c r="Z1108" s="19"/>
      <c r="AA1108" s="18" t="str">
        <f aca="false">IF(OR(V1108="Aprobada"),R1108,IF(AND(OR(V1108="Aprobada con ajuste",V1108="Rechazada"),W1108&lt;&gt;""),W1108,""))</f>
        <v/>
      </c>
    </row>
    <row r="1109" customFormat="false" ht="64.15" hidden="false" customHeight="false" outlineLevel="0" collapsed="false">
      <c r="A1109" s="18" t="s">
        <v>4939</v>
      </c>
      <c r="B1109" s="18" t="s">
        <v>64</v>
      </c>
      <c r="C1109" s="18" t="s">
        <v>65</v>
      </c>
      <c r="D1109" s="18" t="s">
        <v>4837</v>
      </c>
      <c r="E1109" s="18" t="n">
        <v>3</v>
      </c>
      <c r="F1109" s="18" t="s">
        <v>4940</v>
      </c>
      <c r="G1109" s="18" t="s">
        <v>394</v>
      </c>
      <c r="H1109" s="18" t="s">
        <v>117</v>
      </c>
      <c r="I1109" s="18"/>
      <c r="J1109" s="18"/>
      <c r="K1109" s="18"/>
      <c r="L1109" s="18" t="s">
        <v>109</v>
      </c>
      <c r="M1109" s="18" t="s">
        <v>109</v>
      </c>
      <c r="N1109" s="18"/>
      <c r="O1109" s="18"/>
      <c r="P1109" s="18" t="s">
        <v>4941</v>
      </c>
      <c r="Q1109" s="18" t="s">
        <v>110</v>
      </c>
      <c r="R1109" s="18" t="s">
        <v>4942</v>
      </c>
      <c r="S1109" s="18" t="s">
        <v>112</v>
      </c>
      <c r="T1109" s="18" t="s">
        <v>113</v>
      </c>
      <c r="U1109" s="18"/>
      <c r="V1109" s="19" t="s">
        <v>29</v>
      </c>
      <c r="W1109" s="19"/>
      <c r="X1109" s="19"/>
      <c r="Y1109" s="20"/>
      <c r="Z1109" s="19"/>
      <c r="AA1109" s="18" t="str">
        <f aca="false">IF(OR(V1109="Aprobada"),R1109,IF(AND(OR(V1109="Aprobada con ajuste",V1109="Rechazada"),W1109&lt;&gt;""),W1109,""))</f>
        <v/>
      </c>
    </row>
    <row r="1110" customFormat="false" ht="85.05" hidden="false" customHeight="false" outlineLevel="0" collapsed="false">
      <c r="A1110" s="18" t="s">
        <v>4943</v>
      </c>
      <c r="B1110" s="18" t="s">
        <v>64</v>
      </c>
      <c r="C1110" s="18" t="s">
        <v>65</v>
      </c>
      <c r="D1110" s="18" t="s">
        <v>4837</v>
      </c>
      <c r="E1110" s="18" t="n">
        <v>3</v>
      </c>
      <c r="F1110" s="18" t="s">
        <v>4944</v>
      </c>
      <c r="G1110" s="18" t="s">
        <v>3982</v>
      </c>
      <c r="H1110" s="18" t="s">
        <v>117</v>
      </c>
      <c r="I1110" s="18"/>
      <c r="J1110" s="18"/>
      <c r="K1110" s="18"/>
      <c r="L1110" s="18" t="s">
        <v>109</v>
      </c>
      <c r="M1110" s="18" t="s">
        <v>109</v>
      </c>
      <c r="N1110" s="18"/>
      <c r="O1110" s="18"/>
      <c r="P1110" s="18" t="s">
        <v>4945</v>
      </c>
      <c r="Q1110" s="18" t="s">
        <v>134</v>
      </c>
      <c r="R1110" s="18" t="s">
        <v>4946</v>
      </c>
      <c r="S1110" s="18" t="s">
        <v>112</v>
      </c>
      <c r="T1110" s="18" t="s">
        <v>4947</v>
      </c>
      <c r="U1110" s="18" t="s">
        <v>4948</v>
      </c>
      <c r="V1110" s="19" t="s">
        <v>29</v>
      </c>
      <c r="W1110" s="19"/>
      <c r="X1110" s="19"/>
      <c r="Y1110" s="20"/>
      <c r="Z1110" s="19"/>
      <c r="AA1110" s="18" t="str">
        <f aca="false">IF(OR(V1110="Aprobada"),R1110,IF(AND(OR(V1110="Aprobada con ajuste",V1110="Rechazada"),W1110&lt;&gt;""),W1110,""))</f>
        <v/>
      </c>
    </row>
    <row r="1111" customFormat="false" ht="22.35" hidden="false" customHeight="false" outlineLevel="0" collapsed="false">
      <c r="A1111" s="18" t="s">
        <v>4949</v>
      </c>
      <c r="B1111" s="18" t="s">
        <v>64</v>
      </c>
      <c r="C1111" s="18" t="s">
        <v>65</v>
      </c>
      <c r="D1111" s="18" t="s">
        <v>4837</v>
      </c>
      <c r="E1111" s="18" t="n">
        <v>3</v>
      </c>
      <c r="F1111" s="18" t="s">
        <v>4950</v>
      </c>
      <c r="G1111" s="18" t="s">
        <v>414</v>
      </c>
      <c r="H1111" s="18" t="s">
        <v>117</v>
      </c>
      <c r="I1111" s="18"/>
      <c r="J1111" s="18"/>
      <c r="K1111" s="18"/>
      <c r="L1111" s="18" t="s">
        <v>109</v>
      </c>
      <c r="M1111" s="18" t="s">
        <v>109</v>
      </c>
      <c r="N1111" s="18"/>
      <c r="O1111" s="18"/>
      <c r="P1111" s="18" t="s">
        <v>4951</v>
      </c>
      <c r="Q1111" s="18" t="s">
        <v>134</v>
      </c>
      <c r="R1111" s="18" t="s">
        <v>4952</v>
      </c>
      <c r="S1111" s="18" t="s">
        <v>125</v>
      </c>
      <c r="T1111" s="18" t="s">
        <v>4953</v>
      </c>
      <c r="U1111" s="18"/>
      <c r="V1111" s="19" t="s">
        <v>29</v>
      </c>
      <c r="W1111" s="19"/>
      <c r="X1111" s="19"/>
      <c r="Y1111" s="20"/>
      <c r="Z1111" s="19"/>
      <c r="AA1111" s="18" t="str">
        <f aca="false">IF(OR(V1111="Aprobada"),R1111,IF(AND(OR(V1111="Aprobada con ajuste",V1111="Rechazada"),W1111&lt;&gt;""),W1111,""))</f>
        <v/>
      </c>
    </row>
    <row r="1112" customFormat="false" ht="32.8" hidden="false" customHeight="false" outlineLevel="0" collapsed="false">
      <c r="A1112" s="18" t="s">
        <v>4954</v>
      </c>
      <c r="B1112" s="18" t="s">
        <v>64</v>
      </c>
      <c r="C1112" s="18" t="s">
        <v>65</v>
      </c>
      <c r="D1112" s="18" t="s">
        <v>4837</v>
      </c>
      <c r="E1112" s="18" t="n">
        <v>3</v>
      </c>
      <c r="F1112" s="18" t="s">
        <v>4955</v>
      </c>
      <c r="G1112" s="18" t="s">
        <v>934</v>
      </c>
      <c r="H1112" s="18" t="s">
        <v>117</v>
      </c>
      <c r="I1112" s="18"/>
      <c r="J1112" s="18"/>
      <c r="K1112" s="18"/>
      <c r="L1112" s="18" t="s">
        <v>109</v>
      </c>
      <c r="M1112" s="18" t="s">
        <v>109</v>
      </c>
      <c r="N1112" s="18"/>
      <c r="O1112" s="18"/>
      <c r="P1112" s="18" t="s">
        <v>4956</v>
      </c>
      <c r="Q1112" s="18" t="s">
        <v>134</v>
      </c>
      <c r="R1112" s="18" t="s">
        <v>4957</v>
      </c>
      <c r="S1112" s="18" t="s">
        <v>125</v>
      </c>
      <c r="T1112" s="18" t="s">
        <v>4958</v>
      </c>
      <c r="U1112" s="18"/>
      <c r="V1112" s="19" t="s">
        <v>29</v>
      </c>
      <c r="W1112" s="19"/>
      <c r="X1112" s="19"/>
      <c r="Y1112" s="20"/>
      <c r="Z1112" s="19"/>
      <c r="AA1112" s="18" t="str">
        <f aca="false">IF(OR(V1112="Aprobada"),R1112,IF(AND(OR(V1112="Aprobada con ajuste",V1112="Rechazada"),W1112&lt;&gt;""),W1112,""))</f>
        <v/>
      </c>
    </row>
    <row r="1113" customFormat="false" ht="32.8" hidden="false" customHeight="false" outlineLevel="0" collapsed="false">
      <c r="A1113" s="18" t="s">
        <v>4959</v>
      </c>
      <c r="B1113" s="18" t="s">
        <v>64</v>
      </c>
      <c r="C1113" s="18" t="s">
        <v>65</v>
      </c>
      <c r="D1113" s="18" t="s">
        <v>4837</v>
      </c>
      <c r="E1113" s="18" t="n">
        <v>3</v>
      </c>
      <c r="F1113" s="18" t="s">
        <v>4960</v>
      </c>
      <c r="G1113" s="18" t="s">
        <v>184</v>
      </c>
      <c r="H1113" s="18" t="s">
        <v>117</v>
      </c>
      <c r="I1113" s="18"/>
      <c r="J1113" s="18"/>
      <c r="K1113" s="18"/>
      <c r="L1113" s="18" t="s">
        <v>109</v>
      </c>
      <c r="M1113" s="18" t="s">
        <v>109</v>
      </c>
      <c r="N1113" s="18"/>
      <c r="O1113" s="18"/>
      <c r="P1113" s="18" t="s">
        <v>4961</v>
      </c>
      <c r="Q1113" s="18" t="s">
        <v>110</v>
      </c>
      <c r="R1113" s="18" t="s">
        <v>4962</v>
      </c>
      <c r="S1113" s="18" t="s">
        <v>112</v>
      </c>
      <c r="T1113" s="18" t="s">
        <v>113</v>
      </c>
      <c r="U1113" s="18"/>
      <c r="V1113" s="19" t="s">
        <v>29</v>
      </c>
      <c r="W1113" s="19"/>
      <c r="X1113" s="19"/>
      <c r="Y1113" s="20"/>
      <c r="Z1113" s="19"/>
      <c r="AA1113" s="18" t="str">
        <f aca="false">IF(OR(V1113="Aprobada"),R1113,IF(AND(OR(V1113="Aprobada con ajuste",V1113="Rechazada"),W1113&lt;&gt;""),W1113,""))</f>
        <v/>
      </c>
    </row>
    <row r="1114" customFormat="false" ht="22.35" hidden="false" customHeight="false" outlineLevel="0" collapsed="false">
      <c r="A1114" s="18" t="s">
        <v>4963</v>
      </c>
      <c r="B1114" s="18" t="s">
        <v>64</v>
      </c>
      <c r="C1114" s="18" t="s">
        <v>65</v>
      </c>
      <c r="D1114" s="18" t="s">
        <v>4837</v>
      </c>
      <c r="E1114" s="18" t="n">
        <v>3</v>
      </c>
      <c r="F1114" s="18" t="s">
        <v>4964</v>
      </c>
      <c r="G1114" s="18" t="s">
        <v>116</v>
      </c>
      <c r="H1114" s="18" t="s">
        <v>117</v>
      </c>
      <c r="I1114" s="18"/>
      <c r="J1114" s="18"/>
      <c r="K1114" s="18"/>
      <c r="L1114" s="18" t="s">
        <v>109</v>
      </c>
      <c r="M1114" s="18" t="s">
        <v>109</v>
      </c>
      <c r="N1114" s="18"/>
      <c r="O1114" s="18"/>
      <c r="P1114" s="18" t="s">
        <v>4965</v>
      </c>
      <c r="Q1114" s="18" t="s">
        <v>134</v>
      </c>
      <c r="R1114" s="18" t="s">
        <v>4966</v>
      </c>
      <c r="S1114" s="18" t="s">
        <v>125</v>
      </c>
      <c r="T1114" s="18" t="s">
        <v>4953</v>
      </c>
      <c r="U1114" s="18"/>
      <c r="V1114" s="19" t="s">
        <v>29</v>
      </c>
      <c r="W1114" s="19"/>
      <c r="X1114" s="19"/>
      <c r="Y1114" s="20"/>
      <c r="Z1114" s="19"/>
      <c r="AA1114" s="18" t="str">
        <f aca="false">IF(OR(V1114="Aprobada"),R1114,IF(AND(OR(V1114="Aprobada con ajuste",V1114="Rechazada"),W1114&lt;&gt;""),W1114,""))</f>
        <v/>
      </c>
    </row>
    <row r="1115" customFormat="false" ht="105.95" hidden="false" customHeight="false" outlineLevel="0" collapsed="false">
      <c r="A1115" s="18" t="s">
        <v>4967</v>
      </c>
      <c r="B1115" s="18" t="s">
        <v>64</v>
      </c>
      <c r="C1115" s="18" t="s">
        <v>65</v>
      </c>
      <c r="D1115" s="18" t="s">
        <v>4837</v>
      </c>
      <c r="E1115" s="18" t="n">
        <v>3</v>
      </c>
      <c r="F1115" s="18" t="s">
        <v>4545</v>
      </c>
      <c r="G1115" s="18" t="s">
        <v>324</v>
      </c>
      <c r="H1115" s="18" t="s">
        <v>109</v>
      </c>
      <c r="I1115" s="18"/>
      <c r="J1115" s="18"/>
      <c r="K1115" s="18"/>
      <c r="L1115" s="18" t="s">
        <v>109</v>
      </c>
      <c r="M1115" s="18" t="s">
        <v>109</v>
      </c>
      <c r="N1115" s="18"/>
      <c r="O1115" s="18" t="s">
        <v>4968</v>
      </c>
      <c r="P1115" s="18" t="s">
        <v>4969</v>
      </c>
      <c r="Q1115" s="18" t="s">
        <v>123</v>
      </c>
      <c r="R1115" s="18" t="s">
        <v>4970</v>
      </c>
      <c r="S1115" s="18" t="s">
        <v>125</v>
      </c>
      <c r="T1115" s="18" t="s">
        <v>4971</v>
      </c>
      <c r="U1115" s="18"/>
      <c r="V1115" s="19" t="s">
        <v>29</v>
      </c>
      <c r="W1115" s="19"/>
      <c r="X1115" s="19"/>
      <c r="Y1115" s="20"/>
      <c r="Z1115" s="19"/>
      <c r="AA1115" s="18" t="str">
        <f aca="false">IF(OR(V1115="Aprobada"),R1115,IF(AND(OR(V1115="Aprobada con ajuste",V1115="Rechazada"),W1115&lt;&gt;""),W1115,""))</f>
        <v/>
      </c>
    </row>
    <row r="1116" customFormat="false" ht="32.8" hidden="false" customHeight="false" outlineLevel="0" collapsed="false">
      <c r="A1116" s="18" t="s">
        <v>4972</v>
      </c>
      <c r="B1116" s="18" t="s">
        <v>64</v>
      </c>
      <c r="C1116" s="18" t="s">
        <v>65</v>
      </c>
      <c r="D1116" s="18" t="s">
        <v>4837</v>
      </c>
      <c r="E1116" s="18" t="n">
        <v>3</v>
      </c>
      <c r="F1116" s="18" t="s">
        <v>4973</v>
      </c>
      <c r="G1116" s="18" t="s">
        <v>139</v>
      </c>
      <c r="H1116" s="18" t="s">
        <v>109</v>
      </c>
      <c r="I1116" s="18"/>
      <c r="J1116" s="18"/>
      <c r="K1116" s="18"/>
      <c r="L1116" s="18" t="s">
        <v>109</v>
      </c>
      <c r="M1116" s="18" t="s">
        <v>109</v>
      </c>
      <c r="N1116" s="18"/>
      <c r="O1116" s="18" t="s">
        <v>4974</v>
      </c>
      <c r="P1116" s="18" t="s">
        <v>4975</v>
      </c>
      <c r="Q1116" s="18" t="s">
        <v>134</v>
      </c>
      <c r="R1116" s="18" t="s">
        <v>4976</v>
      </c>
      <c r="S1116" s="18" t="s">
        <v>112</v>
      </c>
      <c r="T1116" s="18" t="s">
        <v>4977</v>
      </c>
      <c r="U1116" s="18" t="s">
        <v>4978</v>
      </c>
      <c r="V1116" s="19" t="s">
        <v>29</v>
      </c>
      <c r="W1116" s="19"/>
      <c r="X1116" s="19"/>
      <c r="Y1116" s="20"/>
      <c r="Z1116" s="19"/>
      <c r="AA1116" s="18" t="str">
        <f aca="false">IF(OR(V1116="Aprobada"),R1116,IF(AND(OR(V1116="Aprobada con ajuste",V1116="Rechazada"),W1116&lt;&gt;""),W1116,""))</f>
        <v/>
      </c>
    </row>
    <row r="1117" customFormat="false" ht="32.8" hidden="false" customHeight="false" outlineLevel="0" collapsed="false">
      <c r="A1117" s="18" t="s">
        <v>4979</v>
      </c>
      <c r="B1117" s="18" t="s">
        <v>64</v>
      </c>
      <c r="C1117" s="18" t="s">
        <v>65</v>
      </c>
      <c r="D1117" s="18" t="s">
        <v>4837</v>
      </c>
      <c r="E1117" s="18" t="n">
        <v>3</v>
      </c>
      <c r="F1117" s="18" t="s">
        <v>4980</v>
      </c>
      <c r="G1117" s="18" t="s">
        <v>735</v>
      </c>
      <c r="H1117" s="18" t="s">
        <v>117</v>
      </c>
      <c r="I1117" s="18"/>
      <c r="J1117" s="18"/>
      <c r="K1117" s="18"/>
      <c r="L1117" s="18" t="s">
        <v>109</v>
      </c>
      <c r="M1117" s="18" t="s">
        <v>109</v>
      </c>
      <c r="N1117" s="18"/>
      <c r="O1117" s="18"/>
      <c r="P1117" s="18" t="s">
        <v>4981</v>
      </c>
      <c r="Q1117" s="18" t="s">
        <v>110</v>
      </c>
      <c r="R1117" s="18" t="s">
        <v>4982</v>
      </c>
      <c r="S1117" s="18" t="s">
        <v>112</v>
      </c>
      <c r="T1117" s="18" t="s">
        <v>113</v>
      </c>
      <c r="U1117" s="18"/>
      <c r="V1117" s="19" t="s">
        <v>29</v>
      </c>
      <c r="W1117" s="19"/>
      <c r="X1117" s="19"/>
      <c r="Y1117" s="20"/>
      <c r="Z1117" s="19"/>
      <c r="AA1117" s="18" t="str">
        <f aca="false">IF(OR(V1117="Aprobada"),R1117,IF(AND(OR(V1117="Aprobada con ajuste",V1117="Rechazada"),W1117&lt;&gt;""),W1117,""))</f>
        <v/>
      </c>
    </row>
    <row r="1118" customFormat="false" ht="74.6" hidden="false" customHeight="false" outlineLevel="0" collapsed="false">
      <c r="A1118" s="18" t="s">
        <v>4983</v>
      </c>
      <c r="B1118" s="18" t="s">
        <v>64</v>
      </c>
      <c r="C1118" s="18" t="s">
        <v>65</v>
      </c>
      <c r="D1118" s="18" t="s">
        <v>4837</v>
      </c>
      <c r="E1118" s="18" t="n">
        <v>3</v>
      </c>
      <c r="F1118" s="18" t="s">
        <v>4984</v>
      </c>
      <c r="G1118" s="18" t="s">
        <v>414</v>
      </c>
      <c r="H1118" s="18" t="s">
        <v>117</v>
      </c>
      <c r="I1118" s="18"/>
      <c r="J1118" s="18"/>
      <c r="K1118" s="18"/>
      <c r="L1118" s="18" t="s">
        <v>109</v>
      </c>
      <c r="M1118" s="18" t="s">
        <v>109</v>
      </c>
      <c r="N1118" s="18"/>
      <c r="O1118" s="18" t="s">
        <v>4985</v>
      </c>
      <c r="P1118" s="18" t="s">
        <v>4986</v>
      </c>
      <c r="Q1118" s="18" t="s">
        <v>123</v>
      </c>
      <c r="R1118" s="18" t="s">
        <v>4987</v>
      </c>
      <c r="S1118" s="18" t="s">
        <v>125</v>
      </c>
      <c r="T1118" s="18" t="s">
        <v>4988</v>
      </c>
      <c r="U1118" s="18"/>
      <c r="V1118" s="19" t="s">
        <v>29</v>
      </c>
      <c r="W1118" s="19"/>
      <c r="X1118" s="19"/>
      <c r="Y1118" s="20"/>
      <c r="Z1118" s="19"/>
      <c r="AA1118" s="18" t="str">
        <f aca="false">IF(OR(V1118="Aprobada"),R1118,IF(AND(OR(V1118="Aprobada con ajuste",V1118="Rechazada"),W1118&lt;&gt;""),W1118,""))</f>
        <v/>
      </c>
    </row>
    <row r="1119" customFormat="false" ht="43.25" hidden="false" customHeight="false" outlineLevel="0" collapsed="false">
      <c r="A1119" s="18" t="s">
        <v>4989</v>
      </c>
      <c r="B1119" s="18" t="s">
        <v>64</v>
      </c>
      <c r="C1119" s="18" t="s">
        <v>65</v>
      </c>
      <c r="D1119" s="18" t="s">
        <v>4837</v>
      </c>
      <c r="E1119" s="18" t="n">
        <v>3</v>
      </c>
      <c r="F1119" s="18" t="s">
        <v>4990</v>
      </c>
      <c r="G1119" s="18" t="s">
        <v>394</v>
      </c>
      <c r="H1119" s="18" t="s">
        <v>117</v>
      </c>
      <c r="I1119" s="18"/>
      <c r="J1119" s="18"/>
      <c r="K1119" s="18"/>
      <c r="L1119" s="18" t="s">
        <v>109</v>
      </c>
      <c r="M1119" s="18" t="s">
        <v>109</v>
      </c>
      <c r="N1119" s="18"/>
      <c r="O1119" s="18"/>
      <c r="P1119" s="18" t="s">
        <v>4991</v>
      </c>
      <c r="Q1119" s="18" t="s">
        <v>110</v>
      </c>
      <c r="R1119" s="18" t="s">
        <v>4992</v>
      </c>
      <c r="S1119" s="18" t="s">
        <v>112</v>
      </c>
      <c r="T1119" s="18" t="s">
        <v>113</v>
      </c>
      <c r="U1119" s="18"/>
      <c r="V1119" s="19" t="s">
        <v>29</v>
      </c>
      <c r="W1119" s="19"/>
      <c r="X1119" s="19"/>
      <c r="Y1119" s="20"/>
      <c r="Z1119" s="19"/>
      <c r="AA1119" s="18" t="str">
        <f aca="false">IF(OR(V1119="Aprobada"),R1119,IF(AND(OR(V1119="Aprobada con ajuste",V1119="Rechazada"),W1119&lt;&gt;""),W1119,""))</f>
        <v/>
      </c>
    </row>
    <row r="1120" customFormat="false" ht="53.7" hidden="false" customHeight="false" outlineLevel="0" collapsed="false">
      <c r="A1120" s="18" t="s">
        <v>4993</v>
      </c>
      <c r="B1120" s="18" t="s">
        <v>64</v>
      </c>
      <c r="C1120" s="18" t="s">
        <v>65</v>
      </c>
      <c r="D1120" s="18" t="s">
        <v>4837</v>
      </c>
      <c r="E1120" s="18" t="n">
        <v>3</v>
      </c>
      <c r="F1120" s="18" t="s">
        <v>4994</v>
      </c>
      <c r="G1120" s="18" t="s">
        <v>4397</v>
      </c>
      <c r="H1120" s="18" t="s">
        <v>117</v>
      </c>
      <c r="I1120" s="18"/>
      <c r="J1120" s="18"/>
      <c r="K1120" s="18"/>
      <c r="L1120" s="18" t="s">
        <v>109</v>
      </c>
      <c r="M1120" s="18" t="s">
        <v>109</v>
      </c>
      <c r="N1120" s="18"/>
      <c r="O1120" s="18"/>
      <c r="P1120" s="18" t="s">
        <v>4995</v>
      </c>
      <c r="Q1120" s="18" t="s">
        <v>134</v>
      </c>
      <c r="R1120" s="18" t="s">
        <v>4996</v>
      </c>
      <c r="S1120" s="18" t="s">
        <v>112</v>
      </c>
      <c r="T1120" s="18" t="s">
        <v>4997</v>
      </c>
      <c r="U1120" s="18" t="s">
        <v>4948</v>
      </c>
      <c r="V1120" s="19" t="s">
        <v>29</v>
      </c>
      <c r="W1120" s="19"/>
      <c r="X1120" s="19"/>
      <c r="Y1120" s="20"/>
      <c r="Z1120" s="19"/>
      <c r="AA1120" s="18" t="str">
        <f aca="false">IF(OR(V1120="Aprobada"),R1120,IF(AND(OR(V1120="Aprobada con ajuste",V1120="Rechazada"),W1120&lt;&gt;""),W1120,""))</f>
        <v/>
      </c>
    </row>
    <row r="1121" customFormat="false" ht="43.25" hidden="false" customHeight="false" outlineLevel="0" collapsed="false">
      <c r="A1121" s="18" t="s">
        <v>4998</v>
      </c>
      <c r="B1121" s="18" t="s">
        <v>64</v>
      </c>
      <c r="C1121" s="18" t="s">
        <v>65</v>
      </c>
      <c r="D1121" s="18" t="s">
        <v>4837</v>
      </c>
      <c r="E1121" s="18" t="n">
        <v>3</v>
      </c>
      <c r="F1121" s="18" t="s">
        <v>4999</v>
      </c>
      <c r="G1121" s="18" t="s">
        <v>116</v>
      </c>
      <c r="H1121" s="18" t="s">
        <v>117</v>
      </c>
      <c r="I1121" s="18"/>
      <c r="J1121" s="18"/>
      <c r="K1121" s="18"/>
      <c r="L1121" s="18" t="s">
        <v>109</v>
      </c>
      <c r="M1121" s="18" t="s">
        <v>109</v>
      </c>
      <c r="N1121" s="18"/>
      <c r="O1121" s="18"/>
      <c r="P1121" s="18" t="s">
        <v>5000</v>
      </c>
      <c r="Q1121" s="18" t="s">
        <v>134</v>
      </c>
      <c r="R1121" s="18" t="s">
        <v>5001</v>
      </c>
      <c r="S1121" s="18" t="s">
        <v>125</v>
      </c>
      <c r="T1121" s="18" t="s">
        <v>4997</v>
      </c>
      <c r="U1121" s="18"/>
      <c r="V1121" s="19" t="s">
        <v>29</v>
      </c>
      <c r="W1121" s="19"/>
      <c r="X1121" s="19"/>
      <c r="Y1121" s="20"/>
      <c r="Z1121" s="19"/>
      <c r="AA1121" s="18" t="str">
        <f aca="false">IF(OR(V1121="Aprobada"),R1121,IF(AND(OR(V1121="Aprobada con ajuste",V1121="Rechazada"),W1121&lt;&gt;""),W1121,""))</f>
        <v/>
      </c>
    </row>
    <row r="1122" customFormat="false" ht="43.25" hidden="false" customHeight="false" outlineLevel="0" collapsed="false">
      <c r="A1122" s="18" t="s">
        <v>5002</v>
      </c>
      <c r="B1122" s="18" t="s">
        <v>64</v>
      </c>
      <c r="C1122" s="18" t="s">
        <v>65</v>
      </c>
      <c r="D1122" s="18" t="s">
        <v>4837</v>
      </c>
      <c r="E1122" s="18" t="n">
        <v>3</v>
      </c>
      <c r="F1122" s="18" t="s">
        <v>5003</v>
      </c>
      <c r="G1122" s="18" t="s">
        <v>934</v>
      </c>
      <c r="H1122" s="18" t="s">
        <v>117</v>
      </c>
      <c r="I1122" s="18"/>
      <c r="J1122" s="18"/>
      <c r="K1122" s="18"/>
      <c r="L1122" s="18" t="s">
        <v>109</v>
      </c>
      <c r="M1122" s="18" t="s">
        <v>109</v>
      </c>
      <c r="N1122" s="18"/>
      <c r="O1122" s="18"/>
      <c r="P1122" s="18" t="s">
        <v>5004</v>
      </c>
      <c r="Q1122" s="18" t="s">
        <v>134</v>
      </c>
      <c r="R1122" s="18" t="s">
        <v>5005</v>
      </c>
      <c r="S1122" s="18" t="s">
        <v>125</v>
      </c>
      <c r="T1122" s="18" t="s">
        <v>4958</v>
      </c>
      <c r="U1122" s="18"/>
      <c r="V1122" s="19" t="s">
        <v>29</v>
      </c>
      <c r="W1122" s="19"/>
      <c r="X1122" s="19"/>
      <c r="Y1122" s="20"/>
      <c r="Z1122" s="19"/>
      <c r="AA1122" s="18" t="str">
        <f aca="false">IF(OR(V1122="Aprobada"),R1122,IF(AND(OR(V1122="Aprobada con ajuste",V1122="Rechazada"),W1122&lt;&gt;""),W1122,""))</f>
        <v/>
      </c>
    </row>
    <row r="1123" customFormat="false" ht="32.8" hidden="false" customHeight="false" outlineLevel="0" collapsed="false">
      <c r="A1123" s="18" t="s">
        <v>5006</v>
      </c>
      <c r="B1123" s="18" t="s">
        <v>64</v>
      </c>
      <c r="C1123" s="18" t="s">
        <v>65</v>
      </c>
      <c r="D1123" s="18" t="s">
        <v>4837</v>
      </c>
      <c r="E1123" s="18" t="n">
        <v>3</v>
      </c>
      <c r="F1123" s="18" t="s">
        <v>5007</v>
      </c>
      <c r="G1123" s="18" t="s">
        <v>184</v>
      </c>
      <c r="H1123" s="18" t="s">
        <v>117</v>
      </c>
      <c r="I1123" s="18"/>
      <c r="J1123" s="18"/>
      <c r="K1123" s="18"/>
      <c r="L1123" s="18" t="s">
        <v>109</v>
      </c>
      <c r="M1123" s="18" t="s">
        <v>109</v>
      </c>
      <c r="N1123" s="18"/>
      <c r="O1123" s="18"/>
      <c r="P1123" s="18" t="s">
        <v>5008</v>
      </c>
      <c r="Q1123" s="18" t="s">
        <v>110</v>
      </c>
      <c r="R1123" s="18" t="s">
        <v>5009</v>
      </c>
      <c r="S1123" s="18" t="s">
        <v>112</v>
      </c>
      <c r="T1123" s="18" t="s">
        <v>113</v>
      </c>
      <c r="U1123" s="18"/>
      <c r="V1123" s="19" t="s">
        <v>29</v>
      </c>
      <c r="W1123" s="19"/>
      <c r="X1123" s="19"/>
      <c r="Y1123" s="20"/>
      <c r="Z1123" s="19"/>
      <c r="AA1123" s="18" t="str">
        <f aca="false">IF(OR(V1123="Aprobada"),R1123,IF(AND(OR(V1123="Aprobada con ajuste",V1123="Rechazada"),W1123&lt;&gt;""),W1123,""))</f>
        <v/>
      </c>
    </row>
    <row r="1124" customFormat="false" ht="43.25" hidden="false" customHeight="false" outlineLevel="0" collapsed="false">
      <c r="A1124" s="18" t="s">
        <v>5010</v>
      </c>
      <c r="B1124" s="18" t="s">
        <v>64</v>
      </c>
      <c r="C1124" s="18" t="s">
        <v>65</v>
      </c>
      <c r="D1124" s="18" t="s">
        <v>4837</v>
      </c>
      <c r="E1124" s="18" t="n">
        <v>3</v>
      </c>
      <c r="F1124" s="18" t="s">
        <v>5011</v>
      </c>
      <c r="G1124" s="18" t="s">
        <v>145</v>
      </c>
      <c r="H1124" s="18" t="s">
        <v>109</v>
      </c>
      <c r="I1124" s="18"/>
      <c r="J1124" s="18"/>
      <c r="K1124" s="18"/>
      <c r="L1124" s="18" t="s">
        <v>109</v>
      </c>
      <c r="M1124" s="18" t="s">
        <v>109</v>
      </c>
      <c r="N1124" s="18"/>
      <c r="O1124" s="18"/>
      <c r="P1124" s="18" t="s">
        <v>5012</v>
      </c>
      <c r="Q1124" s="18" t="s">
        <v>123</v>
      </c>
      <c r="R1124" s="18" t="s">
        <v>5013</v>
      </c>
      <c r="S1124" s="18" t="s">
        <v>112</v>
      </c>
      <c r="T1124" s="18" t="s">
        <v>5014</v>
      </c>
      <c r="U1124" s="18" t="s">
        <v>5015</v>
      </c>
      <c r="V1124" s="19" t="s">
        <v>29</v>
      </c>
      <c r="W1124" s="19"/>
      <c r="X1124" s="19"/>
      <c r="Y1124" s="20"/>
      <c r="Z1124" s="19"/>
      <c r="AA1124" s="18" t="str">
        <f aca="false">IF(OR(V1124="Aprobada"),R1124,IF(AND(OR(V1124="Aprobada con ajuste",V1124="Rechazada"),W1124&lt;&gt;""),W1124,""))</f>
        <v/>
      </c>
    </row>
    <row r="1125" customFormat="false" ht="64.15" hidden="false" customHeight="false" outlineLevel="0" collapsed="false">
      <c r="A1125" s="18" t="s">
        <v>5016</v>
      </c>
      <c r="B1125" s="18" t="s">
        <v>64</v>
      </c>
      <c r="C1125" s="18" t="s">
        <v>65</v>
      </c>
      <c r="D1125" s="18" t="s">
        <v>4837</v>
      </c>
      <c r="E1125" s="18" t="n">
        <v>3</v>
      </c>
      <c r="F1125" s="18" t="s">
        <v>5017</v>
      </c>
      <c r="G1125" s="18" t="s">
        <v>394</v>
      </c>
      <c r="H1125" s="18" t="s">
        <v>117</v>
      </c>
      <c r="I1125" s="18"/>
      <c r="J1125" s="18"/>
      <c r="K1125" s="18"/>
      <c r="L1125" s="18" t="s">
        <v>109</v>
      </c>
      <c r="M1125" s="18" t="s">
        <v>109</v>
      </c>
      <c r="N1125" s="18"/>
      <c r="O1125" s="18" t="s">
        <v>5018</v>
      </c>
      <c r="P1125" s="18" t="s">
        <v>5019</v>
      </c>
      <c r="Q1125" s="18" t="s">
        <v>123</v>
      </c>
      <c r="R1125" s="18" t="s">
        <v>5020</v>
      </c>
      <c r="S1125" s="18" t="s">
        <v>112</v>
      </c>
      <c r="T1125" s="18" t="s">
        <v>5021</v>
      </c>
      <c r="U1125" s="18"/>
      <c r="V1125" s="19" t="s">
        <v>29</v>
      </c>
      <c r="W1125" s="19"/>
      <c r="X1125" s="19"/>
      <c r="Y1125" s="20"/>
      <c r="Z1125" s="19"/>
      <c r="AA1125" s="18" t="str">
        <f aca="false">IF(OR(V1125="Aprobada"),R1125,IF(AND(OR(V1125="Aprobada con ajuste",V1125="Rechazada"),W1125&lt;&gt;""),W1125,""))</f>
        <v/>
      </c>
    </row>
    <row r="1126" customFormat="false" ht="53.7" hidden="false" customHeight="false" outlineLevel="0" collapsed="false">
      <c r="A1126" s="18" t="s">
        <v>5022</v>
      </c>
      <c r="B1126" s="18" t="s">
        <v>64</v>
      </c>
      <c r="C1126" s="18" t="s">
        <v>65</v>
      </c>
      <c r="D1126" s="18" t="s">
        <v>4837</v>
      </c>
      <c r="E1126" s="18" t="n">
        <v>3</v>
      </c>
      <c r="F1126" s="18" t="s">
        <v>1968</v>
      </c>
      <c r="G1126" s="18" t="s">
        <v>4397</v>
      </c>
      <c r="H1126" s="18" t="s">
        <v>117</v>
      </c>
      <c r="I1126" s="18"/>
      <c r="J1126" s="18"/>
      <c r="K1126" s="18"/>
      <c r="L1126" s="18" t="s">
        <v>109</v>
      </c>
      <c r="M1126" s="18" t="s">
        <v>109</v>
      </c>
      <c r="N1126" s="18"/>
      <c r="O1126" s="18"/>
      <c r="P1126" s="18" t="s">
        <v>5023</v>
      </c>
      <c r="Q1126" s="18" t="s">
        <v>134</v>
      </c>
      <c r="R1126" s="18" t="s">
        <v>5024</v>
      </c>
      <c r="S1126" s="18" t="s">
        <v>112</v>
      </c>
      <c r="T1126" s="18" t="s">
        <v>5025</v>
      </c>
      <c r="U1126" s="18" t="s">
        <v>4948</v>
      </c>
      <c r="V1126" s="19" t="s">
        <v>29</v>
      </c>
      <c r="W1126" s="19"/>
      <c r="X1126" s="19"/>
      <c r="Y1126" s="20"/>
      <c r="Z1126" s="19"/>
      <c r="AA1126" s="18" t="str">
        <f aca="false">IF(OR(V1126="Aprobada"),R1126,IF(AND(OR(V1126="Aprobada con ajuste",V1126="Rechazada"),W1126&lt;&gt;""),W1126,""))</f>
        <v/>
      </c>
    </row>
    <row r="1127" customFormat="false" ht="64.15" hidden="false" customHeight="false" outlineLevel="0" collapsed="false">
      <c r="A1127" s="18" t="s">
        <v>5026</v>
      </c>
      <c r="B1127" s="18" t="s">
        <v>64</v>
      </c>
      <c r="C1127" s="18" t="s">
        <v>65</v>
      </c>
      <c r="D1127" s="18" t="s">
        <v>4837</v>
      </c>
      <c r="E1127" s="18" t="n">
        <v>3</v>
      </c>
      <c r="F1127" s="18" t="s">
        <v>5027</v>
      </c>
      <c r="G1127" s="18" t="s">
        <v>934</v>
      </c>
      <c r="H1127" s="18" t="s">
        <v>117</v>
      </c>
      <c r="I1127" s="18"/>
      <c r="J1127" s="18"/>
      <c r="K1127" s="18"/>
      <c r="L1127" s="18" t="s">
        <v>109</v>
      </c>
      <c r="M1127" s="18" t="s">
        <v>109</v>
      </c>
      <c r="N1127" s="18"/>
      <c r="O1127" s="18"/>
      <c r="P1127" s="18" t="s">
        <v>5028</v>
      </c>
      <c r="Q1127" s="18" t="s">
        <v>134</v>
      </c>
      <c r="R1127" s="18" t="s">
        <v>5029</v>
      </c>
      <c r="S1127" s="18" t="s">
        <v>125</v>
      </c>
      <c r="T1127" s="18" t="s">
        <v>4958</v>
      </c>
      <c r="U1127" s="18"/>
      <c r="V1127" s="19" t="s">
        <v>29</v>
      </c>
      <c r="W1127" s="19"/>
      <c r="X1127" s="19"/>
      <c r="Y1127" s="20"/>
      <c r="Z1127" s="19"/>
      <c r="AA1127" s="18" t="str">
        <f aca="false">IF(OR(V1127="Aprobada"),R1127,IF(AND(OR(V1127="Aprobada con ajuste",V1127="Rechazada"),W1127&lt;&gt;""),W1127,""))</f>
        <v/>
      </c>
    </row>
    <row r="1128" customFormat="false" ht="64.15" hidden="false" customHeight="false" outlineLevel="0" collapsed="false">
      <c r="A1128" s="18" t="s">
        <v>5030</v>
      </c>
      <c r="B1128" s="18" t="s">
        <v>64</v>
      </c>
      <c r="C1128" s="18" t="s">
        <v>65</v>
      </c>
      <c r="D1128" s="18" t="s">
        <v>4837</v>
      </c>
      <c r="E1128" s="18" t="n">
        <v>3</v>
      </c>
      <c r="F1128" s="18" t="s">
        <v>5031</v>
      </c>
      <c r="G1128" s="18" t="s">
        <v>414</v>
      </c>
      <c r="H1128" s="18" t="s">
        <v>117</v>
      </c>
      <c r="I1128" s="18"/>
      <c r="J1128" s="18"/>
      <c r="K1128" s="18"/>
      <c r="L1128" s="18" t="s">
        <v>109</v>
      </c>
      <c r="M1128" s="18" t="s">
        <v>109</v>
      </c>
      <c r="N1128" s="18"/>
      <c r="O1128" s="18" t="s">
        <v>5032</v>
      </c>
      <c r="P1128" s="18" t="s">
        <v>5033</v>
      </c>
      <c r="Q1128" s="18" t="s">
        <v>134</v>
      </c>
      <c r="R1128" s="18" t="s">
        <v>5034</v>
      </c>
      <c r="S1128" s="18" t="s">
        <v>125</v>
      </c>
      <c r="T1128" s="18" t="s">
        <v>5035</v>
      </c>
      <c r="U1128" s="18"/>
      <c r="V1128" s="19" t="s">
        <v>29</v>
      </c>
      <c r="W1128" s="19"/>
      <c r="X1128" s="19"/>
      <c r="Y1128" s="20"/>
      <c r="Z1128" s="19"/>
      <c r="AA1128" s="18" t="str">
        <f aca="false">IF(OR(V1128="Aprobada"),R1128,IF(AND(OR(V1128="Aprobada con ajuste",V1128="Rechazada"),W1128&lt;&gt;""),W1128,""))</f>
        <v/>
      </c>
    </row>
    <row r="1129" customFormat="false" ht="53.7" hidden="false" customHeight="false" outlineLevel="0" collapsed="false">
      <c r="A1129" s="18" t="s">
        <v>5036</v>
      </c>
      <c r="B1129" s="18" t="s">
        <v>64</v>
      </c>
      <c r="C1129" s="18" t="s">
        <v>65</v>
      </c>
      <c r="D1129" s="18" t="s">
        <v>4837</v>
      </c>
      <c r="E1129" s="18" t="n">
        <v>3</v>
      </c>
      <c r="F1129" s="18" t="s">
        <v>5037</v>
      </c>
      <c r="G1129" s="18" t="s">
        <v>116</v>
      </c>
      <c r="H1129" s="18" t="s">
        <v>117</v>
      </c>
      <c r="I1129" s="18"/>
      <c r="J1129" s="18"/>
      <c r="K1129" s="18"/>
      <c r="L1129" s="18" t="s">
        <v>109</v>
      </c>
      <c r="M1129" s="18" t="s">
        <v>109</v>
      </c>
      <c r="N1129" s="18"/>
      <c r="O1129" s="18"/>
      <c r="P1129" s="18" t="s">
        <v>5038</v>
      </c>
      <c r="Q1129" s="18" t="s">
        <v>134</v>
      </c>
      <c r="R1129" s="18" t="s">
        <v>5039</v>
      </c>
      <c r="S1129" s="18" t="s">
        <v>125</v>
      </c>
      <c r="T1129" s="18" t="s">
        <v>5040</v>
      </c>
      <c r="U1129" s="18"/>
      <c r="V1129" s="19" t="s">
        <v>29</v>
      </c>
      <c r="W1129" s="19"/>
      <c r="X1129" s="19"/>
      <c r="Y1129" s="20"/>
      <c r="Z1129" s="19"/>
      <c r="AA1129" s="18" t="str">
        <f aca="false">IF(OR(V1129="Aprobada"),R1129,IF(AND(OR(V1129="Aprobada con ajuste",V1129="Rechazada"),W1129&lt;&gt;""),W1129,""))</f>
        <v/>
      </c>
    </row>
    <row r="1130" customFormat="false" ht="32.8" hidden="false" customHeight="false" outlineLevel="0" collapsed="false">
      <c r="A1130" s="18" t="s">
        <v>5041</v>
      </c>
      <c r="B1130" s="18" t="s">
        <v>64</v>
      </c>
      <c r="C1130" s="18" t="s">
        <v>65</v>
      </c>
      <c r="D1130" s="18" t="s">
        <v>4837</v>
      </c>
      <c r="E1130" s="18" t="n">
        <v>3</v>
      </c>
      <c r="F1130" s="18" t="s">
        <v>5042</v>
      </c>
      <c r="G1130" s="18" t="s">
        <v>184</v>
      </c>
      <c r="H1130" s="18" t="s">
        <v>117</v>
      </c>
      <c r="I1130" s="18"/>
      <c r="J1130" s="18"/>
      <c r="K1130" s="18"/>
      <c r="L1130" s="18" t="s">
        <v>109</v>
      </c>
      <c r="M1130" s="18" t="s">
        <v>109</v>
      </c>
      <c r="N1130" s="18"/>
      <c r="O1130" s="18"/>
      <c r="P1130" s="18" t="s">
        <v>5043</v>
      </c>
      <c r="Q1130" s="18" t="s">
        <v>110</v>
      </c>
      <c r="R1130" s="18" t="s">
        <v>5044</v>
      </c>
      <c r="S1130" s="18" t="s">
        <v>112</v>
      </c>
      <c r="T1130" s="18" t="s">
        <v>113</v>
      </c>
      <c r="U1130" s="18"/>
      <c r="V1130" s="19" t="s">
        <v>29</v>
      </c>
      <c r="W1130" s="19"/>
      <c r="X1130" s="19"/>
      <c r="Y1130" s="20"/>
      <c r="Z1130" s="19"/>
      <c r="AA1130" s="18" t="str">
        <f aca="false">IF(OR(V1130="Aprobada"),R1130,IF(AND(OR(V1130="Aprobada con ajuste",V1130="Rechazada"),W1130&lt;&gt;""),W1130,""))</f>
        <v/>
      </c>
    </row>
    <row r="1131" customFormat="false" ht="43.25" hidden="false" customHeight="false" outlineLevel="0" collapsed="false">
      <c r="A1131" s="18" t="s">
        <v>5045</v>
      </c>
      <c r="B1131" s="18" t="s">
        <v>64</v>
      </c>
      <c r="C1131" s="18" t="s">
        <v>65</v>
      </c>
      <c r="D1131" s="18" t="s">
        <v>4837</v>
      </c>
      <c r="E1131" s="18" t="n">
        <v>3</v>
      </c>
      <c r="F1131" s="18" t="s">
        <v>5046</v>
      </c>
      <c r="G1131" s="18" t="s">
        <v>2640</v>
      </c>
      <c r="H1131" s="18" t="s">
        <v>117</v>
      </c>
      <c r="I1131" s="18"/>
      <c r="J1131" s="18"/>
      <c r="K1131" s="18"/>
      <c r="L1131" s="18" t="s">
        <v>109</v>
      </c>
      <c r="M1131" s="18" t="s">
        <v>109</v>
      </c>
      <c r="N1131" s="18"/>
      <c r="O1131" s="18"/>
      <c r="P1131" s="18" t="s">
        <v>5047</v>
      </c>
      <c r="Q1131" s="18" t="s">
        <v>123</v>
      </c>
      <c r="R1131" s="18" t="s">
        <v>5048</v>
      </c>
      <c r="S1131" s="18" t="s">
        <v>112</v>
      </c>
      <c r="T1131" s="18" t="s">
        <v>5049</v>
      </c>
      <c r="U1131" s="18" t="s">
        <v>5050</v>
      </c>
      <c r="V1131" s="19" t="s">
        <v>29</v>
      </c>
      <c r="W1131" s="19"/>
      <c r="X1131" s="19"/>
      <c r="Y1131" s="20"/>
      <c r="Z1131" s="19"/>
      <c r="AA1131" s="18" t="str">
        <f aca="false">IF(OR(V1131="Aprobada"),R1131,IF(AND(OR(V1131="Aprobada con ajuste",V1131="Rechazada"),W1131&lt;&gt;""),W1131,""))</f>
        <v/>
      </c>
    </row>
    <row r="1132" customFormat="false" ht="43.25" hidden="false" customHeight="false" outlineLevel="0" collapsed="false">
      <c r="A1132" s="18" t="s">
        <v>5051</v>
      </c>
      <c r="B1132" s="18" t="s">
        <v>64</v>
      </c>
      <c r="C1132" s="18" t="s">
        <v>65</v>
      </c>
      <c r="D1132" s="18" t="s">
        <v>4837</v>
      </c>
      <c r="E1132" s="18" t="n">
        <v>3</v>
      </c>
      <c r="F1132" s="18" t="s">
        <v>5052</v>
      </c>
      <c r="G1132" s="18" t="s">
        <v>3982</v>
      </c>
      <c r="H1132" s="18" t="s">
        <v>117</v>
      </c>
      <c r="I1132" s="18"/>
      <c r="J1132" s="18"/>
      <c r="K1132" s="18"/>
      <c r="L1132" s="18" t="s">
        <v>109</v>
      </c>
      <c r="M1132" s="18" t="s">
        <v>109</v>
      </c>
      <c r="N1132" s="18"/>
      <c r="O1132" s="18"/>
      <c r="P1132" s="18" t="s">
        <v>5053</v>
      </c>
      <c r="Q1132" s="18" t="s">
        <v>134</v>
      </c>
      <c r="R1132" s="18" t="s">
        <v>5054</v>
      </c>
      <c r="S1132" s="18" t="s">
        <v>112</v>
      </c>
      <c r="T1132" s="18" t="s">
        <v>5055</v>
      </c>
      <c r="U1132" s="18" t="s">
        <v>4948</v>
      </c>
      <c r="V1132" s="19" t="s">
        <v>29</v>
      </c>
      <c r="W1132" s="19"/>
      <c r="X1132" s="19"/>
      <c r="Y1132" s="20"/>
      <c r="Z1132" s="19"/>
      <c r="AA1132" s="18" t="str">
        <f aca="false">IF(OR(V1132="Aprobada"),R1132,IF(AND(OR(V1132="Aprobada con ajuste",V1132="Rechazada"),W1132&lt;&gt;""),W1132,""))</f>
        <v/>
      </c>
    </row>
    <row r="1133" customFormat="false" ht="32.8" hidden="false" customHeight="false" outlineLevel="0" collapsed="false">
      <c r="A1133" s="18" t="s">
        <v>5056</v>
      </c>
      <c r="B1133" s="18" t="s">
        <v>64</v>
      </c>
      <c r="C1133" s="18" t="s">
        <v>65</v>
      </c>
      <c r="D1133" s="18" t="s">
        <v>4837</v>
      </c>
      <c r="E1133" s="18" t="n">
        <v>3</v>
      </c>
      <c r="F1133" s="18" t="s">
        <v>5057</v>
      </c>
      <c r="G1133" s="18" t="s">
        <v>3982</v>
      </c>
      <c r="H1133" s="18" t="s">
        <v>117</v>
      </c>
      <c r="I1133" s="18"/>
      <c r="J1133" s="18"/>
      <c r="K1133" s="18"/>
      <c r="L1133" s="18" t="s">
        <v>109</v>
      </c>
      <c r="M1133" s="18" t="s">
        <v>109</v>
      </c>
      <c r="N1133" s="18"/>
      <c r="O1133" s="18"/>
      <c r="P1133" s="18" t="s">
        <v>5058</v>
      </c>
      <c r="Q1133" s="18" t="s">
        <v>134</v>
      </c>
      <c r="R1133" s="18" t="s">
        <v>5059</v>
      </c>
      <c r="S1133" s="18" t="s">
        <v>112</v>
      </c>
      <c r="T1133" s="18" t="s">
        <v>5060</v>
      </c>
      <c r="U1133" s="18" t="s">
        <v>5061</v>
      </c>
      <c r="V1133" s="19" t="s">
        <v>29</v>
      </c>
      <c r="W1133" s="19"/>
      <c r="X1133" s="19"/>
      <c r="Y1133" s="20"/>
      <c r="Z1133" s="19"/>
      <c r="AA1133" s="18" t="str">
        <f aca="false">IF(OR(V1133="Aprobada"),R1133,IF(AND(OR(V1133="Aprobada con ajuste",V1133="Rechazada"),W1133&lt;&gt;""),W1133,""))</f>
        <v/>
      </c>
    </row>
    <row r="1134" customFormat="false" ht="43.25" hidden="false" customHeight="false" outlineLevel="0" collapsed="false">
      <c r="A1134" s="18" t="s">
        <v>5062</v>
      </c>
      <c r="B1134" s="18" t="s">
        <v>64</v>
      </c>
      <c r="C1134" s="18" t="s">
        <v>65</v>
      </c>
      <c r="D1134" s="18" t="s">
        <v>4837</v>
      </c>
      <c r="E1134" s="18" t="n">
        <v>3</v>
      </c>
      <c r="F1134" s="18" t="s">
        <v>5063</v>
      </c>
      <c r="G1134" s="18" t="s">
        <v>2640</v>
      </c>
      <c r="H1134" s="18" t="s">
        <v>117</v>
      </c>
      <c r="I1134" s="18"/>
      <c r="J1134" s="18"/>
      <c r="K1134" s="18"/>
      <c r="L1134" s="18" t="s">
        <v>109</v>
      </c>
      <c r="M1134" s="18" t="s">
        <v>109</v>
      </c>
      <c r="N1134" s="18"/>
      <c r="O1134" s="18"/>
      <c r="P1134" s="18" t="s">
        <v>5064</v>
      </c>
      <c r="Q1134" s="18" t="s">
        <v>134</v>
      </c>
      <c r="R1134" s="18" t="s">
        <v>5065</v>
      </c>
      <c r="S1134" s="18" t="s">
        <v>125</v>
      </c>
      <c r="T1134" s="18" t="s">
        <v>5066</v>
      </c>
      <c r="U1134" s="18"/>
      <c r="V1134" s="19" t="s">
        <v>29</v>
      </c>
      <c r="W1134" s="19"/>
      <c r="X1134" s="19"/>
      <c r="Y1134" s="20"/>
      <c r="Z1134" s="19"/>
      <c r="AA1134" s="18" t="str">
        <f aca="false">IF(OR(V1134="Aprobada"),R1134,IF(AND(OR(V1134="Aprobada con ajuste",V1134="Rechazada"),W1134&lt;&gt;""),W1134,""))</f>
        <v/>
      </c>
    </row>
    <row r="1135" customFormat="false" ht="43.25" hidden="false" customHeight="false" outlineLevel="0" collapsed="false">
      <c r="A1135" s="18" t="s">
        <v>5067</v>
      </c>
      <c r="B1135" s="18" t="s">
        <v>64</v>
      </c>
      <c r="C1135" s="18" t="s">
        <v>65</v>
      </c>
      <c r="D1135" s="18" t="s">
        <v>4837</v>
      </c>
      <c r="E1135" s="18" t="n">
        <v>3</v>
      </c>
      <c r="F1135" s="18" t="s">
        <v>5068</v>
      </c>
      <c r="G1135" s="18" t="s">
        <v>3982</v>
      </c>
      <c r="H1135" s="18" t="s">
        <v>117</v>
      </c>
      <c r="I1135" s="18"/>
      <c r="J1135" s="18"/>
      <c r="K1135" s="18"/>
      <c r="L1135" s="18" t="s">
        <v>109</v>
      </c>
      <c r="M1135" s="18" t="s">
        <v>109</v>
      </c>
      <c r="N1135" s="18"/>
      <c r="O1135" s="18"/>
      <c r="P1135" s="18" t="s">
        <v>5069</v>
      </c>
      <c r="Q1135" s="18" t="s">
        <v>134</v>
      </c>
      <c r="R1135" s="18" t="s">
        <v>5070</v>
      </c>
      <c r="S1135" s="18" t="s">
        <v>112</v>
      </c>
      <c r="T1135" s="18" t="s">
        <v>5071</v>
      </c>
      <c r="U1135" s="18" t="s">
        <v>5072</v>
      </c>
      <c r="V1135" s="19" t="s">
        <v>29</v>
      </c>
      <c r="W1135" s="19"/>
      <c r="X1135" s="19"/>
      <c r="Y1135" s="20"/>
      <c r="Z1135" s="19"/>
      <c r="AA1135" s="18" t="str">
        <f aca="false">IF(OR(V1135="Aprobada"),R1135,IF(AND(OR(V1135="Aprobada con ajuste",V1135="Rechazada"),W1135&lt;&gt;""),W1135,""))</f>
        <v/>
      </c>
    </row>
    <row r="1136" customFormat="false" ht="43.25" hidden="false" customHeight="false" outlineLevel="0" collapsed="false">
      <c r="A1136" s="18" t="s">
        <v>5073</v>
      </c>
      <c r="B1136" s="18" t="s">
        <v>64</v>
      </c>
      <c r="C1136" s="18" t="s">
        <v>65</v>
      </c>
      <c r="D1136" s="18" t="s">
        <v>4837</v>
      </c>
      <c r="E1136" s="18" t="n">
        <v>3</v>
      </c>
      <c r="F1136" s="18" t="s">
        <v>5074</v>
      </c>
      <c r="G1136" s="18" t="s">
        <v>3982</v>
      </c>
      <c r="H1136" s="18" t="s">
        <v>117</v>
      </c>
      <c r="I1136" s="18"/>
      <c r="J1136" s="18"/>
      <c r="K1136" s="18"/>
      <c r="L1136" s="18" t="s">
        <v>109</v>
      </c>
      <c r="M1136" s="18" t="s">
        <v>109</v>
      </c>
      <c r="N1136" s="18"/>
      <c r="O1136" s="18"/>
      <c r="P1136" s="18" t="s">
        <v>5075</v>
      </c>
      <c r="Q1136" s="18" t="s">
        <v>134</v>
      </c>
      <c r="R1136" s="18" t="s">
        <v>5076</v>
      </c>
      <c r="S1136" s="18" t="s">
        <v>112</v>
      </c>
      <c r="T1136" s="18" t="s">
        <v>5077</v>
      </c>
      <c r="U1136" s="18" t="s">
        <v>5061</v>
      </c>
      <c r="V1136" s="19" t="s">
        <v>29</v>
      </c>
      <c r="W1136" s="19"/>
      <c r="X1136" s="19"/>
      <c r="Y1136" s="20"/>
      <c r="Z1136" s="19"/>
      <c r="AA1136" s="18" t="str">
        <f aca="false">IF(OR(V1136="Aprobada"),R1136,IF(AND(OR(V1136="Aprobada con ajuste",V1136="Rechazada"),W1136&lt;&gt;""),W1136,""))</f>
        <v/>
      </c>
    </row>
    <row r="1137" customFormat="false" ht="43.25" hidden="false" customHeight="false" outlineLevel="0" collapsed="false">
      <c r="A1137" s="18" t="s">
        <v>5078</v>
      </c>
      <c r="B1137" s="18" t="s">
        <v>64</v>
      </c>
      <c r="C1137" s="18" t="s">
        <v>65</v>
      </c>
      <c r="D1137" s="18" t="s">
        <v>4837</v>
      </c>
      <c r="E1137" s="18" t="n">
        <v>3</v>
      </c>
      <c r="F1137" s="18" t="s">
        <v>5079</v>
      </c>
      <c r="G1137" s="18" t="s">
        <v>5080</v>
      </c>
      <c r="H1137" s="18" t="s">
        <v>117</v>
      </c>
      <c r="I1137" s="18"/>
      <c r="J1137" s="18"/>
      <c r="K1137" s="18"/>
      <c r="L1137" s="18" t="s">
        <v>109</v>
      </c>
      <c r="M1137" s="18" t="s">
        <v>109</v>
      </c>
      <c r="N1137" s="18"/>
      <c r="O1137" s="18"/>
      <c r="P1137" s="18" t="s">
        <v>5081</v>
      </c>
      <c r="Q1137" s="18" t="s">
        <v>134</v>
      </c>
      <c r="R1137" s="18" t="s">
        <v>5082</v>
      </c>
      <c r="S1137" s="18" t="s">
        <v>169</v>
      </c>
      <c r="T1137" s="18" t="s">
        <v>5083</v>
      </c>
      <c r="U1137" s="18" t="s">
        <v>5084</v>
      </c>
      <c r="V1137" s="19" t="s">
        <v>29</v>
      </c>
      <c r="W1137" s="19"/>
      <c r="X1137" s="19"/>
      <c r="Y1137" s="20"/>
      <c r="Z1137" s="19"/>
      <c r="AA1137" s="18" t="str">
        <f aca="false">IF(OR(V1137="Aprobada"),R1137,IF(AND(OR(V1137="Aprobada con ajuste",V1137="Rechazada"),W1137&lt;&gt;""),W1137,""))</f>
        <v/>
      </c>
    </row>
    <row r="1138" customFormat="false" ht="32.8" hidden="false" customHeight="false" outlineLevel="0" collapsed="false">
      <c r="A1138" s="18" t="s">
        <v>5085</v>
      </c>
      <c r="B1138" s="18" t="s">
        <v>64</v>
      </c>
      <c r="C1138" s="18" t="s">
        <v>65</v>
      </c>
      <c r="D1138" s="18" t="s">
        <v>4837</v>
      </c>
      <c r="E1138" s="18" t="n">
        <v>3</v>
      </c>
      <c r="F1138" s="18" t="s">
        <v>5086</v>
      </c>
      <c r="G1138" s="18" t="s">
        <v>5080</v>
      </c>
      <c r="H1138" s="18" t="s">
        <v>117</v>
      </c>
      <c r="I1138" s="18"/>
      <c r="J1138" s="18"/>
      <c r="K1138" s="18"/>
      <c r="L1138" s="18" t="s">
        <v>109</v>
      </c>
      <c r="M1138" s="18" t="s">
        <v>109</v>
      </c>
      <c r="N1138" s="18"/>
      <c r="O1138" s="18"/>
      <c r="P1138" s="18" t="s">
        <v>5087</v>
      </c>
      <c r="Q1138" s="18" t="s">
        <v>134</v>
      </c>
      <c r="R1138" s="18" t="s">
        <v>5088</v>
      </c>
      <c r="S1138" s="18" t="s">
        <v>169</v>
      </c>
      <c r="T1138" s="18" t="s">
        <v>5083</v>
      </c>
      <c r="U1138" s="18" t="s">
        <v>5084</v>
      </c>
      <c r="V1138" s="19" t="s">
        <v>29</v>
      </c>
      <c r="W1138" s="19"/>
      <c r="X1138" s="19"/>
      <c r="Y1138" s="20"/>
      <c r="Z1138" s="19"/>
      <c r="AA1138" s="18" t="str">
        <f aca="false">IF(OR(V1138="Aprobada"),R1138,IF(AND(OR(V1138="Aprobada con ajuste",V1138="Rechazada"),W1138&lt;&gt;""),W1138,""))</f>
        <v/>
      </c>
    </row>
    <row r="1139" customFormat="false" ht="32.8" hidden="false" customHeight="false" outlineLevel="0" collapsed="false">
      <c r="A1139" s="18" t="s">
        <v>5089</v>
      </c>
      <c r="B1139" s="18" t="s">
        <v>64</v>
      </c>
      <c r="C1139" s="18" t="s">
        <v>65</v>
      </c>
      <c r="D1139" s="18" t="s">
        <v>4837</v>
      </c>
      <c r="E1139" s="18" t="n">
        <v>3</v>
      </c>
      <c r="F1139" s="18" t="s">
        <v>5090</v>
      </c>
      <c r="G1139" s="18" t="s">
        <v>3982</v>
      </c>
      <c r="H1139" s="18" t="s">
        <v>117</v>
      </c>
      <c r="I1139" s="18"/>
      <c r="J1139" s="18"/>
      <c r="K1139" s="18"/>
      <c r="L1139" s="18" t="s">
        <v>109</v>
      </c>
      <c r="M1139" s="18" t="s">
        <v>109</v>
      </c>
      <c r="N1139" s="18"/>
      <c r="O1139" s="18"/>
      <c r="P1139" s="18" t="s">
        <v>5091</v>
      </c>
      <c r="Q1139" s="18" t="s">
        <v>134</v>
      </c>
      <c r="R1139" s="18" t="s">
        <v>5092</v>
      </c>
      <c r="S1139" s="18" t="s">
        <v>112</v>
      </c>
      <c r="T1139" s="18" t="s">
        <v>5093</v>
      </c>
      <c r="U1139" s="18" t="s">
        <v>5094</v>
      </c>
      <c r="V1139" s="19" t="s">
        <v>29</v>
      </c>
      <c r="W1139" s="19"/>
      <c r="X1139" s="19"/>
      <c r="Y1139" s="20"/>
      <c r="Z1139" s="19"/>
      <c r="AA1139" s="18" t="str">
        <f aca="false">IF(OR(V1139="Aprobada"),R1139,IF(AND(OR(V1139="Aprobada con ajuste",V1139="Rechazada"),W1139&lt;&gt;""),W1139,""))</f>
        <v/>
      </c>
    </row>
    <row r="1140" customFormat="false" ht="43.25" hidden="false" customHeight="false" outlineLevel="0" collapsed="false">
      <c r="A1140" s="18" t="s">
        <v>5095</v>
      </c>
      <c r="B1140" s="18" t="s">
        <v>64</v>
      </c>
      <c r="C1140" s="18" t="s">
        <v>65</v>
      </c>
      <c r="D1140" s="18" t="s">
        <v>4837</v>
      </c>
      <c r="E1140" s="18" t="n">
        <v>3</v>
      </c>
      <c r="F1140" s="18" t="s">
        <v>5096</v>
      </c>
      <c r="G1140" s="18" t="s">
        <v>3982</v>
      </c>
      <c r="H1140" s="18" t="s">
        <v>117</v>
      </c>
      <c r="I1140" s="18"/>
      <c r="J1140" s="18"/>
      <c r="K1140" s="18"/>
      <c r="L1140" s="18" t="s">
        <v>109</v>
      </c>
      <c r="M1140" s="18" t="s">
        <v>109</v>
      </c>
      <c r="N1140" s="18"/>
      <c r="O1140" s="18"/>
      <c r="P1140" s="18" t="s">
        <v>5097</v>
      </c>
      <c r="Q1140" s="18" t="s">
        <v>134</v>
      </c>
      <c r="R1140" s="18" t="s">
        <v>5098</v>
      </c>
      <c r="S1140" s="18" t="s">
        <v>112</v>
      </c>
      <c r="T1140" s="18" t="s">
        <v>5099</v>
      </c>
      <c r="U1140" s="18" t="s">
        <v>5100</v>
      </c>
      <c r="V1140" s="19" t="s">
        <v>29</v>
      </c>
      <c r="W1140" s="19"/>
      <c r="X1140" s="19"/>
      <c r="Y1140" s="20"/>
      <c r="Z1140" s="19"/>
      <c r="AA1140" s="18" t="str">
        <f aca="false">IF(OR(V1140="Aprobada"),R1140,IF(AND(OR(V1140="Aprobada con ajuste",V1140="Rechazada"),W1140&lt;&gt;""),W1140,""))</f>
        <v/>
      </c>
    </row>
    <row r="1141" customFormat="false" ht="43.25" hidden="false" customHeight="false" outlineLevel="0" collapsed="false">
      <c r="A1141" s="18" t="s">
        <v>5101</v>
      </c>
      <c r="B1141" s="18" t="s">
        <v>64</v>
      </c>
      <c r="C1141" s="18" t="s">
        <v>65</v>
      </c>
      <c r="D1141" s="18" t="s">
        <v>4837</v>
      </c>
      <c r="E1141" s="18" t="n">
        <v>3</v>
      </c>
      <c r="F1141" s="18" t="s">
        <v>5102</v>
      </c>
      <c r="G1141" s="18" t="s">
        <v>3982</v>
      </c>
      <c r="H1141" s="18" t="s">
        <v>117</v>
      </c>
      <c r="I1141" s="18"/>
      <c r="J1141" s="18"/>
      <c r="K1141" s="18"/>
      <c r="L1141" s="18" t="s">
        <v>109</v>
      </c>
      <c r="M1141" s="18" t="s">
        <v>109</v>
      </c>
      <c r="N1141" s="18"/>
      <c r="O1141" s="18"/>
      <c r="P1141" s="18" t="s">
        <v>5103</v>
      </c>
      <c r="Q1141" s="18" t="s">
        <v>134</v>
      </c>
      <c r="R1141" s="18" t="s">
        <v>5104</v>
      </c>
      <c r="S1141" s="18" t="s">
        <v>112</v>
      </c>
      <c r="T1141" s="18" t="s">
        <v>5105</v>
      </c>
      <c r="U1141" s="18" t="s">
        <v>5106</v>
      </c>
      <c r="V1141" s="19" t="s">
        <v>29</v>
      </c>
      <c r="W1141" s="19"/>
      <c r="X1141" s="19"/>
      <c r="Y1141" s="20"/>
      <c r="Z1141" s="19"/>
      <c r="AA1141" s="18" t="str">
        <f aca="false">IF(OR(V1141="Aprobada"),R1141,IF(AND(OR(V1141="Aprobada con ajuste",V1141="Rechazada"),W1141&lt;&gt;""),W1141,""))</f>
        <v/>
      </c>
    </row>
    <row r="1142" customFormat="false" ht="32.8" hidden="false" customHeight="false" outlineLevel="0" collapsed="false">
      <c r="A1142" s="18" t="s">
        <v>5107</v>
      </c>
      <c r="B1142" s="18" t="s">
        <v>64</v>
      </c>
      <c r="C1142" s="18" t="s">
        <v>65</v>
      </c>
      <c r="D1142" s="18" t="s">
        <v>4837</v>
      </c>
      <c r="E1142" s="18" t="n">
        <v>3</v>
      </c>
      <c r="F1142" s="18" t="s">
        <v>5108</v>
      </c>
      <c r="G1142" s="18" t="s">
        <v>414</v>
      </c>
      <c r="H1142" s="18" t="s">
        <v>117</v>
      </c>
      <c r="I1142" s="18"/>
      <c r="J1142" s="18"/>
      <c r="K1142" s="18"/>
      <c r="L1142" s="18" t="s">
        <v>109</v>
      </c>
      <c r="M1142" s="18" t="s">
        <v>109</v>
      </c>
      <c r="N1142" s="18"/>
      <c r="O1142" s="18"/>
      <c r="P1142" s="18" t="s">
        <v>5109</v>
      </c>
      <c r="Q1142" s="18" t="s">
        <v>134</v>
      </c>
      <c r="R1142" s="18" t="s">
        <v>5110</v>
      </c>
      <c r="S1142" s="18" t="s">
        <v>125</v>
      </c>
      <c r="T1142" s="18" t="s">
        <v>5111</v>
      </c>
      <c r="U1142" s="18"/>
      <c r="V1142" s="19" t="s">
        <v>29</v>
      </c>
      <c r="W1142" s="19"/>
      <c r="X1142" s="19"/>
      <c r="Y1142" s="20"/>
      <c r="Z1142" s="19"/>
      <c r="AA1142" s="18" t="str">
        <f aca="false">IF(OR(V1142="Aprobada"),R1142,IF(AND(OR(V1142="Aprobada con ajuste",V1142="Rechazada"),W1142&lt;&gt;""),W1142,""))</f>
        <v/>
      </c>
    </row>
    <row r="1143" customFormat="false" ht="32.8" hidden="false" customHeight="false" outlineLevel="0" collapsed="false">
      <c r="A1143" s="18" t="s">
        <v>5112</v>
      </c>
      <c r="B1143" s="18" t="s">
        <v>64</v>
      </c>
      <c r="C1143" s="18" t="s">
        <v>65</v>
      </c>
      <c r="D1143" s="18" t="s">
        <v>4837</v>
      </c>
      <c r="E1143" s="18" t="n">
        <v>3</v>
      </c>
      <c r="F1143" s="18" t="s">
        <v>5113</v>
      </c>
      <c r="G1143" s="18" t="s">
        <v>116</v>
      </c>
      <c r="H1143" s="18" t="s">
        <v>117</v>
      </c>
      <c r="I1143" s="18"/>
      <c r="J1143" s="18"/>
      <c r="K1143" s="18"/>
      <c r="L1143" s="18" t="s">
        <v>109</v>
      </c>
      <c r="M1143" s="18" t="s">
        <v>109</v>
      </c>
      <c r="N1143" s="18"/>
      <c r="O1143" s="18"/>
      <c r="P1143" s="18" t="s">
        <v>5114</v>
      </c>
      <c r="Q1143" s="18" t="s">
        <v>134</v>
      </c>
      <c r="R1143" s="18" t="s">
        <v>5115</v>
      </c>
      <c r="S1143" s="18" t="s">
        <v>125</v>
      </c>
      <c r="T1143" s="18" t="s">
        <v>5116</v>
      </c>
      <c r="U1143" s="18"/>
      <c r="V1143" s="19" t="s">
        <v>29</v>
      </c>
      <c r="W1143" s="19"/>
      <c r="X1143" s="19"/>
      <c r="Y1143" s="20"/>
      <c r="Z1143" s="19"/>
      <c r="AA1143" s="18" t="str">
        <f aca="false">IF(OR(V1143="Aprobada"),R1143,IF(AND(OR(V1143="Aprobada con ajuste",V1143="Rechazada"),W1143&lt;&gt;""),W1143,""))</f>
        <v/>
      </c>
    </row>
    <row r="1144" customFormat="false" ht="32.8" hidden="false" customHeight="false" outlineLevel="0" collapsed="false">
      <c r="A1144" s="18" t="s">
        <v>5117</v>
      </c>
      <c r="B1144" s="18" t="s">
        <v>64</v>
      </c>
      <c r="C1144" s="18" t="s">
        <v>65</v>
      </c>
      <c r="D1144" s="18" t="s">
        <v>4837</v>
      </c>
      <c r="E1144" s="18" t="n">
        <v>3</v>
      </c>
      <c r="F1144" s="18" t="s">
        <v>5118</v>
      </c>
      <c r="G1144" s="18" t="s">
        <v>116</v>
      </c>
      <c r="H1144" s="18" t="s">
        <v>117</v>
      </c>
      <c r="I1144" s="18"/>
      <c r="J1144" s="18"/>
      <c r="K1144" s="18"/>
      <c r="L1144" s="18" t="s">
        <v>109</v>
      </c>
      <c r="M1144" s="18" t="s">
        <v>109</v>
      </c>
      <c r="N1144" s="18"/>
      <c r="O1144" s="18"/>
      <c r="P1144" s="18" t="s">
        <v>5119</v>
      </c>
      <c r="Q1144" s="18" t="s">
        <v>134</v>
      </c>
      <c r="R1144" s="18" t="s">
        <v>5120</v>
      </c>
      <c r="S1144" s="18" t="s">
        <v>112</v>
      </c>
      <c r="T1144" s="18" t="s">
        <v>225</v>
      </c>
      <c r="U1144" s="18" t="s">
        <v>5121</v>
      </c>
      <c r="V1144" s="19" t="s">
        <v>29</v>
      </c>
      <c r="W1144" s="19"/>
      <c r="X1144" s="19"/>
      <c r="Y1144" s="20"/>
      <c r="Z1144" s="19"/>
      <c r="AA1144" s="18" t="str">
        <f aca="false">IF(OR(V1144="Aprobada"),R1144,IF(AND(OR(V1144="Aprobada con ajuste",V1144="Rechazada"),W1144&lt;&gt;""),W1144,""))</f>
        <v/>
      </c>
    </row>
    <row r="1145" customFormat="false" ht="64.15" hidden="false" customHeight="false" outlineLevel="0" collapsed="false">
      <c r="A1145" s="18" t="s">
        <v>5122</v>
      </c>
      <c r="B1145" s="18" t="s">
        <v>64</v>
      </c>
      <c r="C1145" s="18" t="s">
        <v>65</v>
      </c>
      <c r="D1145" s="18" t="s">
        <v>5123</v>
      </c>
      <c r="E1145" s="18" t="n">
        <v>0</v>
      </c>
      <c r="F1145" s="18" t="s">
        <v>276</v>
      </c>
      <c r="G1145" s="18" t="s">
        <v>324</v>
      </c>
      <c r="H1145" s="18" t="s">
        <v>117</v>
      </c>
      <c r="I1145" s="18"/>
      <c r="J1145" s="18"/>
      <c r="K1145" s="18"/>
      <c r="L1145" s="18" t="s">
        <v>117</v>
      </c>
      <c r="M1145" s="18" t="s">
        <v>109</v>
      </c>
      <c r="N1145" s="18"/>
      <c r="O1145" s="18"/>
      <c r="P1145" s="18" t="s">
        <v>5124</v>
      </c>
      <c r="Q1145" s="18" t="s">
        <v>123</v>
      </c>
      <c r="R1145" s="18" t="s">
        <v>5125</v>
      </c>
      <c r="S1145" s="18" t="s">
        <v>125</v>
      </c>
      <c r="T1145" s="18" t="s">
        <v>5126</v>
      </c>
      <c r="U1145" s="18"/>
      <c r="V1145" s="19" t="s">
        <v>29</v>
      </c>
      <c r="W1145" s="19"/>
      <c r="X1145" s="19"/>
      <c r="Y1145" s="20"/>
      <c r="Z1145" s="19"/>
      <c r="AA1145" s="18" t="str">
        <f aca="false">IF(OR(V1145="Aprobada"),R1145,IF(AND(OR(V1145="Aprobada con ajuste",V1145="Rechazada"),W1145&lt;&gt;""),W1145,""))</f>
        <v/>
      </c>
    </row>
    <row r="1146" customFormat="false" ht="64.15" hidden="false" customHeight="false" outlineLevel="0" collapsed="false">
      <c r="A1146" s="18" t="s">
        <v>5127</v>
      </c>
      <c r="B1146" s="18" t="s">
        <v>64</v>
      </c>
      <c r="C1146" s="18" t="s">
        <v>65</v>
      </c>
      <c r="D1146" s="18" t="s">
        <v>5123</v>
      </c>
      <c r="E1146" s="18" t="n">
        <v>0</v>
      </c>
      <c r="F1146" s="18" t="s">
        <v>2932</v>
      </c>
      <c r="G1146" s="18" t="s">
        <v>249</v>
      </c>
      <c r="H1146" s="18" t="s">
        <v>109</v>
      </c>
      <c r="I1146" s="18"/>
      <c r="J1146" s="18"/>
      <c r="K1146" s="18"/>
      <c r="L1146" s="18" t="s">
        <v>117</v>
      </c>
      <c r="M1146" s="18" t="s">
        <v>109</v>
      </c>
      <c r="N1146" s="18"/>
      <c r="O1146" s="18"/>
      <c r="P1146" s="18" t="s">
        <v>5128</v>
      </c>
      <c r="Q1146" s="18" t="s">
        <v>123</v>
      </c>
      <c r="R1146" s="18" t="s">
        <v>5129</v>
      </c>
      <c r="S1146" s="18" t="s">
        <v>125</v>
      </c>
      <c r="T1146" s="18" t="s">
        <v>5130</v>
      </c>
      <c r="U1146" s="18" t="s">
        <v>5131</v>
      </c>
      <c r="V1146" s="19" t="s">
        <v>29</v>
      </c>
      <c r="W1146" s="19"/>
      <c r="X1146" s="19"/>
      <c r="Y1146" s="20"/>
      <c r="Z1146" s="19"/>
      <c r="AA1146" s="18" t="str">
        <f aca="false">IF(OR(V1146="Aprobada"),R1146,IF(AND(OR(V1146="Aprobada con ajuste",V1146="Rechazada"),W1146&lt;&gt;""),W1146,""))</f>
        <v/>
      </c>
    </row>
    <row r="1147" customFormat="false" ht="64.15" hidden="false" customHeight="false" outlineLevel="0" collapsed="false">
      <c r="A1147" s="18" t="s">
        <v>5132</v>
      </c>
      <c r="B1147" s="18" t="s">
        <v>64</v>
      </c>
      <c r="C1147" s="18" t="s">
        <v>65</v>
      </c>
      <c r="D1147" s="18" t="s">
        <v>5123</v>
      </c>
      <c r="E1147" s="18" t="n">
        <v>0</v>
      </c>
      <c r="F1147" s="18" t="s">
        <v>769</v>
      </c>
      <c r="G1147" s="18" t="s">
        <v>934</v>
      </c>
      <c r="H1147" s="18" t="s">
        <v>117</v>
      </c>
      <c r="I1147" s="18"/>
      <c r="J1147" s="18"/>
      <c r="K1147" s="18"/>
      <c r="L1147" s="18" t="s">
        <v>117</v>
      </c>
      <c r="M1147" s="18" t="s">
        <v>109</v>
      </c>
      <c r="N1147" s="18"/>
      <c r="O1147" s="18"/>
      <c r="P1147" s="18" t="s">
        <v>5133</v>
      </c>
      <c r="Q1147" s="18" t="s">
        <v>123</v>
      </c>
      <c r="R1147" s="18" t="s">
        <v>5134</v>
      </c>
      <c r="S1147" s="18" t="s">
        <v>125</v>
      </c>
      <c r="T1147" s="18" t="s">
        <v>5135</v>
      </c>
      <c r="U1147" s="18"/>
      <c r="V1147" s="19" t="s">
        <v>29</v>
      </c>
      <c r="W1147" s="19"/>
      <c r="X1147" s="19"/>
      <c r="Y1147" s="20"/>
      <c r="Z1147" s="19"/>
      <c r="AA1147" s="18" t="str">
        <f aca="false">IF(OR(V1147="Aprobada"),R1147,IF(AND(OR(V1147="Aprobada con ajuste",V1147="Rechazada"),W1147&lt;&gt;""),W1147,""))</f>
        <v/>
      </c>
    </row>
    <row r="1148" customFormat="false" ht="53.7" hidden="false" customHeight="false" outlineLevel="0" collapsed="false">
      <c r="A1148" s="18" t="s">
        <v>5136</v>
      </c>
      <c r="B1148" s="18" t="s">
        <v>64</v>
      </c>
      <c r="C1148" s="18" t="s">
        <v>65</v>
      </c>
      <c r="D1148" s="18" t="s">
        <v>5137</v>
      </c>
      <c r="E1148" s="18" t="n">
        <v>3</v>
      </c>
      <c r="F1148" s="18" t="s">
        <v>5138</v>
      </c>
      <c r="G1148" s="18" t="s">
        <v>324</v>
      </c>
      <c r="H1148" s="18" t="s">
        <v>109</v>
      </c>
      <c r="I1148" s="18" t="s">
        <v>409</v>
      </c>
      <c r="J1148" s="18"/>
      <c r="K1148" s="18"/>
      <c r="L1148" s="18" t="s">
        <v>117</v>
      </c>
      <c r="M1148" s="18" t="s">
        <v>109</v>
      </c>
      <c r="N1148" s="18"/>
      <c r="O1148" s="18" t="s">
        <v>5139</v>
      </c>
      <c r="P1148" s="18" t="s">
        <v>5140</v>
      </c>
      <c r="Q1148" s="18" t="s">
        <v>134</v>
      </c>
      <c r="R1148" s="18" t="s">
        <v>5141</v>
      </c>
      <c r="S1148" s="18" t="s">
        <v>112</v>
      </c>
      <c r="T1148" s="18" t="s">
        <v>4162</v>
      </c>
      <c r="U1148" s="18" t="s">
        <v>5142</v>
      </c>
      <c r="V1148" s="19" t="s">
        <v>29</v>
      </c>
      <c r="W1148" s="19"/>
      <c r="X1148" s="19"/>
      <c r="Y1148" s="20"/>
      <c r="Z1148" s="19"/>
      <c r="AA1148" s="18" t="str">
        <f aca="false">IF(OR(V1148="Aprobada"),R1148,IF(AND(OR(V1148="Aprobada con ajuste",V1148="Rechazada"),W1148&lt;&gt;""),W1148,""))</f>
        <v/>
      </c>
    </row>
    <row r="1149" customFormat="false" ht="32.8" hidden="false" customHeight="false" outlineLevel="0" collapsed="false">
      <c r="A1149" s="18" t="s">
        <v>5143</v>
      </c>
      <c r="B1149" s="18" t="s">
        <v>64</v>
      </c>
      <c r="C1149" s="18" t="s">
        <v>65</v>
      </c>
      <c r="D1149" s="18" t="s">
        <v>5137</v>
      </c>
      <c r="E1149" s="18" t="n">
        <v>3</v>
      </c>
      <c r="F1149" s="18" t="s">
        <v>4409</v>
      </c>
      <c r="G1149" s="18" t="s">
        <v>4397</v>
      </c>
      <c r="H1149" s="18" t="s">
        <v>109</v>
      </c>
      <c r="I1149" s="18"/>
      <c r="J1149" s="18"/>
      <c r="K1149" s="18"/>
      <c r="L1149" s="18" t="s">
        <v>117</v>
      </c>
      <c r="M1149" s="18" t="s">
        <v>109</v>
      </c>
      <c r="N1149" s="18"/>
      <c r="O1149" s="18"/>
      <c r="P1149" s="18" t="s">
        <v>5144</v>
      </c>
      <c r="Q1149" s="18" t="s">
        <v>134</v>
      </c>
      <c r="R1149" s="18" t="s">
        <v>5145</v>
      </c>
      <c r="S1149" s="18" t="s">
        <v>112</v>
      </c>
      <c r="T1149" s="18" t="s">
        <v>5146</v>
      </c>
      <c r="U1149" s="18" t="s">
        <v>4948</v>
      </c>
      <c r="V1149" s="19" t="s">
        <v>29</v>
      </c>
      <c r="W1149" s="19"/>
      <c r="X1149" s="19"/>
      <c r="Y1149" s="20"/>
      <c r="Z1149" s="19"/>
      <c r="AA1149" s="18" t="str">
        <f aca="false">IF(OR(V1149="Aprobada"),R1149,IF(AND(OR(V1149="Aprobada con ajuste",V1149="Rechazada"),W1149&lt;&gt;""),W1149,""))</f>
        <v/>
      </c>
    </row>
    <row r="1150" customFormat="false" ht="32.8" hidden="false" customHeight="false" outlineLevel="0" collapsed="false">
      <c r="A1150" s="18" t="s">
        <v>5147</v>
      </c>
      <c r="B1150" s="18" t="s">
        <v>64</v>
      </c>
      <c r="C1150" s="18" t="s">
        <v>65</v>
      </c>
      <c r="D1150" s="18" t="s">
        <v>5137</v>
      </c>
      <c r="E1150" s="18" t="n">
        <v>3</v>
      </c>
      <c r="F1150" s="18" t="s">
        <v>857</v>
      </c>
      <c r="G1150" s="18" t="s">
        <v>145</v>
      </c>
      <c r="H1150" s="18" t="s">
        <v>109</v>
      </c>
      <c r="I1150" s="18"/>
      <c r="J1150" s="18"/>
      <c r="K1150" s="18"/>
      <c r="L1150" s="18" t="s">
        <v>117</v>
      </c>
      <c r="M1150" s="18" t="s">
        <v>109</v>
      </c>
      <c r="N1150" s="18"/>
      <c r="O1150" s="18" t="s">
        <v>5148</v>
      </c>
      <c r="P1150" s="18" t="s">
        <v>5149</v>
      </c>
      <c r="Q1150" s="18" t="s">
        <v>110</v>
      </c>
      <c r="R1150" s="18" t="s">
        <v>859</v>
      </c>
      <c r="S1150" s="18" t="s">
        <v>112</v>
      </c>
      <c r="T1150" s="18" t="s">
        <v>113</v>
      </c>
      <c r="U1150" s="18"/>
      <c r="V1150" s="19" t="s">
        <v>29</v>
      </c>
      <c r="W1150" s="19"/>
      <c r="X1150" s="19"/>
      <c r="Y1150" s="20"/>
      <c r="Z1150" s="19"/>
      <c r="AA1150" s="18" t="str">
        <f aca="false">IF(OR(V1150="Aprobada"),R1150,IF(AND(OR(V1150="Aprobada con ajuste",V1150="Rechazada"),W1150&lt;&gt;""),W1150,""))</f>
        <v/>
      </c>
    </row>
    <row r="1151" customFormat="false" ht="43.25" hidden="false" customHeight="false" outlineLevel="0" collapsed="false">
      <c r="A1151" s="18" t="s">
        <v>5150</v>
      </c>
      <c r="B1151" s="18" t="s">
        <v>64</v>
      </c>
      <c r="C1151" s="18" t="s">
        <v>65</v>
      </c>
      <c r="D1151" s="18" t="s">
        <v>5151</v>
      </c>
      <c r="E1151" s="18" t="n">
        <v>42</v>
      </c>
      <c r="F1151" s="18" t="s">
        <v>4779</v>
      </c>
      <c r="G1151" s="18" t="s">
        <v>414</v>
      </c>
      <c r="H1151" s="18" t="s">
        <v>109</v>
      </c>
      <c r="I1151" s="18"/>
      <c r="J1151" s="18"/>
      <c r="K1151" s="18"/>
      <c r="L1151" s="18" t="s">
        <v>109</v>
      </c>
      <c r="M1151" s="18" t="s">
        <v>109</v>
      </c>
      <c r="N1151" s="18"/>
      <c r="O1151" s="18" t="s">
        <v>5152</v>
      </c>
      <c r="P1151" s="18" t="s">
        <v>5153</v>
      </c>
      <c r="Q1151" s="18" t="s">
        <v>134</v>
      </c>
      <c r="R1151" s="18" t="s">
        <v>5154</v>
      </c>
      <c r="S1151" s="18" t="s">
        <v>125</v>
      </c>
      <c r="T1151" s="18" t="s">
        <v>5155</v>
      </c>
      <c r="U1151" s="18"/>
      <c r="V1151" s="19" t="s">
        <v>29</v>
      </c>
      <c r="W1151" s="19"/>
      <c r="X1151" s="19"/>
      <c r="Y1151" s="20"/>
      <c r="Z1151" s="19"/>
      <c r="AA1151" s="18" t="str">
        <f aca="false">IF(OR(V1151="Aprobada"),R1151,IF(AND(OR(V1151="Aprobada con ajuste",V1151="Rechazada"),W1151&lt;&gt;""),W1151,""))</f>
        <v/>
      </c>
    </row>
    <row r="1152" customFormat="false" ht="43.25" hidden="false" customHeight="false" outlineLevel="0" collapsed="false">
      <c r="A1152" s="18" t="s">
        <v>5156</v>
      </c>
      <c r="B1152" s="18" t="s">
        <v>64</v>
      </c>
      <c r="C1152" s="18" t="s">
        <v>65</v>
      </c>
      <c r="D1152" s="18" t="s">
        <v>5151</v>
      </c>
      <c r="E1152" s="18" t="n">
        <v>42</v>
      </c>
      <c r="F1152" s="18" t="s">
        <v>4785</v>
      </c>
      <c r="G1152" s="18" t="s">
        <v>414</v>
      </c>
      <c r="H1152" s="18" t="s">
        <v>109</v>
      </c>
      <c r="I1152" s="18"/>
      <c r="J1152" s="18"/>
      <c r="K1152" s="18"/>
      <c r="L1152" s="18" t="s">
        <v>109</v>
      </c>
      <c r="M1152" s="18" t="s">
        <v>109</v>
      </c>
      <c r="N1152" s="18"/>
      <c r="O1152" s="18" t="s">
        <v>5152</v>
      </c>
      <c r="P1152" s="18" t="s">
        <v>5157</v>
      </c>
      <c r="Q1152" s="18" t="s">
        <v>134</v>
      </c>
      <c r="R1152" s="18" t="s">
        <v>5158</v>
      </c>
      <c r="S1152" s="18" t="s">
        <v>125</v>
      </c>
      <c r="T1152" s="18" t="s">
        <v>5159</v>
      </c>
      <c r="U1152" s="18"/>
      <c r="V1152" s="19" t="s">
        <v>29</v>
      </c>
      <c r="W1152" s="19"/>
      <c r="X1152" s="19"/>
      <c r="Y1152" s="20"/>
      <c r="Z1152" s="19"/>
      <c r="AA1152" s="18" t="str">
        <f aca="false">IF(OR(V1152="Aprobada"),R1152,IF(AND(OR(V1152="Aprobada con ajuste",V1152="Rechazada"),W1152&lt;&gt;""),W1152,""))</f>
        <v/>
      </c>
    </row>
    <row r="1153" customFormat="false" ht="43.25" hidden="false" customHeight="false" outlineLevel="0" collapsed="false">
      <c r="A1153" s="18" t="s">
        <v>5160</v>
      </c>
      <c r="B1153" s="18" t="s">
        <v>64</v>
      </c>
      <c r="C1153" s="18" t="s">
        <v>65</v>
      </c>
      <c r="D1153" s="18" t="s">
        <v>5151</v>
      </c>
      <c r="E1153" s="18" t="n">
        <v>42</v>
      </c>
      <c r="F1153" s="18" t="s">
        <v>5161</v>
      </c>
      <c r="G1153" s="18" t="s">
        <v>195</v>
      </c>
      <c r="H1153" s="18" t="s">
        <v>109</v>
      </c>
      <c r="I1153" s="18"/>
      <c r="J1153" s="18"/>
      <c r="K1153" s="18"/>
      <c r="L1153" s="18" t="s">
        <v>109</v>
      </c>
      <c r="M1153" s="18" t="s">
        <v>109</v>
      </c>
      <c r="N1153" s="18"/>
      <c r="O1153" s="18" t="s">
        <v>5162</v>
      </c>
      <c r="P1153" s="18" t="s">
        <v>5163</v>
      </c>
      <c r="Q1153" s="18" t="s">
        <v>134</v>
      </c>
      <c r="R1153" s="18" t="s">
        <v>5164</v>
      </c>
      <c r="S1153" s="18" t="s">
        <v>125</v>
      </c>
      <c r="T1153" s="18" t="s">
        <v>5165</v>
      </c>
      <c r="U1153" s="18"/>
      <c r="V1153" s="19" t="s">
        <v>29</v>
      </c>
      <c r="W1153" s="19"/>
      <c r="X1153" s="19"/>
      <c r="Y1153" s="20"/>
      <c r="Z1153" s="19"/>
      <c r="AA1153" s="18" t="str">
        <f aca="false">IF(OR(V1153="Aprobada"),R1153,IF(AND(OR(V1153="Aprobada con ajuste",V1153="Rechazada"),W1153&lt;&gt;""),W1153,""))</f>
        <v/>
      </c>
    </row>
    <row r="1154" customFormat="false" ht="43.25" hidden="false" customHeight="false" outlineLevel="0" collapsed="false">
      <c r="A1154" s="18" t="s">
        <v>5166</v>
      </c>
      <c r="B1154" s="18" t="s">
        <v>64</v>
      </c>
      <c r="C1154" s="18" t="s">
        <v>65</v>
      </c>
      <c r="D1154" s="18" t="s">
        <v>5151</v>
      </c>
      <c r="E1154" s="18" t="n">
        <v>42</v>
      </c>
      <c r="F1154" s="18" t="s">
        <v>5167</v>
      </c>
      <c r="G1154" s="18" t="s">
        <v>195</v>
      </c>
      <c r="H1154" s="18" t="s">
        <v>109</v>
      </c>
      <c r="I1154" s="18"/>
      <c r="J1154" s="18"/>
      <c r="K1154" s="18"/>
      <c r="L1154" s="18" t="s">
        <v>109</v>
      </c>
      <c r="M1154" s="18" t="s">
        <v>109</v>
      </c>
      <c r="N1154" s="18"/>
      <c r="O1154" s="18" t="s">
        <v>5162</v>
      </c>
      <c r="P1154" s="18" t="s">
        <v>5168</v>
      </c>
      <c r="Q1154" s="18" t="s">
        <v>134</v>
      </c>
      <c r="R1154" s="18" t="s">
        <v>5169</v>
      </c>
      <c r="S1154" s="18" t="s">
        <v>125</v>
      </c>
      <c r="T1154" s="18" t="s">
        <v>5165</v>
      </c>
      <c r="U1154" s="18"/>
      <c r="V1154" s="19" t="s">
        <v>29</v>
      </c>
      <c r="W1154" s="19"/>
      <c r="X1154" s="19"/>
      <c r="Y1154" s="20"/>
      <c r="Z1154" s="19"/>
      <c r="AA1154" s="18" t="str">
        <f aca="false">IF(OR(V1154="Aprobada"),R1154,IF(AND(OR(V1154="Aprobada con ajuste",V1154="Rechazada"),W1154&lt;&gt;""),W1154,""))</f>
        <v/>
      </c>
    </row>
    <row r="1155" customFormat="false" ht="43.25" hidden="false" customHeight="false" outlineLevel="0" collapsed="false">
      <c r="A1155" s="18" t="s">
        <v>5170</v>
      </c>
      <c r="B1155" s="18" t="s">
        <v>64</v>
      </c>
      <c r="C1155" s="18" t="s">
        <v>65</v>
      </c>
      <c r="D1155" s="18" t="s">
        <v>5151</v>
      </c>
      <c r="E1155" s="18" t="n">
        <v>42</v>
      </c>
      <c r="F1155" s="18" t="s">
        <v>5171</v>
      </c>
      <c r="G1155" s="18" t="s">
        <v>3982</v>
      </c>
      <c r="H1155" s="18" t="s">
        <v>109</v>
      </c>
      <c r="I1155" s="18"/>
      <c r="J1155" s="18"/>
      <c r="K1155" s="18"/>
      <c r="L1155" s="18" t="s">
        <v>109</v>
      </c>
      <c r="M1155" s="18" t="s">
        <v>109</v>
      </c>
      <c r="N1155" s="18"/>
      <c r="O1155" s="18"/>
      <c r="P1155" s="18" t="s">
        <v>5172</v>
      </c>
      <c r="Q1155" s="18" t="s">
        <v>134</v>
      </c>
      <c r="R1155" s="18" t="s">
        <v>5173</v>
      </c>
      <c r="S1155" s="18" t="s">
        <v>112</v>
      </c>
      <c r="T1155" s="18" t="s">
        <v>5174</v>
      </c>
      <c r="U1155" s="18" t="s">
        <v>5175</v>
      </c>
      <c r="V1155" s="19" t="s">
        <v>29</v>
      </c>
      <c r="W1155" s="19"/>
      <c r="X1155" s="19"/>
      <c r="Y1155" s="20"/>
      <c r="Z1155" s="19"/>
      <c r="AA1155" s="18" t="str">
        <f aca="false">IF(OR(V1155="Aprobada"),R1155,IF(AND(OR(V1155="Aprobada con ajuste",V1155="Rechazada"),W1155&lt;&gt;""),W1155,""))</f>
        <v/>
      </c>
    </row>
    <row r="1156" customFormat="false" ht="43.25" hidden="false" customHeight="false" outlineLevel="0" collapsed="false">
      <c r="A1156" s="18" t="s">
        <v>5176</v>
      </c>
      <c r="B1156" s="18" t="s">
        <v>64</v>
      </c>
      <c r="C1156" s="18" t="s">
        <v>65</v>
      </c>
      <c r="D1156" s="18" t="s">
        <v>5151</v>
      </c>
      <c r="E1156" s="18" t="n">
        <v>42</v>
      </c>
      <c r="F1156" s="18" t="s">
        <v>5177</v>
      </c>
      <c r="G1156" s="18" t="s">
        <v>3982</v>
      </c>
      <c r="H1156" s="18" t="s">
        <v>117</v>
      </c>
      <c r="I1156" s="18"/>
      <c r="J1156" s="18"/>
      <c r="K1156" s="18"/>
      <c r="L1156" s="18" t="s">
        <v>109</v>
      </c>
      <c r="M1156" s="18" t="s">
        <v>109</v>
      </c>
      <c r="N1156" s="18"/>
      <c r="O1156" s="18"/>
      <c r="P1156" s="18" t="s">
        <v>5178</v>
      </c>
      <c r="Q1156" s="18" t="s">
        <v>134</v>
      </c>
      <c r="R1156" s="18" t="s">
        <v>5179</v>
      </c>
      <c r="S1156" s="18" t="s">
        <v>112</v>
      </c>
      <c r="T1156" s="18" t="s">
        <v>5180</v>
      </c>
      <c r="U1156" s="18" t="s">
        <v>5175</v>
      </c>
      <c r="V1156" s="19" t="s">
        <v>29</v>
      </c>
      <c r="W1156" s="19"/>
      <c r="X1156" s="19"/>
      <c r="Y1156" s="20"/>
      <c r="Z1156" s="19"/>
      <c r="AA1156" s="18" t="str">
        <f aca="false">IF(OR(V1156="Aprobada"),R1156,IF(AND(OR(V1156="Aprobada con ajuste",V1156="Rechazada"),W1156&lt;&gt;""),W1156,""))</f>
        <v/>
      </c>
    </row>
    <row r="1157" customFormat="false" ht="43.25" hidden="false" customHeight="false" outlineLevel="0" collapsed="false">
      <c r="A1157" s="18" t="s">
        <v>5181</v>
      </c>
      <c r="B1157" s="18" t="s">
        <v>64</v>
      </c>
      <c r="C1157" s="18" t="s">
        <v>65</v>
      </c>
      <c r="D1157" s="18" t="s">
        <v>5151</v>
      </c>
      <c r="E1157" s="18" t="n">
        <v>42</v>
      </c>
      <c r="F1157" s="18" t="s">
        <v>5182</v>
      </c>
      <c r="G1157" s="18" t="s">
        <v>3982</v>
      </c>
      <c r="H1157" s="18" t="s">
        <v>117</v>
      </c>
      <c r="I1157" s="18"/>
      <c r="J1157" s="18"/>
      <c r="K1157" s="18"/>
      <c r="L1157" s="18" t="s">
        <v>109</v>
      </c>
      <c r="M1157" s="18" t="s">
        <v>109</v>
      </c>
      <c r="N1157" s="18"/>
      <c r="O1157" s="18"/>
      <c r="P1157" s="18" t="s">
        <v>5183</v>
      </c>
      <c r="Q1157" s="18" t="s">
        <v>134</v>
      </c>
      <c r="R1157" s="18" t="s">
        <v>5184</v>
      </c>
      <c r="S1157" s="18" t="s">
        <v>112</v>
      </c>
      <c r="T1157" s="18" t="s">
        <v>5180</v>
      </c>
      <c r="U1157" s="18" t="s">
        <v>5175</v>
      </c>
      <c r="V1157" s="19" t="s">
        <v>29</v>
      </c>
      <c r="W1157" s="19"/>
      <c r="X1157" s="19"/>
      <c r="Y1157" s="20"/>
      <c r="Z1157" s="19"/>
      <c r="AA1157" s="18" t="str">
        <f aca="false">IF(OR(V1157="Aprobada"),R1157,IF(AND(OR(V1157="Aprobada con ajuste",V1157="Rechazada"),W1157&lt;&gt;""),W1157,""))</f>
        <v/>
      </c>
    </row>
    <row r="1158" customFormat="false" ht="43.25" hidden="false" customHeight="false" outlineLevel="0" collapsed="false">
      <c r="A1158" s="18" t="s">
        <v>5185</v>
      </c>
      <c r="B1158" s="18" t="s">
        <v>64</v>
      </c>
      <c r="C1158" s="18" t="s">
        <v>65</v>
      </c>
      <c r="D1158" s="18" t="s">
        <v>5151</v>
      </c>
      <c r="E1158" s="18" t="n">
        <v>42</v>
      </c>
      <c r="F1158" s="18" t="s">
        <v>5186</v>
      </c>
      <c r="G1158" s="18" t="s">
        <v>324</v>
      </c>
      <c r="H1158" s="18" t="s">
        <v>109</v>
      </c>
      <c r="I1158" s="18"/>
      <c r="J1158" s="18"/>
      <c r="K1158" s="18"/>
      <c r="L1158" s="18" t="s">
        <v>109</v>
      </c>
      <c r="M1158" s="18" t="s">
        <v>109</v>
      </c>
      <c r="N1158" s="18"/>
      <c r="O1158" s="18"/>
      <c r="P1158" s="18" t="s">
        <v>5187</v>
      </c>
      <c r="Q1158" s="18" t="s">
        <v>134</v>
      </c>
      <c r="R1158" s="18" t="s">
        <v>5188</v>
      </c>
      <c r="S1158" s="18" t="s">
        <v>112</v>
      </c>
      <c r="T1158" s="18" t="s">
        <v>5189</v>
      </c>
      <c r="U1158" s="18" t="s">
        <v>5190</v>
      </c>
      <c r="V1158" s="19" t="s">
        <v>29</v>
      </c>
      <c r="W1158" s="19"/>
      <c r="X1158" s="19"/>
      <c r="Y1158" s="20"/>
      <c r="Z1158" s="19"/>
      <c r="AA1158" s="18" t="str">
        <f aca="false">IF(OR(V1158="Aprobada"),R1158,IF(AND(OR(V1158="Aprobada con ajuste",V1158="Rechazada"),W1158&lt;&gt;""),W1158,""))</f>
        <v/>
      </c>
    </row>
    <row r="1159" customFormat="false" ht="43.25" hidden="false" customHeight="false" outlineLevel="0" collapsed="false">
      <c r="A1159" s="18" t="s">
        <v>5191</v>
      </c>
      <c r="B1159" s="18" t="s">
        <v>64</v>
      </c>
      <c r="C1159" s="18" t="s">
        <v>65</v>
      </c>
      <c r="D1159" s="18" t="s">
        <v>5151</v>
      </c>
      <c r="E1159" s="18" t="n">
        <v>42</v>
      </c>
      <c r="F1159" s="18" t="s">
        <v>3927</v>
      </c>
      <c r="G1159" s="18" t="s">
        <v>934</v>
      </c>
      <c r="H1159" s="18" t="s">
        <v>117</v>
      </c>
      <c r="I1159" s="18"/>
      <c r="J1159" s="18"/>
      <c r="K1159" s="18"/>
      <c r="L1159" s="18" t="s">
        <v>109</v>
      </c>
      <c r="M1159" s="18" t="s">
        <v>109</v>
      </c>
      <c r="N1159" s="18"/>
      <c r="O1159" s="18"/>
      <c r="P1159" s="18" t="s">
        <v>5192</v>
      </c>
      <c r="Q1159" s="18" t="s">
        <v>134</v>
      </c>
      <c r="R1159" s="18" t="s">
        <v>5193</v>
      </c>
      <c r="S1159" s="18" t="s">
        <v>125</v>
      </c>
      <c r="T1159" s="18" t="s">
        <v>129</v>
      </c>
      <c r="U1159" s="18"/>
      <c r="V1159" s="19" t="s">
        <v>29</v>
      </c>
      <c r="W1159" s="19"/>
      <c r="X1159" s="19"/>
      <c r="Y1159" s="20"/>
      <c r="Z1159" s="19"/>
      <c r="AA1159" s="18" t="str">
        <f aca="false">IF(OR(V1159="Aprobada"),R1159,IF(AND(OR(V1159="Aprobada con ajuste",V1159="Rechazada"),W1159&lt;&gt;""),W1159,""))</f>
        <v/>
      </c>
    </row>
    <row r="1160" customFormat="false" ht="32.8" hidden="false" customHeight="false" outlineLevel="0" collapsed="false">
      <c r="A1160" s="18" t="s">
        <v>5194</v>
      </c>
      <c r="B1160" s="18" t="s">
        <v>64</v>
      </c>
      <c r="C1160" s="18" t="s">
        <v>65</v>
      </c>
      <c r="D1160" s="18" t="s">
        <v>5151</v>
      </c>
      <c r="E1160" s="18" t="n">
        <v>42</v>
      </c>
      <c r="F1160" s="18" t="s">
        <v>5195</v>
      </c>
      <c r="G1160" s="18" t="s">
        <v>735</v>
      </c>
      <c r="H1160" s="18" t="s">
        <v>109</v>
      </c>
      <c r="I1160" s="18"/>
      <c r="J1160" s="18"/>
      <c r="K1160" s="18"/>
      <c r="L1160" s="18" t="s">
        <v>109</v>
      </c>
      <c r="M1160" s="18" t="s">
        <v>109</v>
      </c>
      <c r="N1160" s="18"/>
      <c r="O1160" s="18"/>
      <c r="P1160" s="18" t="s">
        <v>5196</v>
      </c>
      <c r="Q1160" s="18" t="s">
        <v>134</v>
      </c>
      <c r="R1160" s="18" t="s">
        <v>5197</v>
      </c>
      <c r="S1160" s="18" t="s">
        <v>112</v>
      </c>
      <c r="T1160" s="18" t="s">
        <v>5198</v>
      </c>
      <c r="U1160" s="18" t="s">
        <v>5199</v>
      </c>
      <c r="V1160" s="19" t="s">
        <v>29</v>
      </c>
      <c r="W1160" s="19"/>
      <c r="X1160" s="19"/>
      <c r="Y1160" s="20"/>
      <c r="Z1160" s="19"/>
      <c r="AA1160" s="18" t="str">
        <f aca="false">IF(OR(V1160="Aprobada"),R1160,IF(AND(OR(V1160="Aprobada con ajuste",V1160="Rechazada"),W1160&lt;&gt;""),W1160,""))</f>
        <v/>
      </c>
    </row>
    <row r="1161" customFormat="false" ht="43.25" hidden="false" customHeight="false" outlineLevel="0" collapsed="false">
      <c r="A1161" s="18" t="s">
        <v>5200</v>
      </c>
      <c r="B1161" s="18" t="s">
        <v>64</v>
      </c>
      <c r="C1161" s="18" t="s">
        <v>65</v>
      </c>
      <c r="D1161" s="18" t="s">
        <v>5151</v>
      </c>
      <c r="E1161" s="18" t="n">
        <v>42</v>
      </c>
      <c r="F1161" s="18" t="s">
        <v>857</v>
      </c>
      <c r="G1161" s="18" t="s">
        <v>145</v>
      </c>
      <c r="H1161" s="18" t="s">
        <v>109</v>
      </c>
      <c r="I1161" s="18"/>
      <c r="J1161" s="18"/>
      <c r="K1161" s="18"/>
      <c r="L1161" s="18" t="s">
        <v>109</v>
      </c>
      <c r="M1161" s="18" t="s">
        <v>109</v>
      </c>
      <c r="N1161" s="18"/>
      <c r="O1161" s="18" t="s">
        <v>5201</v>
      </c>
      <c r="P1161" s="18" t="s">
        <v>5202</v>
      </c>
      <c r="Q1161" s="18" t="s">
        <v>110</v>
      </c>
      <c r="R1161" s="18" t="s">
        <v>859</v>
      </c>
      <c r="S1161" s="18" t="s">
        <v>112</v>
      </c>
      <c r="T1161" s="18" t="s">
        <v>113</v>
      </c>
      <c r="U1161" s="18"/>
      <c r="V1161" s="19" t="s">
        <v>29</v>
      </c>
      <c r="W1161" s="19"/>
      <c r="X1161" s="19"/>
      <c r="Y1161" s="20"/>
      <c r="Z1161" s="19"/>
      <c r="AA1161" s="18" t="str">
        <f aca="false">IF(OR(V1161="Aprobada"),R1161,IF(AND(OR(V1161="Aprobada con ajuste",V1161="Rechazada"),W1161&lt;&gt;""),W1161,""))</f>
        <v/>
      </c>
    </row>
    <row r="1162" customFormat="false" ht="53.7" hidden="false" customHeight="false" outlineLevel="0" collapsed="false">
      <c r="A1162" s="18" t="s">
        <v>5203</v>
      </c>
      <c r="B1162" s="18" t="s">
        <v>64</v>
      </c>
      <c r="C1162" s="18" t="s">
        <v>65</v>
      </c>
      <c r="D1162" s="18" t="s">
        <v>5204</v>
      </c>
      <c r="E1162" s="18" t="n">
        <v>8</v>
      </c>
      <c r="F1162" s="18" t="s">
        <v>3855</v>
      </c>
      <c r="G1162" s="18" t="s">
        <v>414</v>
      </c>
      <c r="H1162" s="18" t="s">
        <v>109</v>
      </c>
      <c r="I1162" s="18" t="s">
        <v>409</v>
      </c>
      <c r="J1162" s="18"/>
      <c r="K1162" s="18"/>
      <c r="L1162" s="18" t="s">
        <v>109</v>
      </c>
      <c r="M1162" s="18" t="s">
        <v>109</v>
      </c>
      <c r="N1162" s="18"/>
      <c r="O1162" s="18" t="s">
        <v>5205</v>
      </c>
      <c r="P1162" s="18" t="s">
        <v>5206</v>
      </c>
      <c r="Q1162" s="18" t="s">
        <v>134</v>
      </c>
      <c r="R1162" s="18" t="s">
        <v>5207</v>
      </c>
      <c r="S1162" s="18" t="s">
        <v>125</v>
      </c>
      <c r="T1162" s="18" t="s">
        <v>4162</v>
      </c>
      <c r="U1162" s="18"/>
      <c r="V1162" s="19" t="s">
        <v>29</v>
      </c>
      <c r="W1162" s="19"/>
      <c r="X1162" s="19"/>
      <c r="Y1162" s="20"/>
      <c r="Z1162" s="19"/>
      <c r="AA1162" s="18" t="str">
        <f aca="false">IF(OR(V1162="Aprobada"),R1162,IF(AND(OR(V1162="Aprobada con ajuste",V1162="Rechazada"),W1162&lt;&gt;""),W1162,""))</f>
        <v/>
      </c>
    </row>
    <row r="1163" customFormat="false" ht="43.25" hidden="false" customHeight="false" outlineLevel="0" collapsed="false">
      <c r="A1163" s="18" t="s">
        <v>5208</v>
      </c>
      <c r="B1163" s="18" t="s">
        <v>64</v>
      </c>
      <c r="C1163" s="18" t="s">
        <v>65</v>
      </c>
      <c r="D1163" s="18" t="s">
        <v>5204</v>
      </c>
      <c r="E1163" s="18" t="n">
        <v>8</v>
      </c>
      <c r="F1163" s="18" t="s">
        <v>5209</v>
      </c>
      <c r="G1163" s="18" t="s">
        <v>145</v>
      </c>
      <c r="H1163" s="18" t="s">
        <v>109</v>
      </c>
      <c r="I1163" s="18"/>
      <c r="J1163" s="18"/>
      <c r="K1163" s="18"/>
      <c r="L1163" s="18" t="s">
        <v>109</v>
      </c>
      <c r="M1163" s="18" t="s">
        <v>109</v>
      </c>
      <c r="N1163" s="18"/>
      <c r="O1163" s="18"/>
      <c r="P1163" s="18" t="s">
        <v>5210</v>
      </c>
      <c r="Q1163" s="18" t="s">
        <v>110</v>
      </c>
      <c r="R1163" s="18" t="s">
        <v>5211</v>
      </c>
      <c r="S1163" s="18" t="s">
        <v>112</v>
      </c>
      <c r="T1163" s="18" t="s">
        <v>113</v>
      </c>
      <c r="U1163" s="18"/>
      <c r="V1163" s="19" t="s">
        <v>29</v>
      </c>
      <c r="W1163" s="19"/>
      <c r="X1163" s="19"/>
      <c r="Y1163" s="20"/>
      <c r="Z1163" s="19"/>
      <c r="AA1163" s="18" t="str">
        <f aca="false">IF(OR(V1163="Aprobada"),R1163,IF(AND(OR(V1163="Aprobada con ajuste",V1163="Rechazada"),W1163&lt;&gt;""),W1163,""))</f>
        <v/>
      </c>
    </row>
    <row r="1164" customFormat="false" ht="43.25" hidden="false" customHeight="false" outlineLevel="0" collapsed="false">
      <c r="A1164" s="18" t="s">
        <v>5212</v>
      </c>
      <c r="B1164" s="18" t="s">
        <v>64</v>
      </c>
      <c r="C1164" s="18" t="s">
        <v>65</v>
      </c>
      <c r="D1164" s="18" t="s">
        <v>5204</v>
      </c>
      <c r="E1164" s="18" t="n">
        <v>8</v>
      </c>
      <c r="F1164" s="18" t="s">
        <v>4409</v>
      </c>
      <c r="G1164" s="18" t="s">
        <v>4397</v>
      </c>
      <c r="H1164" s="18" t="s">
        <v>109</v>
      </c>
      <c r="I1164" s="18"/>
      <c r="J1164" s="18"/>
      <c r="K1164" s="18"/>
      <c r="L1164" s="18" t="s">
        <v>109</v>
      </c>
      <c r="M1164" s="18" t="s">
        <v>109</v>
      </c>
      <c r="N1164" s="18"/>
      <c r="O1164" s="18"/>
      <c r="P1164" s="18" t="s">
        <v>5213</v>
      </c>
      <c r="Q1164" s="18" t="s">
        <v>134</v>
      </c>
      <c r="R1164" s="18" t="s">
        <v>5214</v>
      </c>
      <c r="S1164" s="18" t="s">
        <v>112</v>
      </c>
      <c r="T1164" s="18" t="s">
        <v>5146</v>
      </c>
      <c r="U1164" s="18" t="s">
        <v>5215</v>
      </c>
      <c r="V1164" s="19" t="s">
        <v>29</v>
      </c>
      <c r="W1164" s="19"/>
      <c r="X1164" s="19"/>
      <c r="Y1164" s="20"/>
      <c r="Z1164" s="19"/>
      <c r="AA1164" s="18" t="str">
        <f aca="false">IF(OR(V1164="Aprobada"),R1164,IF(AND(OR(V1164="Aprobada con ajuste",V1164="Rechazada"),W1164&lt;&gt;""),W1164,""))</f>
        <v/>
      </c>
    </row>
    <row r="1165" customFormat="false" ht="43.25" hidden="false" customHeight="false" outlineLevel="0" collapsed="false">
      <c r="A1165" s="18" t="s">
        <v>5216</v>
      </c>
      <c r="B1165" s="18" t="s">
        <v>64</v>
      </c>
      <c r="C1165" s="18" t="s">
        <v>65</v>
      </c>
      <c r="D1165" s="18" t="s">
        <v>5204</v>
      </c>
      <c r="E1165" s="18" t="n">
        <v>8</v>
      </c>
      <c r="F1165" s="18" t="s">
        <v>5217</v>
      </c>
      <c r="G1165" s="18" t="s">
        <v>414</v>
      </c>
      <c r="H1165" s="18" t="s">
        <v>117</v>
      </c>
      <c r="I1165" s="18"/>
      <c r="J1165" s="18"/>
      <c r="K1165" s="18"/>
      <c r="L1165" s="18" t="s">
        <v>109</v>
      </c>
      <c r="M1165" s="18" t="s">
        <v>109</v>
      </c>
      <c r="N1165" s="18"/>
      <c r="O1165" s="18"/>
      <c r="P1165" s="18" t="s">
        <v>5218</v>
      </c>
      <c r="Q1165" s="18" t="s">
        <v>134</v>
      </c>
      <c r="R1165" s="18" t="s">
        <v>5219</v>
      </c>
      <c r="S1165" s="18" t="s">
        <v>125</v>
      </c>
      <c r="T1165" s="18" t="s">
        <v>129</v>
      </c>
      <c r="U1165" s="18"/>
      <c r="V1165" s="19" t="s">
        <v>29</v>
      </c>
      <c r="W1165" s="19"/>
      <c r="X1165" s="19"/>
      <c r="Y1165" s="20"/>
      <c r="Z1165" s="19"/>
      <c r="AA1165" s="18" t="str">
        <f aca="false">IF(OR(V1165="Aprobada"),R1165,IF(AND(OR(V1165="Aprobada con ajuste",V1165="Rechazada"),W1165&lt;&gt;""),W1165,""))</f>
        <v/>
      </c>
    </row>
    <row r="1166" customFormat="false" ht="43.25" hidden="false" customHeight="false" outlineLevel="0" collapsed="false">
      <c r="A1166" s="18" t="s">
        <v>5220</v>
      </c>
      <c r="B1166" s="18" t="s">
        <v>64</v>
      </c>
      <c r="C1166" s="18" t="s">
        <v>65</v>
      </c>
      <c r="D1166" s="18" t="s">
        <v>5204</v>
      </c>
      <c r="E1166" s="18" t="n">
        <v>8</v>
      </c>
      <c r="F1166" s="18" t="s">
        <v>857</v>
      </c>
      <c r="G1166" s="18" t="s">
        <v>145</v>
      </c>
      <c r="H1166" s="18" t="s">
        <v>109</v>
      </c>
      <c r="I1166" s="18"/>
      <c r="J1166" s="18"/>
      <c r="K1166" s="18"/>
      <c r="L1166" s="18" t="s">
        <v>109</v>
      </c>
      <c r="M1166" s="18" t="s">
        <v>109</v>
      </c>
      <c r="N1166" s="18"/>
      <c r="O1166" s="18"/>
      <c r="P1166" s="18" t="s">
        <v>5221</v>
      </c>
      <c r="Q1166" s="18" t="s">
        <v>110</v>
      </c>
      <c r="R1166" s="18" t="s">
        <v>859</v>
      </c>
      <c r="S1166" s="18" t="s">
        <v>112</v>
      </c>
      <c r="T1166" s="18" t="s">
        <v>113</v>
      </c>
      <c r="U1166" s="18"/>
      <c r="V1166" s="19" t="s">
        <v>29</v>
      </c>
      <c r="W1166" s="19"/>
      <c r="X1166" s="19"/>
      <c r="Y1166" s="20"/>
      <c r="Z1166" s="19"/>
      <c r="AA1166" s="18" t="str">
        <f aca="false">IF(OR(V1166="Aprobada"),R1166,IF(AND(OR(V1166="Aprobada con ajuste",V1166="Rechazada"),W1166&lt;&gt;""),W1166,""))</f>
        <v/>
      </c>
    </row>
    <row r="1167" customFormat="false" ht="43.25" hidden="false" customHeight="false" outlineLevel="0" collapsed="false">
      <c r="A1167" s="18" t="s">
        <v>5222</v>
      </c>
      <c r="B1167" s="18" t="s">
        <v>64</v>
      </c>
      <c r="C1167" s="18" t="s">
        <v>65</v>
      </c>
      <c r="D1167" s="18" t="s">
        <v>5223</v>
      </c>
      <c r="E1167" s="18" t="n">
        <v>11</v>
      </c>
      <c r="F1167" s="18" t="s">
        <v>3855</v>
      </c>
      <c r="G1167" s="18" t="s">
        <v>414</v>
      </c>
      <c r="H1167" s="18" t="s">
        <v>109</v>
      </c>
      <c r="I1167" s="18"/>
      <c r="J1167" s="18"/>
      <c r="K1167" s="18"/>
      <c r="L1167" s="18" t="s">
        <v>109</v>
      </c>
      <c r="M1167" s="18" t="s">
        <v>109</v>
      </c>
      <c r="N1167" s="18"/>
      <c r="O1167" s="18" t="s">
        <v>5224</v>
      </c>
      <c r="P1167" s="18" t="s">
        <v>5225</v>
      </c>
      <c r="Q1167" s="18" t="s">
        <v>134</v>
      </c>
      <c r="R1167" s="18" t="s">
        <v>5226</v>
      </c>
      <c r="S1167" s="18" t="s">
        <v>125</v>
      </c>
      <c r="T1167" s="18" t="s">
        <v>5227</v>
      </c>
      <c r="U1167" s="18"/>
      <c r="V1167" s="19" t="s">
        <v>29</v>
      </c>
      <c r="W1167" s="19"/>
      <c r="X1167" s="19"/>
      <c r="Y1167" s="20"/>
      <c r="Z1167" s="19"/>
      <c r="AA1167" s="18" t="str">
        <f aca="false">IF(OR(V1167="Aprobada"),R1167,IF(AND(OR(V1167="Aprobada con ajuste",V1167="Rechazada"),W1167&lt;&gt;""),W1167,""))</f>
        <v/>
      </c>
    </row>
    <row r="1168" customFormat="false" ht="43.25" hidden="false" customHeight="false" outlineLevel="0" collapsed="false">
      <c r="A1168" s="18" t="s">
        <v>5228</v>
      </c>
      <c r="B1168" s="18" t="s">
        <v>64</v>
      </c>
      <c r="C1168" s="18" t="s">
        <v>65</v>
      </c>
      <c r="D1168" s="18" t="s">
        <v>5223</v>
      </c>
      <c r="E1168" s="18" t="n">
        <v>11</v>
      </c>
      <c r="F1168" s="18" t="s">
        <v>5229</v>
      </c>
      <c r="G1168" s="18" t="s">
        <v>139</v>
      </c>
      <c r="H1168" s="18" t="s">
        <v>117</v>
      </c>
      <c r="I1168" s="18"/>
      <c r="J1168" s="18"/>
      <c r="K1168" s="18"/>
      <c r="L1168" s="18" t="s">
        <v>109</v>
      </c>
      <c r="M1168" s="18" t="s">
        <v>109</v>
      </c>
      <c r="N1168" s="18"/>
      <c r="O1168" s="18" t="s">
        <v>5230</v>
      </c>
      <c r="P1168" s="18" t="s">
        <v>5231</v>
      </c>
      <c r="Q1168" s="18" t="s">
        <v>134</v>
      </c>
      <c r="R1168" s="18" t="s">
        <v>5232</v>
      </c>
      <c r="S1168" s="18" t="s">
        <v>112</v>
      </c>
      <c r="T1168" s="18" t="s">
        <v>4394</v>
      </c>
      <c r="U1168" s="18" t="s">
        <v>5233</v>
      </c>
      <c r="V1168" s="19" t="s">
        <v>29</v>
      </c>
      <c r="W1168" s="19"/>
      <c r="X1168" s="19"/>
      <c r="Y1168" s="20"/>
      <c r="Z1168" s="19"/>
      <c r="AA1168" s="18" t="str">
        <f aca="false">IF(OR(V1168="Aprobada"),R1168,IF(AND(OR(V1168="Aprobada con ajuste",V1168="Rechazada"),W1168&lt;&gt;""),W1168,""))</f>
        <v/>
      </c>
    </row>
    <row r="1169" customFormat="false" ht="43.25" hidden="false" customHeight="false" outlineLevel="0" collapsed="false">
      <c r="A1169" s="18" t="s">
        <v>5234</v>
      </c>
      <c r="B1169" s="18" t="s">
        <v>64</v>
      </c>
      <c r="C1169" s="18" t="s">
        <v>65</v>
      </c>
      <c r="D1169" s="18" t="s">
        <v>5223</v>
      </c>
      <c r="E1169" s="18" t="n">
        <v>11</v>
      </c>
      <c r="F1169" s="18" t="s">
        <v>5235</v>
      </c>
      <c r="G1169" s="18" t="s">
        <v>414</v>
      </c>
      <c r="H1169" s="18" t="s">
        <v>117</v>
      </c>
      <c r="I1169" s="18"/>
      <c r="J1169" s="18"/>
      <c r="K1169" s="18"/>
      <c r="L1169" s="18" t="s">
        <v>109</v>
      </c>
      <c r="M1169" s="18" t="s">
        <v>109</v>
      </c>
      <c r="N1169" s="18"/>
      <c r="O1169" s="18"/>
      <c r="P1169" s="18" t="s">
        <v>5236</v>
      </c>
      <c r="Q1169" s="18" t="s">
        <v>134</v>
      </c>
      <c r="R1169" s="18" t="s">
        <v>5237</v>
      </c>
      <c r="S1169" s="18" t="s">
        <v>125</v>
      </c>
      <c r="T1169" s="18" t="s">
        <v>129</v>
      </c>
      <c r="U1169" s="18"/>
      <c r="V1169" s="19" t="s">
        <v>29</v>
      </c>
      <c r="W1169" s="19"/>
      <c r="X1169" s="19"/>
      <c r="Y1169" s="20"/>
      <c r="Z1169" s="19"/>
      <c r="AA1169" s="18" t="str">
        <f aca="false">IF(OR(V1169="Aprobada"),R1169,IF(AND(OR(V1169="Aprobada con ajuste",V1169="Rechazada"),W1169&lt;&gt;""),W1169,""))</f>
        <v/>
      </c>
    </row>
    <row r="1170" customFormat="false" ht="43.25" hidden="false" customHeight="false" outlineLevel="0" collapsed="false">
      <c r="A1170" s="18" t="s">
        <v>5238</v>
      </c>
      <c r="B1170" s="18" t="s">
        <v>64</v>
      </c>
      <c r="C1170" s="18" t="s">
        <v>65</v>
      </c>
      <c r="D1170" s="18" t="s">
        <v>5223</v>
      </c>
      <c r="E1170" s="18" t="n">
        <v>11</v>
      </c>
      <c r="F1170" s="18" t="s">
        <v>5239</v>
      </c>
      <c r="G1170" s="18" t="s">
        <v>486</v>
      </c>
      <c r="H1170" s="18" t="s">
        <v>109</v>
      </c>
      <c r="I1170" s="18"/>
      <c r="J1170" s="18"/>
      <c r="K1170" s="18"/>
      <c r="L1170" s="18" t="s">
        <v>109</v>
      </c>
      <c r="M1170" s="18" t="s">
        <v>109</v>
      </c>
      <c r="N1170" s="18"/>
      <c r="O1170" s="18"/>
      <c r="P1170" s="18" t="s">
        <v>5240</v>
      </c>
      <c r="Q1170" s="18" t="s">
        <v>134</v>
      </c>
      <c r="R1170" s="18" t="s">
        <v>5241</v>
      </c>
      <c r="S1170" s="18" t="s">
        <v>112</v>
      </c>
      <c r="T1170" s="18" t="s">
        <v>4185</v>
      </c>
      <c r="U1170" s="18" t="s">
        <v>5242</v>
      </c>
      <c r="V1170" s="19" t="s">
        <v>29</v>
      </c>
      <c r="W1170" s="19"/>
      <c r="X1170" s="19"/>
      <c r="Y1170" s="20"/>
      <c r="Z1170" s="19"/>
      <c r="AA1170" s="18" t="str">
        <f aca="false">IF(OR(V1170="Aprobada"),R1170,IF(AND(OR(V1170="Aprobada con ajuste",V1170="Rechazada"),W1170&lt;&gt;""),W1170,""))</f>
        <v/>
      </c>
    </row>
    <row r="1171" customFormat="false" ht="43.25" hidden="false" customHeight="false" outlineLevel="0" collapsed="false">
      <c r="A1171" s="18" t="s">
        <v>5243</v>
      </c>
      <c r="B1171" s="18" t="s">
        <v>64</v>
      </c>
      <c r="C1171" s="18" t="s">
        <v>65</v>
      </c>
      <c r="D1171" s="18" t="s">
        <v>5223</v>
      </c>
      <c r="E1171" s="18" t="n">
        <v>11</v>
      </c>
      <c r="F1171" s="18" t="s">
        <v>5244</v>
      </c>
      <c r="G1171" s="18" t="s">
        <v>4397</v>
      </c>
      <c r="H1171" s="18" t="s">
        <v>109</v>
      </c>
      <c r="I1171" s="18"/>
      <c r="J1171" s="18"/>
      <c r="K1171" s="18"/>
      <c r="L1171" s="18" t="s">
        <v>109</v>
      </c>
      <c r="M1171" s="18" t="s">
        <v>109</v>
      </c>
      <c r="N1171" s="18"/>
      <c r="O1171" s="18"/>
      <c r="P1171" s="18" t="s">
        <v>5245</v>
      </c>
      <c r="Q1171" s="18" t="s">
        <v>134</v>
      </c>
      <c r="R1171" s="18" t="s">
        <v>5246</v>
      </c>
      <c r="S1171" s="18" t="s">
        <v>112</v>
      </c>
      <c r="T1171" s="18" t="s">
        <v>5247</v>
      </c>
      <c r="U1171" s="18" t="s">
        <v>5248</v>
      </c>
      <c r="V1171" s="19" t="s">
        <v>29</v>
      </c>
      <c r="W1171" s="19"/>
      <c r="X1171" s="19"/>
      <c r="Y1171" s="20"/>
      <c r="Z1171" s="19"/>
      <c r="AA1171" s="18" t="str">
        <f aca="false">IF(OR(V1171="Aprobada"),R1171,IF(AND(OR(V1171="Aprobada con ajuste",V1171="Rechazada"),W1171&lt;&gt;""),W1171,""))</f>
        <v/>
      </c>
    </row>
    <row r="1172" customFormat="false" ht="43.25" hidden="false" customHeight="false" outlineLevel="0" collapsed="false">
      <c r="A1172" s="18" t="s">
        <v>5249</v>
      </c>
      <c r="B1172" s="18" t="s">
        <v>64</v>
      </c>
      <c r="C1172" s="18" t="s">
        <v>65</v>
      </c>
      <c r="D1172" s="18" t="s">
        <v>5223</v>
      </c>
      <c r="E1172" s="18" t="n">
        <v>11</v>
      </c>
      <c r="F1172" s="18" t="s">
        <v>857</v>
      </c>
      <c r="G1172" s="18" t="s">
        <v>145</v>
      </c>
      <c r="H1172" s="18" t="s">
        <v>109</v>
      </c>
      <c r="I1172" s="18"/>
      <c r="J1172" s="18"/>
      <c r="K1172" s="18"/>
      <c r="L1172" s="18" t="s">
        <v>109</v>
      </c>
      <c r="M1172" s="18" t="s">
        <v>109</v>
      </c>
      <c r="N1172" s="18"/>
      <c r="O1172" s="18"/>
      <c r="P1172" s="18" t="s">
        <v>5250</v>
      </c>
      <c r="Q1172" s="18" t="s">
        <v>110</v>
      </c>
      <c r="R1172" s="18" t="s">
        <v>859</v>
      </c>
      <c r="S1172" s="18" t="s">
        <v>112</v>
      </c>
      <c r="T1172" s="18" t="s">
        <v>113</v>
      </c>
      <c r="U1172" s="18"/>
      <c r="V1172" s="19" t="s">
        <v>29</v>
      </c>
      <c r="W1172" s="19"/>
      <c r="X1172" s="19"/>
      <c r="Y1172" s="20"/>
      <c r="Z1172" s="19"/>
      <c r="AA1172" s="18" t="str">
        <f aca="false">IF(OR(V1172="Aprobada"),R1172,IF(AND(OR(V1172="Aprobada con ajuste",V1172="Rechazada"),W1172&lt;&gt;""),W1172,""))</f>
        <v/>
      </c>
    </row>
    <row r="1173" customFormat="false" ht="43.25" hidden="false" customHeight="false" outlineLevel="0" collapsed="false">
      <c r="A1173" s="18" t="s">
        <v>5251</v>
      </c>
      <c r="B1173" s="18" t="s">
        <v>64</v>
      </c>
      <c r="C1173" s="18" t="s">
        <v>65</v>
      </c>
      <c r="D1173" s="18" t="s">
        <v>5252</v>
      </c>
      <c r="E1173" s="18" t="n">
        <v>15</v>
      </c>
      <c r="F1173" s="18" t="s">
        <v>408</v>
      </c>
      <c r="G1173" s="18" t="s">
        <v>324</v>
      </c>
      <c r="H1173" s="18" t="s">
        <v>109</v>
      </c>
      <c r="I1173" s="18" t="s">
        <v>409</v>
      </c>
      <c r="J1173" s="18"/>
      <c r="K1173" s="18"/>
      <c r="L1173" s="18" t="s">
        <v>117</v>
      </c>
      <c r="M1173" s="18" t="s">
        <v>109</v>
      </c>
      <c r="N1173" s="18"/>
      <c r="O1173" s="18" t="s">
        <v>5253</v>
      </c>
      <c r="P1173" s="18" t="s">
        <v>5254</v>
      </c>
      <c r="Q1173" s="18" t="s">
        <v>110</v>
      </c>
      <c r="R1173" s="18" t="s">
        <v>5255</v>
      </c>
      <c r="S1173" s="18" t="s">
        <v>112</v>
      </c>
      <c r="T1173" s="18" t="s">
        <v>113</v>
      </c>
      <c r="U1173" s="18"/>
      <c r="V1173" s="19" t="s">
        <v>29</v>
      </c>
      <c r="W1173" s="19"/>
      <c r="X1173" s="19"/>
      <c r="Y1173" s="20"/>
      <c r="Z1173" s="19"/>
      <c r="AA1173" s="18" t="str">
        <f aca="false">IF(OR(V1173="Aprobada"),R1173,IF(AND(OR(V1173="Aprobada con ajuste",V1173="Rechazada"),W1173&lt;&gt;""),W1173,""))</f>
        <v/>
      </c>
    </row>
    <row r="1174" customFormat="false" ht="43.25" hidden="false" customHeight="false" outlineLevel="0" collapsed="false">
      <c r="A1174" s="18" t="s">
        <v>5256</v>
      </c>
      <c r="B1174" s="18" t="s">
        <v>64</v>
      </c>
      <c r="C1174" s="18" t="s">
        <v>65</v>
      </c>
      <c r="D1174" s="18" t="s">
        <v>5252</v>
      </c>
      <c r="E1174" s="18" t="n">
        <v>15</v>
      </c>
      <c r="F1174" s="18" t="s">
        <v>129</v>
      </c>
      <c r="G1174" s="18" t="s">
        <v>414</v>
      </c>
      <c r="H1174" s="18" t="s">
        <v>109</v>
      </c>
      <c r="I1174" s="18"/>
      <c r="J1174" s="18"/>
      <c r="K1174" s="18"/>
      <c r="L1174" s="18" t="s">
        <v>117</v>
      </c>
      <c r="M1174" s="18" t="s">
        <v>109</v>
      </c>
      <c r="N1174" s="18"/>
      <c r="O1174" s="18"/>
      <c r="P1174" s="18" t="s">
        <v>5257</v>
      </c>
      <c r="Q1174" s="18" t="s">
        <v>110</v>
      </c>
      <c r="R1174" s="18" t="s">
        <v>5258</v>
      </c>
      <c r="S1174" s="18" t="s">
        <v>112</v>
      </c>
      <c r="T1174" s="18" t="s">
        <v>113</v>
      </c>
      <c r="U1174" s="18"/>
      <c r="V1174" s="19" t="s">
        <v>29</v>
      </c>
      <c r="W1174" s="19"/>
      <c r="X1174" s="19"/>
      <c r="Y1174" s="20"/>
      <c r="Z1174" s="19"/>
      <c r="AA1174" s="18" t="str">
        <f aca="false">IF(OR(V1174="Aprobada"),R1174,IF(AND(OR(V1174="Aprobada con ajuste",V1174="Rechazada"),W1174&lt;&gt;""),W1174,""))</f>
        <v/>
      </c>
    </row>
    <row r="1175" customFormat="false" ht="43.25" hidden="false" customHeight="false" outlineLevel="0" collapsed="false">
      <c r="A1175" s="18" t="s">
        <v>5259</v>
      </c>
      <c r="B1175" s="18" t="s">
        <v>64</v>
      </c>
      <c r="C1175" s="18" t="s">
        <v>65</v>
      </c>
      <c r="D1175" s="18" t="s">
        <v>5252</v>
      </c>
      <c r="E1175" s="18" t="n">
        <v>15</v>
      </c>
      <c r="F1175" s="18" t="s">
        <v>1018</v>
      </c>
      <c r="G1175" s="18" t="s">
        <v>934</v>
      </c>
      <c r="H1175" s="18" t="s">
        <v>117</v>
      </c>
      <c r="I1175" s="18"/>
      <c r="J1175" s="18"/>
      <c r="K1175" s="18"/>
      <c r="L1175" s="18" t="s">
        <v>117</v>
      </c>
      <c r="M1175" s="18" t="s">
        <v>109</v>
      </c>
      <c r="N1175" s="18"/>
      <c r="O1175" s="18"/>
      <c r="P1175" s="18" t="s">
        <v>5260</v>
      </c>
      <c r="Q1175" s="18" t="s">
        <v>110</v>
      </c>
      <c r="R1175" s="18" t="s">
        <v>5261</v>
      </c>
      <c r="S1175" s="18" t="s">
        <v>112</v>
      </c>
      <c r="T1175" s="18" t="s">
        <v>113</v>
      </c>
      <c r="U1175" s="18"/>
      <c r="V1175" s="19" t="s">
        <v>29</v>
      </c>
      <c r="W1175" s="19"/>
      <c r="X1175" s="19"/>
      <c r="Y1175" s="20"/>
      <c r="Z1175" s="19"/>
      <c r="AA1175" s="18" t="str">
        <f aca="false">IF(OR(V1175="Aprobada"),R1175,IF(AND(OR(V1175="Aprobada con ajuste",V1175="Rechazada"),W1175&lt;&gt;""),W1175,""))</f>
        <v/>
      </c>
    </row>
    <row r="1176" customFormat="false" ht="43.25" hidden="false" customHeight="false" outlineLevel="0" collapsed="false">
      <c r="A1176" s="18" t="s">
        <v>5262</v>
      </c>
      <c r="B1176" s="18" t="s">
        <v>64</v>
      </c>
      <c r="C1176" s="18" t="s">
        <v>65</v>
      </c>
      <c r="D1176" s="18" t="s">
        <v>5252</v>
      </c>
      <c r="E1176" s="18" t="n">
        <v>15</v>
      </c>
      <c r="F1176" s="18" t="s">
        <v>857</v>
      </c>
      <c r="G1176" s="18" t="s">
        <v>145</v>
      </c>
      <c r="H1176" s="18" t="s">
        <v>109</v>
      </c>
      <c r="I1176" s="18"/>
      <c r="J1176" s="18"/>
      <c r="K1176" s="18"/>
      <c r="L1176" s="18" t="s">
        <v>117</v>
      </c>
      <c r="M1176" s="18" t="s">
        <v>109</v>
      </c>
      <c r="N1176" s="18"/>
      <c r="O1176" s="18"/>
      <c r="P1176" s="18" t="s">
        <v>5263</v>
      </c>
      <c r="Q1176" s="18" t="s">
        <v>110</v>
      </c>
      <c r="R1176" s="18" t="s">
        <v>859</v>
      </c>
      <c r="S1176" s="18" t="s">
        <v>112</v>
      </c>
      <c r="T1176" s="18" t="s">
        <v>113</v>
      </c>
      <c r="U1176" s="18"/>
      <c r="V1176" s="19" t="s">
        <v>29</v>
      </c>
      <c r="W1176" s="19"/>
      <c r="X1176" s="19"/>
      <c r="Y1176" s="20"/>
      <c r="Z1176" s="19"/>
      <c r="AA1176" s="18" t="str">
        <f aca="false">IF(OR(V1176="Aprobada"),R1176,IF(AND(OR(V1176="Aprobada con ajuste",V1176="Rechazada"),W1176&lt;&gt;""),W1176,""))</f>
        <v/>
      </c>
    </row>
    <row r="1177" customFormat="false" ht="43.25" hidden="false" customHeight="false" outlineLevel="0" collapsed="false">
      <c r="A1177" s="18" t="s">
        <v>5264</v>
      </c>
      <c r="B1177" s="18" t="s">
        <v>64</v>
      </c>
      <c r="C1177" s="18" t="s">
        <v>65</v>
      </c>
      <c r="D1177" s="18" t="s">
        <v>5252</v>
      </c>
      <c r="E1177" s="18" t="n">
        <v>15</v>
      </c>
      <c r="F1177" s="18" t="s">
        <v>5265</v>
      </c>
      <c r="G1177" s="18" t="s">
        <v>116</v>
      </c>
      <c r="H1177" s="18" t="s">
        <v>117</v>
      </c>
      <c r="I1177" s="18"/>
      <c r="J1177" s="18"/>
      <c r="K1177" s="18"/>
      <c r="L1177" s="18" t="s">
        <v>117</v>
      </c>
      <c r="M1177" s="18" t="s">
        <v>109</v>
      </c>
      <c r="N1177" s="18"/>
      <c r="O1177" s="18"/>
      <c r="P1177" s="18" t="s">
        <v>5266</v>
      </c>
      <c r="Q1177" s="18" t="s">
        <v>134</v>
      </c>
      <c r="R1177" s="18" t="s">
        <v>5267</v>
      </c>
      <c r="S1177" s="18" t="s">
        <v>112</v>
      </c>
      <c r="T1177" s="18" t="s">
        <v>5268</v>
      </c>
      <c r="U1177" s="18" t="s">
        <v>5269</v>
      </c>
      <c r="V1177" s="19" t="s">
        <v>29</v>
      </c>
      <c r="W1177" s="19"/>
      <c r="X1177" s="19"/>
      <c r="Y1177" s="20"/>
      <c r="Z1177" s="19"/>
      <c r="AA1177" s="18" t="str">
        <f aca="false">IF(OR(V1177="Aprobada"),R1177,IF(AND(OR(V1177="Aprobada con ajuste",V1177="Rechazada"),W1177&lt;&gt;""),W1177,""))</f>
        <v/>
      </c>
    </row>
    <row r="1178" customFormat="false" ht="43.25" hidden="false" customHeight="false" outlineLevel="0" collapsed="false">
      <c r="A1178" s="18" t="s">
        <v>5270</v>
      </c>
      <c r="B1178" s="18" t="s">
        <v>64</v>
      </c>
      <c r="C1178" s="18" t="s">
        <v>65</v>
      </c>
      <c r="D1178" s="18" t="s">
        <v>5252</v>
      </c>
      <c r="E1178" s="18" t="n">
        <v>15</v>
      </c>
      <c r="F1178" s="18" t="s">
        <v>5271</v>
      </c>
      <c r="G1178" s="18" t="s">
        <v>212</v>
      </c>
      <c r="H1178" s="18" t="s">
        <v>117</v>
      </c>
      <c r="I1178" s="18"/>
      <c r="J1178" s="18"/>
      <c r="K1178" s="18"/>
      <c r="L1178" s="18" t="s">
        <v>117</v>
      </c>
      <c r="M1178" s="18" t="s">
        <v>109</v>
      </c>
      <c r="N1178" s="18"/>
      <c r="O1178" s="18"/>
      <c r="P1178" s="18" t="s">
        <v>5272</v>
      </c>
      <c r="Q1178" s="18" t="s">
        <v>134</v>
      </c>
      <c r="R1178" s="18" t="s">
        <v>5273</v>
      </c>
      <c r="S1178" s="18" t="s">
        <v>112</v>
      </c>
      <c r="T1178" s="18" t="s">
        <v>4331</v>
      </c>
      <c r="U1178" s="18" t="s">
        <v>5274</v>
      </c>
      <c r="V1178" s="19" t="s">
        <v>29</v>
      </c>
      <c r="W1178" s="19"/>
      <c r="X1178" s="19"/>
      <c r="Y1178" s="20"/>
      <c r="Z1178" s="19"/>
      <c r="AA1178" s="18" t="str">
        <f aca="false">IF(OR(V1178="Aprobada"),R1178,IF(AND(OR(V1178="Aprobada con ajuste",V1178="Rechazada"),W1178&lt;&gt;""),W1178,""))</f>
        <v/>
      </c>
    </row>
    <row r="1179" customFormat="false" ht="32.8" hidden="false" customHeight="false" outlineLevel="0" collapsed="false">
      <c r="A1179" s="18" t="s">
        <v>5275</v>
      </c>
      <c r="B1179" s="18" t="s">
        <v>66</v>
      </c>
      <c r="C1179" s="18" t="s">
        <v>67</v>
      </c>
      <c r="D1179" s="18" t="s">
        <v>5276</v>
      </c>
      <c r="E1179" s="18" t="n">
        <v>0</v>
      </c>
      <c r="F1179" s="18" t="s">
        <v>2932</v>
      </c>
      <c r="G1179" s="18" t="s">
        <v>249</v>
      </c>
      <c r="H1179" s="18" t="s">
        <v>117</v>
      </c>
      <c r="I1179" s="18"/>
      <c r="J1179" s="18"/>
      <c r="K1179" s="18"/>
      <c r="L1179" s="18" t="s">
        <v>109</v>
      </c>
      <c r="M1179" s="18" t="s">
        <v>109</v>
      </c>
      <c r="N1179" s="18"/>
      <c r="O1179" s="18" t="s">
        <v>5277</v>
      </c>
      <c r="P1179" s="18" t="s">
        <v>5278</v>
      </c>
      <c r="Q1179" s="18" t="s">
        <v>134</v>
      </c>
      <c r="R1179" s="18" t="s">
        <v>5279</v>
      </c>
      <c r="S1179" s="18" t="s">
        <v>112</v>
      </c>
      <c r="T1179" s="18" t="s">
        <v>5280</v>
      </c>
      <c r="U1179" s="18" t="s">
        <v>5281</v>
      </c>
      <c r="V1179" s="19" t="s">
        <v>29</v>
      </c>
      <c r="W1179" s="19"/>
      <c r="X1179" s="19"/>
      <c r="Y1179" s="20"/>
      <c r="Z1179" s="19"/>
      <c r="AA1179" s="18" t="str">
        <f aca="false">IF(OR(V1179="Aprobada"),R1179,IF(AND(OR(V1179="Aprobada con ajuste",V1179="Rechazada"),W1179&lt;&gt;""),W1179,""))</f>
        <v/>
      </c>
    </row>
    <row r="1180" customFormat="false" ht="32.8" hidden="false" customHeight="false" outlineLevel="0" collapsed="false">
      <c r="A1180" s="18" t="s">
        <v>5282</v>
      </c>
      <c r="B1180" s="18" t="s">
        <v>66</v>
      </c>
      <c r="C1180" s="18" t="s">
        <v>67</v>
      </c>
      <c r="D1180" s="18" t="s">
        <v>5276</v>
      </c>
      <c r="E1180" s="18" t="n">
        <v>0</v>
      </c>
      <c r="F1180" s="18" t="s">
        <v>5283</v>
      </c>
      <c r="G1180" s="18" t="s">
        <v>934</v>
      </c>
      <c r="H1180" s="18" t="s">
        <v>117</v>
      </c>
      <c r="I1180" s="18"/>
      <c r="J1180" s="18"/>
      <c r="K1180" s="18"/>
      <c r="L1180" s="18" t="s">
        <v>109</v>
      </c>
      <c r="M1180" s="18" t="s">
        <v>109</v>
      </c>
      <c r="N1180" s="18"/>
      <c r="O1180" s="18" t="s">
        <v>5284</v>
      </c>
      <c r="P1180" s="18" t="s">
        <v>5285</v>
      </c>
      <c r="Q1180" s="18" t="s">
        <v>134</v>
      </c>
      <c r="R1180" s="18" t="s">
        <v>5286</v>
      </c>
      <c r="S1180" s="18" t="s">
        <v>125</v>
      </c>
      <c r="T1180" s="18" t="s">
        <v>5287</v>
      </c>
      <c r="U1180" s="18"/>
      <c r="V1180" s="19" t="s">
        <v>29</v>
      </c>
      <c r="W1180" s="19"/>
      <c r="X1180" s="19"/>
      <c r="Y1180" s="20"/>
      <c r="Z1180" s="19"/>
      <c r="AA1180" s="18" t="str">
        <f aca="false">IF(OR(V1180="Aprobada"),R1180,IF(AND(OR(V1180="Aprobada con ajuste",V1180="Rechazada"),W1180&lt;&gt;""),W1180,""))</f>
        <v/>
      </c>
    </row>
    <row r="1181" customFormat="false" ht="32.8" hidden="false" customHeight="false" outlineLevel="0" collapsed="false">
      <c r="A1181" s="18" t="s">
        <v>5288</v>
      </c>
      <c r="B1181" s="18" t="s">
        <v>66</v>
      </c>
      <c r="C1181" s="18" t="s">
        <v>67</v>
      </c>
      <c r="D1181" s="18" t="s">
        <v>5276</v>
      </c>
      <c r="E1181" s="18" t="n">
        <v>0</v>
      </c>
      <c r="F1181" s="18" t="s">
        <v>2937</v>
      </c>
      <c r="G1181" s="18" t="s">
        <v>934</v>
      </c>
      <c r="H1181" s="18" t="s">
        <v>117</v>
      </c>
      <c r="I1181" s="18"/>
      <c r="J1181" s="18"/>
      <c r="K1181" s="18"/>
      <c r="L1181" s="18" t="s">
        <v>109</v>
      </c>
      <c r="M1181" s="18" t="s">
        <v>109</v>
      </c>
      <c r="N1181" s="18"/>
      <c r="O1181" s="18"/>
      <c r="P1181" s="18" t="s">
        <v>5289</v>
      </c>
      <c r="Q1181" s="18" t="s">
        <v>134</v>
      </c>
      <c r="R1181" s="18" t="s">
        <v>5290</v>
      </c>
      <c r="S1181" s="18" t="s">
        <v>125</v>
      </c>
      <c r="T1181" s="18" t="s">
        <v>3867</v>
      </c>
      <c r="U1181" s="18"/>
      <c r="V1181" s="19" t="s">
        <v>29</v>
      </c>
      <c r="W1181" s="19"/>
      <c r="X1181" s="19"/>
      <c r="Y1181" s="20"/>
      <c r="Z1181" s="19"/>
      <c r="AA1181" s="18" t="str">
        <f aca="false">IF(OR(V1181="Aprobada"),R1181,IF(AND(OR(V1181="Aprobada con ajuste",V1181="Rechazada"),W1181&lt;&gt;""),W1181,""))</f>
        <v/>
      </c>
    </row>
    <row r="1182" customFormat="false" ht="32.8" hidden="false" customHeight="false" outlineLevel="0" collapsed="false">
      <c r="A1182" s="18" t="s">
        <v>5291</v>
      </c>
      <c r="B1182" s="18" t="s">
        <v>66</v>
      </c>
      <c r="C1182" s="18" t="s">
        <v>67</v>
      </c>
      <c r="D1182" s="18" t="s">
        <v>5276</v>
      </c>
      <c r="E1182" s="18" t="n">
        <v>0</v>
      </c>
      <c r="F1182" s="18" t="s">
        <v>5292</v>
      </c>
      <c r="G1182" s="18" t="s">
        <v>934</v>
      </c>
      <c r="H1182" s="18" t="s">
        <v>109</v>
      </c>
      <c r="I1182" s="18"/>
      <c r="J1182" s="18"/>
      <c r="K1182" s="18"/>
      <c r="L1182" s="18" t="s">
        <v>109</v>
      </c>
      <c r="M1182" s="18" t="s">
        <v>109</v>
      </c>
      <c r="N1182" s="18"/>
      <c r="O1182" s="18"/>
      <c r="P1182" s="18" t="s">
        <v>5293</v>
      </c>
      <c r="Q1182" s="18" t="s">
        <v>134</v>
      </c>
      <c r="R1182" s="18" t="s">
        <v>5294</v>
      </c>
      <c r="S1182" s="18" t="s">
        <v>125</v>
      </c>
      <c r="T1182" s="18" t="s">
        <v>5295</v>
      </c>
      <c r="U1182" s="18"/>
      <c r="V1182" s="19" t="s">
        <v>29</v>
      </c>
      <c r="W1182" s="19"/>
      <c r="X1182" s="19"/>
      <c r="Y1182" s="20"/>
      <c r="Z1182" s="19"/>
      <c r="AA1182" s="18" t="str">
        <f aca="false">IF(OR(V1182="Aprobada"),R1182,IF(AND(OR(V1182="Aprobada con ajuste",V1182="Rechazada"),W1182&lt;&gt;""),W1182,""))</f>
        <v/>
      </c>
    </row>
    <row r="1183" customFormat="false" ht="32.8" hidden="false" customHeight="false" outlineLevel="0" collapsed="false">
      <c r="A1183" s="18" t="s">
        <v>5296</v>
      </c>
      <c r="B1183" s="18" t="s">
        <v>66</v>
      </c>
      <c r="C1183" s="18" t="s">
        <v>67</v>
      </c>
      <c r="D1183" s="18" t="s">
        <v>5276</v>
      </c>
      <c r="E1183" s="18" t="n">
        <v>0</v>
      </c>
      <c r="F1183" s="18" t="s">
        <v>264</v>
      </c>
      <c r="G1183" s="18" t="s">
        <v>414</v>
      </c>
      <c r="H1183" s="18" t="s">
        <v>117</v>
      </c>
      <c r="I1183" s="18"/>
      <c r="J1183" s="18"/>
      <c r="K1183" s="18"/>
      <c r="L1183" s="18" t="s">
        <v>109</v>
      </c>
      <c r="M1183" s="18" t="s">
        <v>109</v>
      </c>
      <c r="N1183" s="18"/>
      <c r="O1183" s="18"/>
      <c r="P1183" s="18" t="s">
        <v>5297</v>
      </c>
      <c r="Q1183" s="18" t="s">
        <v>134</v>
      </c>
      <c r="R1183" s="18" t="s">
        <v>5298</v>
      </c>
      <c r="S1183" s="18" t="s">
        <v>112</v>
      </c>
      <c r="T1183" s="18" t="s">
        <v>5299</v>
      </c>
      <c r="U1183" s="18" t="s">
        <v>5300</v>
      </c>
      <c r="V1183" s="19" t="s">
        <v>29</v>
      </c>
      <c r="W1183" s="19"/>
      <c r="X1183" s="19"/>
      <c r="Y1183" s="20"/>
      <c r="Z1183" s="19"/>
      <c r="AA1183" s="18" t="str">
        <f aca="false">IF(OR(V1183="Aprobada"),R1183,IF(AND(OR(V1183="Aprobada con ajuste",V1183="Rechazada"),W1183&lt;&gt;""),W1183,""))</f>
        <v/>
      </c>
    </row>
    <row r="1184" customFormat="false" ht="32.8" hidden="false" customHeight="false" outlineLevel="0" collapsed="false">
      <c r="A1184" s="18" t="s">
        <v>5301</v>
      </c>
      <c r="B1184" s="18" t="s">
        <v>66</v>
      </c>
      <c r="C1184" s="18" t="s">
        <v>67</v>
      </c>
      <c r="D1184" s="18" t="s">
        <v>5276</v>
      </c>
      <c r="E1184" s="18" t="n">
        <v>0</v>
      </c>
      <c r="F1184" s="18" t="s">
        <v>5302</v>
      </c>
      <c r="G1184" s="18" t="s">
        <v>212</v>
      </c>
      <c r="H1184" s="18" t="s">
        <v>117</v>
      </c>
      <c r="I1184" s="18"/>
      <c r="J1184" s="18"/>
      <c r="K1184" s="18"/>
      <c r="L1184" s="18" t="s">
        <v>109</v>
      </c>
      <c r="M1184" s="18" t="s">
        <v>109</v>
      </c>
      <c r="N1184" s="18"/>
      <c r="O1184" s="18"/>
      <c r="P1184" s="18" t="s">
        <v>5303</v>
      </c>
      <c r="Q1184" s="18" t="s">
        <v>110</v>
      </c>
      <c r="R1184" s="18" t="s">
        <v>5304</v>
      </c>
      <c r="S1184" s="18" t="s">
        <v>112</v>
      </c>
      <c r="T1184" s="18" t="s">
        <v>113</v>
      </c>
      <c r="U1184" s="18"/>
      <c r="V1184" s="19" t="s">
        <v>29</v>
      </c>
      <c r="W1184" s="19"/>
      <c r="X1184" s="19"/>
      <c r="Y1184" s="20"/>
      <c r="Z1184" s="19"/>
      <c r="AA1184" s="18" t="str">
        <f aca="false">IF(OR(V1184="Aprobada"),R1184,IF(AND(OR(V1184="Aprobada con ajuste",V1184="Rechazada"),W1184&lt;&gt;""),W1184,""))</f>
        <v/>
      </c>
    </row>
    <row r="1185" customFormat="false" ht="32.8" hidden="false" customHeight="false" outlineLevel="0" collapsed="false">
      <c r="A1185" s="18" t="s">
        <v>5305</v>
      </c>
      <c r="B1185" s="18" t="s">
        <v>66</v>
      </c>
      <c r="C1185" s="18" t="s">
        <v>67</v>
      </c>
      <c r="D1185" s="18" t="s">
        <v>5276</v>
      </c>
      <c r="E1185" s="18" t="n">
        <v>0</v>
      </c>
      <c r="F1185" s="18" t="s">
        <v>3785</v>
      </c>
      <c r="G1185" s="18" t="s">
        <v>145</v>
      </c>
      <c r="H1185" s="18" t="s">
        <v>109</v>
      </c>
      <c r="I1185" s="18"/>
      <c r="J1185" s="18"/>
      <c r="K1185" s="18"/>
      <c r="L1185" s="18" t="s">
        <v>109</v>
      </c>
      <c r="M1185" s="18" t="s">
        <v>109</v>
      </c>
      <c r="N1185" s="18"/>
      <c r="O1185" s="18"/>
      <c r="P1185" s="18" t="s">
        <v>5306</v>
      </c>
      <c r="Q1185" s="18" t="s">
        <v>110</v>
      </c>
      <c r="R1185" s="18" t="s">
        <v>859</v>
      </c>
      <c r="S1185" s="18" t="s">
        <v>112</v>
      </c>
      <c r="T1185" s="18" t="s">
        <v>113</v>
      </c>
      <c r="U1185" s="18"/>
      <c r="V1185" s="19" t="s">
        <v>29</v>
      </c>
      <c r="W1185" s="19"/>
      <c r="X1185" s="19"/>
      <c r="Y1185" s="20"/>
      <c r="Z1185" s="19"/>
      <c r="AA1185" s="18" t="str">
        <f aca="false">IF(OR(V1185="Aprobada"),R1185,IF(AND(OR(V1185="Aprobada con ajuste",V1185="Rechazada"),W1185&lt;&gt;""),W1185,""))</f>
        <v/>
      </c>
    </row>
    <row r="1186" customFormat="false" ht="43.25" hidden="false" customHeight="false" outlineLevel="0" collapsed="false">
      <c r="A1186" s="18" t="s">
        <v>5307</v>
      </c>
      <c r="B1186" s="18" t="s">
        <v>66</v>
      </c>
      <c r="C1186" s="18" t="s">
        <v>67</v>
      </c>
      <c r="D1186" s="18" t="s">
        <v>3329</v>
      </c>
      <c r="E1186" s="18" t="n">
        <v>0</v>
      </c>
      <c r="F1186" s="18" t="s">
        <v>243</v>
      </c>
      <c r="G1186" s="18" t="s">
        <v>108</v>
      </c>
      <c r="H1186" s="18" t="s">
        <v>109</v>
      </c>
      <c r="I1186" s="18" t="s">
        <v>140</v>
      </c>
      <c r="J1186" s="18" t="s">
        <v>5308</v>
      </c>
      <c r="K1186" s="18"/>
      <c r="L1186" s="18" t="s">
        <v>117</v>
      </c>
      <c r="M1186" s="18" t="s">
        <v>109</v>
      </c>
      <c r="N1186" s="18"/>
      <c r="O1186" s="18"/>
      <c r="P1186" s="18" t="s">
        <v>5309</v>
      </c>
      <c r="Q1186" s="18" t="s">
        <v>134</v>
      </c>
      <c r="R1186" s="18" t="s">
        <v>5310</v>
      </c>
      <c r="S1186" s="18" t="s">
        <v>125</v>
      </c>
      <c r="T1186" s="18" t="s">
        <v>246</v>
      </c>
      <c r="U1186" s="18"/>
      <c r="V1186" s="19" t="s">
        <v>29</v>
      </c>
      <c r="W1186" s="19"/>
      <c r="X1186" s="19"/>
      <c r="Y1186" s="20"/>
      <c r="Z1186" s="19"/>
      <c r="AA1186" s="18" t="str">
        <f aca="false">IF(OR(V1186="Aprobada"),R1186,IF(AND(OR(V1186="Aprobada con ajuste",V1186="Rechazada"),W1186&lt;&gt;""),W1186,""))</f>
        <v/>
      </c>
    </row>
    <row r="1187" customFormat="false" ht="32.8" hidden="false" customHeight="false" outlineLevel="0" collapsed="false">
      <c r="A1187" s="18" t="s">
        <v>5311</v>
      </c>
      <c r="B1187" s="18" t="s">
        <v>66</v>
      </c>
      <c r="C1187" s="18" t="s">
        <v>67</v>
      </c>
      <c r="D1187" s="18" t="s">
        <v>3329</v>
      </c>
      <c r="E1187" s="18" t="n">
        <v>0</v>
      </c>
      <c r="F1187" s="18" t="s">
        <v>996</v>
      </c>
      <c r="G1187" s="18" t="s">
        <v>116</v>
      </c>
      <c r="H1187" s="18" t="s">
        <v>109</v>
      </c>
      <c r="I1187" s="18"/>
      <c r="J1187" s="18"/>
      <c r="K1187" s="18"/>
      <c r="L1187" s="18" t="s">
        <v>109</v>
      </c>
      <c r="M1187" s="18" t="s">
        <v>109</v>
      </c>
      <c r="N1187" s="18"/>
      <c r="O1187" s="18"/>
      <c r="P1187" s="18" t="s">
        <v>5312</v>
      </c>
      <c r="Q1187" s="18" t="s">
        <v>134</v>
      </c>
      <c r="R1187" s="18" t="s">
        <v>5313</v>
      </c>
      <c r="S1187" s="18" t="s">
        <v>125</v>
      </c>
      <c r="T1187" s="18" t="s">
        <v>5314</v>
      </c>
      <c r="U1187" s="18"/>
      <c r="V1187" s="19" t="s">
        <v>29</v>
      </c>
      <c r="W1187" s="19"/>
      <c r="X1187" s="19"/>
      <c r="Y1187" s="20"/>
      <c r="Z1187" s="19"/>
      <c r="AA1187" s="18" t="str">
        <f aca="false">IF(OR(V1187="Aprobada"),R1187,IF(AND(OR(V1187="Aprobada con ajuste",V1187="Rechazada"),W1187&lt;&gt;""),W1187,""))</f>
        <v/>
      </c>
    </row>
    <row r="1188" customFormat="false" ht="32.8" hidden="false" customHeight="false" outlineLevel="0" collapsed="false">
      <c r="A1188" s="18" t="s">
        <v>5315</v>
      </c>
      <c r="B1188" s="18" t="s">
        <v>66</v>
      </c>
      <c r="C1188" s="18" t="s">
        <v>67</v>
      </c>
      <c r="D1188" s="18" t="s">
        <v>3329</v>
      </c>
      <c r="E1188" s="18" t="n">
        <v>0</v>
      </c>
      <c r="F1188" s="18" t="s">
        <v>5316</v>
      </c>
      <c r="G1188" s="18" t="s">
        <v>139</v>
      </c>
      <c r="H1188" s="18" t="s">
        <v>117</v>
      </c>
      <c r="I1188" s="18"/>
      <c r="J1188" s="18"/>
      <c r="K1188" s="18"/>
      <c r="L1188" s="18" t="s">
        <v>109</v>
      </c>
      <c r="M1188" s="18" t="s">
        <v>109</v>
      </c>
      <c r="N1188" s="18"/>
      <c r="O1188" s="18"/>
      <c r="P1188" s="18" t="s">
        <v>5317</v>
      </c>
      <c r="Q1188" s="18" t="s">
        <v>134</v>
      </c>
      <c r="R1188" s="18" t="s">
        <v>5318</v>
      </c>
      <c r="S1188" s="18" t="s">
        <v>112</v>
      </c>
      <c r="T1188" s="18" t="s">
        <v>5319</v>
      </c>
      <c r="U1188" s="18" t="s">
        <v>5320</v>
      </c>
      <c r="V1188" s="19" t="s">
        <v>29</v>
      </c>
      <c r="W1188" s="19"/>
      <c r="X1188" s="19"/>
      <c r="Y1188" s="20"/>
      <c r="Z1188" s="19"/>
      <c r="AA1188" s="18" t="str">
        <f aca="false">IF(OR(V1188="Aprobada"),R1188,IF(AND(OR(V1188="Aprobada con ajuste",V1188="Rechazada"),W1188&lt;&gt;""),W1188,""))</f>
        <v/>
      </c>
    </row>
    <row r="1189" customFormat="false" ht="32.8" hidden="false" customHeight="false" outlineLevel="0" collapsed="false">
      <c r="A1189" s="18" t="s">
        <v>5321</v>
      </c>
      <c r="B1189" s="18" t="s">
        <v>66</v>
      </c>
      <c r="C1189" s="18" t="s">
        <v>67</v>
      </c>
      <c r="D1189" s="18" t="s">
        <v>3329</v>
      </c>
      <c r="E1189" s="18" t="n">
        <v>0</v>
      </c>
      <c r="F1189" s="18" t="s">
        <v>5302</v>
      </c>
      <c r="G1189" s="18" t="s">
        <v>212</v>
      </c>
      <c r="H1189" s="18" t="s">
        <v>117</v>
      </c>
      <c r="I1189" s="18"/>
      <c r="J1189" s="18"/>
      <c r="K1189" s="18"/>
      <c r="L1189" s="18" t="s">
        <v>109</v>
      </c>
      <c r="M1189" s="18" t="s">
        <v>109</v>
      </c>
      <c r="N1189" s="18"/>
      <c r="O1189" s="18"/>
      <c r="P1189" s="18" t="s">
        <v>5322</v>
      </c>
      <c r="Q1189" s="18" t="s">
        <v>110</v>
      </c>
      <c r="R1189" s="18" t="s">
        <v>5304</v>
      </c>
      <c r="S1189" s="18" t="s">
        <v>112</v>
      </c>
      <c r="T1189" s="18" t="s">
        <v>113</v>
      </c>
      <c r="U1189" s="18"/>
      <c r="V1189" s="19" t="s">
        <v>29</v>
      </c>
      <c r="W1189" s="19"/>
      <c r="X1189" s="19"/>
      <c r="Y1189" s="20"/>
      <c r="Z1189" s="19"/>
      <c r="AA1189" s="18" t="str">
        <f aca="false">IF(OR(V1189="Aprobada"),R1189,IF(AND(OR(V1189="Aprobada con ajuste",V1189="Rechazada"),W1189&lt;&gt;""),W1189,""))</f>
        <v/>
      </c>
    </row>
    <row r="1190" customFormat="false" ht="22.35" hidden="false" customHeight="false" outlineLevel="0" collapsed="false">
      <c r="A1190" s="18" t="s">
        <v>5323</v>
      </c>
      <c r="B1190" s="18" t="s">
        <v>66</v>
      </c>
      <c r="C1190" s="18" t="s">
        <v>67</v>
      </c>
      <c r="D1190" s="18" t="s">
        <v>5324</v>
      </c>
      <c r="E1190" s="18" t="n">
        <v>0</v>
      </c>
      <c r="F1190" s="18" t="s">
        <v>408</v>
      </c>
      <c r="G1190" s="18" t="s">
        <v>324</v>
      </c>
      <c r="H1190" s="18" t="s">
        <v>109</v>
      </c>
      <c r="I1190" s="18" t="s">
        <v>409</v>
      </c>
      <c r="J1190" s="18"/>
      <c r="K1190" s="18"/>
      <c r="L1190" s="18" t="s">
        <v>109</v>
      </c>
      <c r="M1190" s="18" t="s">
        <v>109</v>
      </c>
      <c r="N1190" s="18"/>
      <c r="O1190" s="18" t="s">
        <v>5325</v>
      </c>
      <c r="P1190" s="18"/>
      <c r="Q1190" s="18" t="s">
        <v>110</v>
      </c>
      <c r="R1190" s="18" t="s">
        <v>5326</v>
      </c>
      <c r="S1190" s="18" t="s">
        <v>112</v>
      </c>
      <c r="T1190" s="18" t="s">
        <v>113</v>
      </c>
      <c r="U1190" s="18"/>
      <c r="V1190" s="19" t="s">
        <v>29</v>
      </c>
      <c r="W1190" s="19"/>
      <c r="X1190" s="19"/>
      <c r="Y1190" s="20"/>
      <c r="Z1190" s="19"/>
      <c r="AA1190" s="18" t="str">
        <f aca="false">IF(OR(V1190="Aprobada"),R1190,IF(AND(OR(V1190="Aprobada con ajuste",V1190="Rechazada"),W1190&lt;&gt;""),W1190,""))</f>
        <v/>
      </c>
    </row>
    <row r="1191" customFormat="false" ht="22.35" hidden="false" customHeight="false" outlineLevel="0" collapsed="false">
      <c r="A1191" s="18" t="s">
        <v>5327</v>
      </c>
      <c r="B1191" s="18" t="s">
        <v>66</v>
      </c>
      <c r="C1191" s="18" t="s">
        <v>67</v>
      </c>
      <c r="D1191" s="18" t="s">
        <v>5324</v>
      </c>
      <c r="E1191" s="18" t="n">
        <v>0</v>
      </c>
      <c r="F1191" s="18" t="s">
        <v>129</v>
      </c>
      <c r="G1191" s="18" t="s">
        <v>486</v>
      </c>
      <c r="H1191" s="18" t="s">
        <v>109</v>
      </c>
      <c r="I1191" s="18"/>
      <c r="J1191" s="18"/>
      <c r="K1191" s="18"/>
      <c r="L1191" s="18" t="s">
        <v>109</v>
      </c>
      <c r="M1191" s="18" t="s">
        <v>109</v>
      </c>
      <c r="N1191" s="18"/>
      <c r="O1191" s="18"/>
      <c r="P1191" s="18"/>
      <c r="Q1191" s="18" t="s">
        <v>110</v>
      </c>
      <c r="R1191" s="18" t="s">
        <v>5328</v>
      </c>
      <c r="S1191" s="18" t="s">
        <v>112</v>
      </c>
      <c r="T1191" s="18" t="s">
        <v>113</v>
      </c>
      <c r="U1191" s="18"/>
      <c r="V1191" s="19" t="s">
        <v>29</v>
      </c>
      <c r="W1191" s="19"/>
      <c r="X1191" s="19"/>
      <c r="Y1191" s="20"/>
      <c r="Z1191" s="19"/>
      <c r="AA1191" s="18" t="str">
        <f aca="false">IF(OR(V1191="Aprobada"),R1191,IF(AND(OR(V1191="Aprobada con ajuste",V1191="Rechazada"),W1191&lt;&gt;""),W1191,""))</f>
        <v/>
      </c>
    </row>
    <row r="1192" customFormat="false" ht="22.35" hidden="false" customHeight="false" outlineLevel="0" collapsed="false">
      <c r="A1192" s="18" t="s">
        <v>5329</v>
      </c>
      <c r="B1192" s="18" t="s">
        <v>66</v>
      </c>
      <c r="C1192" s="18" t="s">
        <v>67</v>
      </c>
      <c r="D1192" s="18" t="s">
        <v>5324</v>
      </c>
      <c r="E1192" s="18" t="n">
        <v>0</v>
      </c>
      <c r="F1192" s="18" t="s">
        <v>1018</v>
      </c>
      <c r="G1192" s="18" t="s">
        <v>116</v>
      </c>
      <c r="H1192" s="18" t="s">
        <v>117</v>
      </c>
      <c r="I1192" s="18"/>
      <c r="J1192" s="18"/>
      <c r="K1192" s="18"/>
      <c r="L1192" s="18" t="s">
        <v>109</v>
      </c>
      <c r="M1192" s="18" t="s">
        <v>109</v>
      </c>
      <c r="N1192" s="18"/>
      <c r="O1192" s="18"/>
      <c r="P1192" s="18"/>
      <c r="Q1192" s="18" t="s">
        <v>110</v>
      </c>
      <c r="R1192" s="18" t="s">
        <v>5330</v>
      </c>
      <c r="S1192" s="18" t="s">
        <v>112</v>
      </c>
      <c r="T1192" s="18" t="s">
        <v>113</v>
      </c>
      <c r="U1192" s="18"/>
      <c r="V1192" s="19" t="s">
        <v>29</v>
      </c>
      <c r="W1192" s="19"/>
      <c r="X1192" s="19"/>
      <c r="Y1192" s="20"/>
      <c r="Z1192" s="19"/>
      <c r="AA1192" s="18" t="str">
        <f aca="false">IF(OR(V1192="Aprobada"),R1192,IF(AND(OR(V1192="Aprobada con ajuste",V1192="Rechazada"),W1192&lt;&gt;""),W1192,""))</f>
        <v/>
      </c>
    </row>
    <row r="1193" customFormat="false" ht="22.35" hidden="false" customHeight="false" outlineLevel="0" collapsed="false">
      <c r="A1193" s="18" t="s">
        <v>5331</v>
      </c>
      <c r="B1193" s="18" t="s">
        <v>66</v>
      </c>
      <c r="C1193" s="18" t="s">
        <v>67</v>
      </c>
      <c r="D1193" s="18" t="s">
        <v>5324</v>
      </c>
      <c r="E1193" s="18" t="n">
        <v>0</v>
      </c>
      <c r="F1193" s="18" t="s">
        <v>5332</v>
      </c>
      <c r="G1193" s="18" t="s">
        <v>116</v>
      </c>
      <c r="H1193" s="18" t="s">
        <v>109</v>
      </c>
      <c r="I1193" s="18"/>
      <c r="J1193" s="18"/>
      <c r="K1193" s="18"/>
      <c r="L1193" s="18" t="s">
        <v>109</v>
      </c>
      <c r="M1193" s="18" t="s">
        <v>109</v>
      </c>
      <c r="N1193" s="18"/>
      <c r="O1193" s="18"/>
      <c r="P1193" s="18"/>
      <c r="Q1193" s="18" t="s">
        <v>134</v>
      </c>
      <c r="R1193" s="18" t="s">
        <v>5333</v>
      </c>
      <c r="S1193" s="18" t="s">
        <v>125</v>
      </c>
      <c r="T1193" s="18" t="s">
        <v>5334</v>
      </c>
      <c r="U1193" s="18"/>
      <c r="V1193" s="19" t="s">
        <v>29</v>
      </c>
      <c r="W1193" s="19"/>
      <c r="X1193" s="19"/>
      <c r="Y1193" s="20"/>
      <c r="Z1193" s="19"/>
      <c r="AA1193" s="18" t="str">
        <f aca="false">IF(OR(V1193="Aprobada"),R1193,IF(AND(OR(V1193="Aprobada con ajuste",V1193="Rechazada"),W1193&lt;&gt;""),W1193,""))</f>
        <v/>
      </c>
    </row>
    <row r="1194" customFormat="false" ht="22.35" hidden="false" customHeight="false" outlineLevel="0" collapsed="false">
      <c r="A1194" s="18" t="s">
        <v>5335</v>
      </c>
      <c r="B1194" s="18" t="s">
        <v>66</v>
      </c>
      <c r="C1194" s="18" t="s">
        <v>67</v>
      </c>
      <c r="D1194" s="18" t="s">
        <v>5324</v>
      </c>
      <c r="E1194" s="18" t="n">
        <v>0</v>
      </c>
      <c r="F1194" s="18" t="s">
        <v>3785</v>
      </c>
      <c r="G1194" s="18" t="s">
        <v>145</v>
      </c>
      <c r="H1194" s="18" t="s">
        <v>109</v>
      </c>
      <c r="I1194" s="18"/>
      <c r="J1194" s="18"/>
      <c r="K1194" s="18"/>
      <c r="L1194" s="18" t="s">
        <v>109</v>
      </c>
      <c r="M1194" s="18" t="s">
        <v>109</v>
      </c>
      <c r="N1194" s="18"/>
      <c r="O1194" s="18"/>
      <c r="P1194" s="18"/>
      <c r="Q1194" s="18" t="s">
        <v>110</v>
      </c>
      <c r="R1194" s="18" t="s">
        <v>859</v>
      </c>
      <c r="S1194" s="18" t="s">
        <v>112</v>
      </c>
      <c r="T1194" s="18" t="s">
        <v>113</v>
      </c>
      <c r="U1194" s="18"/>
      <c r="V1194" s="19" t="s">
        <v>29</v>
      </c>
      <c r="W1194" s="19"/>
      <c r="X1194" s="19"/>
      <c r="Y1194" s="20"/>
      <c r="Z1194" s="19"/>
      <c r="AA1194" s="18" t="str">
        <f aca="false">IF(OR(V1194="Aprobada"),R1194,IF(AND(OR(V1194="Aprobada con ajuste",V1194="Rechazada"),W1194&lt;&gt;""),W1194,""))</f>
        <v/>
      </c>
    </row>
  </sheetData>
  <autoFilter ref="A1:AA1194"/>
  <conditionalFormatting sqref="V2:V1194">
    <cfRule type="cellIs" priority="2" operator="equal" aboveAverage="0" equalAverage="0" bottom="0" percent="0" rank="0" text="" dxfId="6">
      <formula>"Aprobada"</formula>
    </cfRule>
    <cfRule type="cellIs" priority="3" operator="equal" aboveAverage="0" equalAverage="0" bottom="0" percent="0" rank="0" text="" dxfId="7">
      <formula>"Aprobada con ajuste"</formula>
    </cfRule>
    <cfRule type="cellIs" priority="4" operator="equal" aboveAverage="0" equalAverage="0" bottom="0" percent="0" rank="0" text="" dxfId="8">
      <formula>"Rechazada"</formula>
    </cfRule>
    <cfRule type="cellIs" priority="5" operator="equal" aboveAverage="0" equalAverage="0" bottom="0" percent="0" rank="0" text="" dxfId="9">
      <formula>"Requiere aclaración"</formula>
    </cfRule>
  </conditionalFormatting>
  <conditionalFormatting sqref="S2:S1194">
    <cfRule type="cellIs" priority="6" operator="equal" aboveAverage="0" equalAverage="0" bottom="0" percent="0" rank="0" text="" dxfId="10">
      <formula>"Baja"</formula>
    </cfRule>
  </conditionalFormatting>
  <conditionalFormatting sqref="W2:W1194">
    <cfRule type="expression" priority="7" aboveAverage="0" equalAverage="0" bottom="0" percent="0" rank="0" text="" dxfId="11">
      <formula>AND(OR($V2="Aprobada con ajuste",$V2="Rechazada"),$W2="")</formula>
    </cfRule>
  </conditionalFormatting>
  <dataValidations count="2">
    <dataValidation allowBlank="false" error="Elija un valor de la lista." errorStyle="stop" errorTitle="Decisión" operator="between" prompt="Elija la decisión de la revisión" promptTitle="Decisión" showDropDown="false" showErrorMessage="false" showInputMessage="false" sqref="V2:V1194" type="list">
      <formula1>"Pendiente,Aprobada,Aprobada con ajuste,Rechazada,Requiere aclaración"</formula1>
      <formula2>0</formula2>
    </dataValidation>
    <dataValidation allowBlank="true" error="Escriba una fecha (aaaa-mm-dd)." errorStyle="stop" errorTitle="Fecha" operator="greaterThan" showDropDown="false" showErrorMessage="false" showInputMessage="false" sqref="Y2:Y1194" type="date">
      <formula1>DATE(2026,1,1)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3" min="2" style="0" width="26"/>
    <col collapsed="false" customWidth="true" hidden="false" outlineLevel="0" max="4" min="4" style="0" width="44"/>
    <col collapsed="false" customWidth="true" hidden="false" outlineLevel="0" max="5" min="5" style="0" width="16"/>
    <col collapsed="false" customWidth="true" hidden="false" outlineLevel="0" max="6" min="6" style="0" width="90"/>
  </cols>
  <sheetData>
    <row r="1" customFormat="false" ht="15" hidden="false" customHeight="false" outlineLevel="0" collapsed="false">
      <c r="A1" s="21" t="s">
        <v>50</v>
      </c>
      <c r="B1" s="21" t="s">
        <v>81</v>
      </c>
      <c r="C1" s="21" t="s">
        <v>83</v>
      </c>
      <c r="D1" s="21" t="s">
        <v>5336</v>
      </c>
      <c r="E1" s="21" t="s">
        <v>5337</v>
      </c>
      <c r="F1" s="21" t="s">
        <v>5338</v>
      </c>
    </row>
    <row r="2" customFormat="false" ht="15" hidden="false" customHeight="false" outlineLevel="0" collapsed="false">
      <c r="A2" s="22" t="s">
        <v>57</v>
      </c>
      <c r="B2" s="22" t="s">
        <v>300</v>
      </c>
      <c r="C2" s="22" t="s">
        <v>301</v>
      </c>
      <c r="D2" s="22" t="s">
        <v>5339</v>
      </c>
      <c r="E2" s="22" t="s">
        <v>5340</v>
      </c>
      <c r="F2" s="22" t="s">
        <v>5341</v>
      </c>
    </row>
    <row r="3" customFormat="false" ht="15" hidden="false" customHeight="false" outlineLevel="0" collapsed="false">
      <c r="A3" s="22" t="s">
        <v>57</v>
      </c>
      <c r="B3" s="22" t="s">
        <v>300</v>
      </c>
      <c r="C3" s="22" t="s">
        <v>306</v>
      </c>
      <c r="D3" s="22" t="s">
        <v>5339</v>
      </c>
      <c r="E3" s="22" t="s">
        <v>5340</v>
      </c>
      <c r="F3" s="22" t="s">
        <v>5342</v>
      </c>
    </row>
    <row r="4" customFormat="false" ht="15" hidden="false" customHeight="false" outlineLevel="0" collapsed="false">
      <c r="A4" s="22" t="s">
        <v>57</v>
      </c>
      <c r="B4" s="22" t="s">
        <v>316</v>
      </c>
      <c r="C4" s="22" t="s">
        <v>317</v>
      </c>
      <c r="D4" s="22" t="s">
        <v>5343</v>
      </c>
      <c r="E4" s="22" t="s">
        <v>5340</v>
      </c>
      <c r="F4" s="22" t="s">
        <v>5344</v>
      </c>
    </row>
    <row r="5" customFormat="false" ht="15" hidden="false" customHeight="false" outlineLevel="0" collapsed="false">
      <c r="A5" s="22" t="s">
        <v>57</v>
      </c>
      <c r="B5" s="22" t="s">
        <v>376</v>
      </c>
      <c r="C5" s="22" t="s">
        <v>306</v>
      </c>
      <c r="D5" s="22" t="s">
        <v>5339</v>
      </c>
      <c r="E5" s="22" t="s">
        <v>5340</v>
      </c>
      <c r="F5" s="22" t="s">
        <v>5342</v>
      </c>
    </row>
    <row r="6" customFormat="false" ht="22.35" hidden="false" customHeight="false" outlineLevel="0" collapsed="false">
      <c r="A6" s="22" t="s">
        <v>57</v>
      </c>
      <c r="B6" s="22" t="s">
        <v>407</v>
      </c>
      <c r="C6" s="22" t="s">
        <v>408</v>
      </c>
      <c r="D6" s="22" t="s">
        <v>5339</v>
      </c>
      <c r="E6" s="22" t="s">
        <v>5340</v>
      </c>
      <c r="F6" s="22" t="s">
        <v>5345</v>
      </c>
    </row>
    <row r="7" customFormat="false" ht="32.8" hidden="false" customHeight="false" outlineLevel="0" collapsed="false">
      <c r="A7" s="22" t="s">
        <v>59</v>
      </c>
      <c r="B7" s="22" t="s">
        <v>535</v>
      </c>
      <c r="C7" s="22" t="s">
        <v>107</v>
      </c>
      <c r="D7" s="22" t="s">
        <v>5346</v>
      </c>
      <c r="E7" s="22" t="s">
        <v>5340</v>
      </c>
      <c r="F7" s="22" t="s">
        <v>5347</v>
      </c>
    </row>
    <row r="8" customFormat="false" ht="32.8" hidden="false" customHeight="false" outlineLevel="0" collapsed="false">
      <c r="A8" s="22" t="s">
        <v>59</v>
      </c>
      <c r="B8" s="22" t="s">
        <v>756</v>
      </c>
      <c r="C8" s="22" t="s">
        <v>107</v>
      </c>
      <c r="D8" s="22" t="s">
        <v>5346</v>
      </c>
      <c r="E8" s="22" t="s">
        <v>5340</v>
      </c>
      <c r="F8" s="22" t="s">
        <v>5347</v>
      </c>
    </row>
    <row r="9" customFormat="false" ht="15" hidden="false" customHeight="false" outlineLevel="0" collapsed="false">
      <c r="A9" s="22" t="s">
        <v>59</v>
      </c>
      <c r="B9" s="22" t="s">
        <v>1033</v>
      </c>
      <c r="C9" s="22" t="s">
        <v>844</v>
      </c>
      <c r="D9" s="22" t="s">
        <v>5346</v>
      </c>
      <c r="E9" s="22" t="s">
        <v>5340</v>
      </c>
      <c r="F9" s="22" t="s">
        <v>5348</v>
      </c>
    </row>
    <row r="10" customFormat="false" ht="32.8" hidden="false" customHeight="false" outlineLevel="0" collapsed="false">
      <c r="A10" s="22" t="s">
        <v>59</v>
      </c>
      <c r="B10" s="22" t="s">
        <v>1033</v>
      </c>
      <c r="C10" s="22" t="s">
        <v>107</v>
      </c>
      <c r="D10" s="22" t="s">
        <v>5346</v>
      </c>
      <c r="E10" s="22" t="s">
        <v>5340</v>
      </c>
      <c r="F10" s="22" t="s">
        <v>5347</v>
      </c>
    </row>
    <row r="11" customFormat="false" ht="15" hidden="false" customHeight="false" outlineLevel="0" collapsed="false">
      <c r="A11" s="22" t="s">
        <v>59</v>
      </c>
      <c r="B11" s="22" t="s">
        <v>1095</v>
      </c>
      <c r="C11" s="22" t="s">
        <v>1096</v>
      </c>
      <c r="D11" s="22" t="s">
        <v>5346</v>
      </c>
      <c r="E11" s="22" t="s">
        <v>5340</v>
      </c>
      <c r="F11" s="22" t="s">
        <v>5349</v>
      </c>
    </row>
    <row r="12" customFormat="false" ht="15" hidden="false" customHeight="false" outlineLevel="0" collapsed="false">
      <c r="A12" s="22" t="s">
        <v>59</v>
      </c>
      <c r="B12" s="22" t="s">
        <v>1095</v>
      </c>
      <c r="C12" s="22" t="s">
        <v>1102</v>
      </c>
      <c r="D12" s="22" t="s">
        <v>5346</v>
      </c>
      <c r="E12" s="22" t="s">
        <v>5340</v>
      </c>
      <c r="F12" s="22" t="s">
        <v>5350</v>
      </c>
    </row>
    <row r="13" customFormat="false" ht="32.8" hidden="false" customHeight="false" outlineLevel="0" collapsed="false">
      <c r="A13" s="22" t="s">
        <v>59</v>
      </c>
      <c r="B13" s="22" t="s">
        <v>1095</v>
      </c>
      <c r="C13" s="22" t="s">
        <v>107</v>
      </c>
      <c r="D13" s="22" t="s">
        <v>5346</v>
      </c>
      <c r="E13" s="22" t="s">
        <v>5340</v>
      </c>
      <c r="F13" s="22" t="s">
        <v>5347</v>
      </c>
    </row>
    <row r="14" customFormat="false" ht="15" hidden="false" customHeight="false" outlineLevel="0" collapsed="false">
      <c r="A14" s="22" t="s">
        <v>59</v>
      </c>
      <c r="B14" s="22" t="s">
        <v>1142</v>
      </c>
      <c r="C14" s="22" t="s">
        <v>844</v>
      </c>
      <c r="D14" s="22" t="s">
        <v>5346</v>
      </c>
      <c r="E14" s="22" t="s">
        <v>5340</v>
      </c>
      <c r="F14" s="22" t="s">
        <v>5348</v>
      </c>
    </row>
    <row r="15" customFormat="false" ht="32.8" hidden="false" customHeight="false" outlineLevel="0" collapsed="false">
      <c r="A15" s="22" t="s">
        <v>59</v>
      </c>
      <c r="B15" s="22" t="s">
        <v>1142</v>
      </c>
      <c r="C15" s="22" t="s">
        <v>107</v>
      </c>
      <c r="D15" s="22" t="s">
        <v>5346</v>
      </c>
      <c r="E15" s="22" t="s">
        <v>5340</v>
      </c>
      <c r="F15" s="22" t="s">
        <v>5347</v>
      </c>
    </row>
  </sheetData>
  <autoFilter ref="A1:F1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2026-10-22T16:36:29Z</dcterms:created>
  <dc:creator>openpyxl</dc:creator>
  <dc:description/>
  <dc:language>en-US</dc:language>
  <cp:lastModifiedBy/>
  <dcterms:modified xsi:type="dcterms:W3CDTF">2026-10-22T16:36:31Z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